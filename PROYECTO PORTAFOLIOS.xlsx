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n\iCloudDrive\Documents\Escuela\Mercados\"/>
    </mc:Choice>
  </mc:AlternateContent>
  <xr:revisionPtr revIDLastSave="0" documentId="13_ncr:1_{37F31057-1065-410C-8AF4-92494DAB8B34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BIMBO" sheetId="1" r:id="rId1"/>
    <sheet name="GrupoCarso" sheetId="2" r:id="rId2"/>
    <sheet name="GrupoMexico" sheetId="3" r:id="rId3"/>
    <sheet name="FEMSA" sheetId="4" r:id="rId4"/>
    <sheet name="ASUR" sheetId="5" r:id="rId5"/>
    <sheet name="Calculos" sheetId="6" r:id="rId6"/>
    <sheet name="Hoja 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2" i="6" l="1"/>
  <c r="Z3" i="6"/>
  <c r="AC4" i="6"/>
  <c r="AB4" i="6"/>
  <c r="K24" i="6"/>
  <c r="AC3" i="6"/>
  <c r="X22" i="6" a="1"/>
  <c r="X22" i="6"/>
  <c r="V22" i="6" a="1"/>
  <c r="V22" i="6"/>
  <c r="V3" i="6" a="1"/>
  <c r="V3" i="6"/>
  <c r="D17" i="7"/>
  <c r="E17" i="7" s="1"/>
  <c r="D16" i="7"/>
  <c r="E16" i="7" s="1"/>
  <c r="D15" i="7"/>
  <c r="E15" i="7" s="1"/>
  <c r="D14" i="7"/>
  <c r="E14" i="7" s="1"/>
  <c r="D9" i="7"/>
  <c r="E9" i="7" s="1"/>
  <c r="D8" i="7"/>
  <c r="E8" i="7" s="1"/>
  <c r="D7" i="7"/>
  <c r="E7" i="7" s="1"/>
  <c r="D6" i="7"/>
  <c r="E6" i="7" s="1"/>
  <c r="E27" i="6"/>
  <c r="F26" i="6" s="1"/>
  <c r="D27" i="6"/>
  <c r="F25" i="6" s="1"/>
  <c r="C27" i="6"/>
  <c r="F24" i="6" s="1"/>
  <c r="B27" i="6"/>
  <c r="F23" i="6" s="1"/>
  <c r="K26" i="6"/>
  <c r="D26" i="6"/>
  <c r="E25" i="6" s="1"/>
  <c r="C26" i="6"/>
  <c r="E24" i="6" s="1"/>
  <c r="B26" i="6"/>
  <c r="E23" i="6" s="1"/>
  <c r="C25" i="6"/>
  <c r="D24" i="6" s="1"/>
  <c r="B25" i="6"/>
  <c r="D23" i="6" s="1"/>
  <c r="C24" i="6"/>
  <c r="B24" i="6"/>
  <c r="C23" i="6" s="1"/>
  <c r="K23" i="6"/>
  <c r="B23" i="6"/>
  <c r="E8" i="6"/>
  <c r="F7" i="6" s="1"/>
  <c r="D8" i="6"/>
  <c r="F6" i="6" s="1"/>
  <c r="C8" i="6"/>
  <c r="F5" i="6" s="1"/>
  <c r="B8" i="6"/>
  <c r="F4" i="6" s="1"/>
  <c r="D7" i="6"/>
  <c r="E6" i="6" s="1"/>
  <c r="C7" i="6"/>
  <c r="E5" i="6" s="1"/>
  <c r="B7" i="6"/>
  <c r="E4" i="6" s="1"/>
  <c r="C6" i="6"/>
  <c r="D5" i="6" s="1"/>
  <c r="B6" i="6"/>
  <c r="D4" i="6" s="1"/>
  <c r="B5" i="6"/>
  <c r="C4" i="6" s="1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F27" i="6" s="1"/>
  <c r="C17" i="5"/>
  <c r="C16" i="5"/>
  <c r="C15" i="5"/>
  <c r="C14" i="5"/>
  <c r="C13" i="5"/>
  <c r="C12" i="5"/>
  <c r="C11" i="5"/>
  <c r="F8" i="6" s="1"/>
  <c r="C10" i="5"/>
  <c r="C9" i="5"/>
  <c r="C8" i="5"/>
  <c r="C7" i="5"/>
  <c r="F2" i="5" s="1"/>
  <c r="F3" i="5" s="1"/>
  <c r="C6" i="5"/>
  <c r="C5" i="5"/>
  <c r="C4" i="5"/>
  <c r="C3" i="5"/>
  <c r="F1" i="5" s="1"/>
  <c r="K7" i="6" s="1"/>
  <c r="H36" i="6" s="1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F2" i="4" s="1"/>
  <c r="F3" i="4" s="1"/>
  <c r="C6" i="4"/>
  <c r="C5" i="4"/>
  <c r="C4" i="4"/>
  <c r="C3" i="4"/>
  <c r="E7" i="6" s="1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F1" i="3" s="1"/>
  <c r="K5" i="6" s="1"/>
  <c r="H34" i="6" s="1"/>
  <c r="C12" i="3"/>
  <c r="C11" i="3"/>
  <c r="C10" i="3"/>
  <c r="C9" i="3"/>
  <c r="C8" i="3"/>
  <c r="C7" i="3"/>
  <c r="C6" i="3"/>
  <c r="C5" i="3"/>
  <c r="C4" i="3"/>
  <c r="D25" i="6" s="1"/>
  <c r="C3" i="3"/>
  <c r="F2" i="3"/>
  <c r="F3" i="3" s="1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5" i="6" s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F1" i="1" s="1"/>
  <c r="K3" i="6" s="1"/>
  <c r="C21" i="1"/>
  <c r="C20" i="1"/>
  <c r="C19" i="1"/>
  <c r="C18" i="1"/>
  <c r="C17" i="1"/>
  <c r="C16" i="1"/>
  <c r="C15" i="1"/>
  <c r="F2" i="1" s="1"/>
  <c r="F3" i="1" s="1"/>
  <c r="C14" i="1"/>
  <c r="C13" i="1"/>
  <c r="C12" i="1"/>
  <c r="C11" i="1"/>
  <c r="C10" i="1"/>
  <c r="C9" i="1"/>
  <c r="C8" i="1"/>
  <c r="C7" i="1"/>
  <c r="C6" i="1"/>
  <c r="C5" i="1"/>
  <c r="C4" i="1"/>
  <c r="C3" i="1"/>
  <c r="B4" i="6" s="1"/>
  <c r="H32" i="6" l="1"/>
  <c r="F1" i="2"/>
  <c r="K4" i="6" s="1"/>
  <c r="H33" i="6" s="1"/>
  <c r="F2" i="2"/>
  <c r="F3" i="2" s="1"/>
  <c r="E26" i="6"/>
  <c r="B32" i="6" s="1" a="1"/>
  <c r="F1" i="4"/>
  <c r="K6" i="6" s="1"/>
  <c r="H35" i="6" s="1"/>
  <c r="D6" i="6"/>
  <c r="B13" i="6" s="1" a="1"/>
  <c r="D18" i="6" l="1"/>
  <c r="D14" i="6"/>
  <c r="E17" i="6"/>
  <c r="E13" i="6"/>
  <c r="G16" i="6"/>
  <c r="B13" i="6"/>
  <c r="C18" i="6"/>
  <c r="C14" i="6"/>
  <c r="F17" i="6"/>
  <c r="F13" i="6"/>
  <c r="B18" i="6"/>
  <c r="B14" i="6"/>
  <c r="G17" i="6"/>
  <c r="G13" i="6"/>
  <c r="D17" i="6"/>
  <c r="D13" i="6"/>
  <c r="D16" i="6"/>
  <c r="C17" i="6"/>
  <c r="C13" i="6"/>
  <c r="B17" i="6"/>
  <c r="C16" i="6"/>
  <c r="E15" i="6"/>
  <c r="E16" i="6"/>
  <c r="B16" i="6"/>
  <c r="G15" i="6"/>
  <c r="F15" i="6"/>
  <c r="D15" i="6"/>
  <c r="C15" i="6"/>
  <c r="B15" i="6"/>
  <c r="G18" i="6"/>
  <c r="G14" i="6"/>
  <c r="F18" i="6"/>
  <c r="F14" i="6"/>
  <c r="F16" i="6"/>
  <c r="E18" i="6"/>
  <c r="E14" i="6"/>
  <c r="F32" i="6"/>
  <c r="E32" i="6"/>
  <c r="D32" i="6"/>
  <c r="C32" i="6"/>
  <c r="F36" i="6"/>
  <c r="E36" i="6"/>
  <c r="B32" i="6"/>
  <c r="D36" i="6"/>
  <c r="C36" i="6"/>
  <c r="F35" i="6"/>
  <c r="B36" i="6"/>
  <c r="E35" i="6"/>
  <c r="D35" i="6"/>
  <c r="C35" i="6"/>
  <c r="B35" i="6"/>
  <c r="F34" i="6"/>
  <c r="E34" i="6"/>
  <c r="B34" i="6"/>
  <c r="D34" i="6"/>
  <c r="C34" i="6"/>
  <c r="F33" i="6"/>
  <c r="E33" i="6"/>
  <c r="D33" i="6"/>
  <c r="C33" i="6"/>
  <c r="B33" i="6"/>
  <c r="B29" i="6" a="1"/>
  <c r="F29" i="6" l="1"/>
  <c r="E29" i="6"/>
  <c r="D29" i="6"/>
  <c r="C29" i="6"/>
  <c r="B29" i="6"/>
  <c r="H23" i="6" s="1" a="1"/>
  <c r="J32" i="6" a="1"/>
  <c r="K13" i="6" a="1"/>
  <c r="J33" i="6" l="1"/>
  <c r="J32" i="6"/>
  <c r="J36" i="6"/>
  <c r="J35" i="6"/>
  <c r="J34" i="6"/>
  <c r="K15" i="6"/>
  <c r="K18" i="6"/>
  <c r="K17" i="6"/>
  <c r="K16" i="6"/>
  <c r="K14" i="6"/>
  <c r="K13" i="6"/>
  <c r="H23" i="6"/>
  <c r="B41" i="6" s="1" a="1"/>
  <c r="H27" i="6"/>
  <c r="H26" i="6"/>
  <c r="H24" i="6"/>
  <c r="H25" i="6"/>
  <c r="J37" i="6" l="1"/>
  <c r="L36" i="6" s="1"/>
  <c r="L32" i="6"/>
  <c r="H47" i="6"/>
  <c r="E44" i="6"/>
  <c r="G47" i="6"/>
  <c r="D44" i="6"/>
  <c r="B41" i="6"/>
  <c r="F47" i="6"/>
  <c r="C44" i="6"/>
  <c r="E47" i="6"/>
  <c r="B44" i="6"/>
  <c r="D47" i="6"/>
  <c r="H43" i="6"/>
  <c r="C47" i="6"/>
  <c r="G43" i="6"/>
  <c r="B47" i="6"/>
  <c r="F43" i="6"/>
  <c r="H46" i="6"/>
  <c r="E43" i="6"/>
  <c r="G46" i="6"/>
  <c r="D43" i="6"/>
  <c r="F46" i="6"/>
  <c r="C43" i="6"/>
  <c r="E46" i="6"/>
  <c r="B43" i="6"/>
  <c r="D46" i="6"/>
  <c r="H42" i="6"/>
  <c r="C46" i="6"/>
  <c r="G42" i="6"/>
  <c r="B46" i="6"/>
  <c r="F42" i="6"/>
  <c r="H45" i="6"/>
  <c r="E42" i="6"/>
  <c r="G45" i="6"/>
  <c r="D42" i="6"/>
  <c r="F45" i="6"/>
  <c r="C42" i="6"/>
  <c r="E45" i="6"/>
  <c r="B42" i="6"/>
  <c r="D45" i="6"/>
  <c r="H41" i="6"/>
  <c r="C45" i="6"/>
  <c r="G41" i="6"/>
  <c r="B45" i="6"/>
  <c r="F41" i="6"/>
  <c r="H44" i="6"/>
  <c r="E41" i="6"/>
  <c r="G44" i="6"/>
  <c r="D41" i="6"/>
  <c r="F44" i="6"/>
  <c r="C41" i="6"/>
  <c r="W3" i="6"/>
  <c r="Q3" i="6" a="1"/>
  <c r="X3" i="6"/>
  <c r="L34" i="6"/>
  <c r="L35" i="6"/>
  <c r="L33" i="6"/>
  <c r="L41" i="6" l="1" a="1"/>
  <c r="Y3" i="6"/>
  <c r="P6" i="7"/>
  <c r="Q6" i="7" s="1"/>
  <c r="U3" i="6"/>
  <c r="J6" i="7" s="1"/>
  <c r="T3" i="6"/>
  <c r="I6" i="7" s="1"/>
  <c r="S3" i="6"/>
  <c r="H6" i="7" s="1"/>
  <c r="R3" i="6"/>
  <c r="G6" i="7" s="1"/>
  <c r="Q3" i="6"/>
  <c r="F6" i="7" s="1"/>
  <c r="Q22" i="6" a="1"/>
  <c r="Y4" i="6" l="1"/>
  <c r="AC7" i="6"/>
  <c r="AC8" i="6" s="1"/>
  <c r="T22" i="6"/>
  <c r="S22" i="6"/>
  <c r="Q22" i="6"/>
  <c r="R22" i="6"/>
  <c r="U22" i="6"/>
  <c r="L47" i="6"/>
  <c r="L46" i="6"/>
  <c r="L45" i="6"/>
  <c r="L44" i="6"/>
  <c r="L43" i="6"/>
  <c r="L42" i="6"/>
  <c r="L41" i="6"/>
  <c r="L48" i="6" s="1"/>
  <c r="Y5" i="6" l="1"/>
  <c r="Y6" i="6" s="1"/>
  <c r="Y7" i="6" s="1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L15" i="7"/>
  <c r="L9" i="7"/>
  <c r="L7" i="7"/>
  <c r="L20" i="7" s="1"/>
  <c r="L16" i="7"/>
  <c r="L14" i="7"/>
  <c r="L8" i="7"/>
  <c r="L17" i="7"/>
  <c r="L6" i="7"/>
  <c r="L19" i="7" s="1"/>
  <c r="O9" i="7"/>
  <c r="O7" i="7"/>
  <c r="O16" i="7"/>
  <c r="O14" i="7"/>
  <c r="O8" i="7"/>
  <c r="O17" i="7"/>
  <c r="O6" i="7"/>
  <c r="O19" i="7" s="1"/>
  <c r="O15" i="7"/>
  <c r="K6" i="7"/>
  <c r="K15" i="7"/>
  <c r="K9" i="7"/>
  <c r="K22" i="7" s="1"/>
  <c r="K7" i="7"/>
  <c r="K20" i="7" s="1"/>
  <c r="K16" i="7"/>
  <c r="K14" i="7"/>
  <c r="K8" i="7"/>
  <c r="K17" i="7"/>
  <c r="M15" i="7"/>
  <c r="M9" i="7"/>
  <c r="M7" i="7"/>
  <c r="M20" i="7" s="1"/>
  <c r="M16" i="7"/>
  <c r="M14" i="7"/>
  <c r="M8" i="7"/>
  <c r="M21" i="7" s="1"/>
  <c r="M17" i="7"/>
  <c r="M6" i="7"/>
  <c r="M19" i="7" s="1"/>
  <c r="N9" i="7"/>
  <c r="N7" i="7"/>
  <c r="N16" i="7"/>
  <c r="N14" i="7"/>
  <c r="N8" i="7"/>
  <c r="N21" i="7" s="1"/>
  <c r="N17" i="7"/>
  <c r="N6" i="7"/>
  <c r="N15" i="7"/>
  <c r="L21" i="7" l="1"/>
  <c r="N19" i="7"/>
  <c r="O20" i="7"/>
  <c r="O22" i="7"/>
  <c r="L22" i="7"/>
  <c r="K19" i="7"/>
  <c r="O21" i="7"/>
  <c r="N22" i="7"/>
  <c r="N20" i="7"/>
  <c r="M22" i="7"/>
  <c r="K21" i="7"/>
  <c r="B57" i="6" a="1"/>
  <c r="C57" i="6" l="1"/>
  <c r="P28" i="6" s="1" a="1"/>
  <c r="B57" i="6"/>
  <c r="P27" i="6" s="1" a="1"/>
  <c r="S57" i="6"/>
  <c r="P44" i="6" s="1" a="1"/>
  <c r="R57" i="6"/>
  <c r="P43" i="6" s="1" a="1"/>
  <c r="Q57" i="6"/>
  <c r="P42" i="6" s="1" a="1"/>
  <c r="P57" i="6"/>
  <c r="P41" i="6" s="1" a="1"/>
  <c r="O57" i="6"/>
  <c r="P40" i="6" s="1" a="1"/>
  <c r="N57" i="6"/>
  <c r="P39" i="6" s="1" a="1"/>
  <c r="M57" i="6"/>
  <c r="P38" i="6" s="1" a="1"/>
  <c r="L57" i="6"/>
  <c r="P37" i="6" s="1" a="1"/>
  <c r="K57" i="6"/>
  <c r="P36" i="6" s="1" a="1"/>
  <c r="J57" i="6"/>
  <c r="P35" i="6" s="1" a="1"/>
  <c r="I57" i="6"/>
  <c r="P34" i="6" s="1" a="1"/>
  <c r="H57" i="6"/>
  <c r="P33" i="6" s="1" a="1"/>
  <c r="G57" i="6"/>
  <c r="P32" i="6" s="1" a="1"/>
  <c r="F57" i="6"/>
  <c r="P31" i="6" s="1" a="1"/>
  <c r="E57" i="6"/>
  <c r="P30" i="6" s="1" a="1"/>
  <c r="D57" i="6"/>
  <c r="P29" i="6" s="1" a="1"/>
  <c r="T36" i="6" l="1"/>
  <c r="U13" i="6" s="1"/>
  <c r="J16" i="7" s="1"/>
  <c r="V36" i="6"/>
  <c r="U36" i="6"/>
  <c r="S36" i="6"/>
  <c r="T13" i="6" s="1"/>
  <c r="I16" i="7" s="1"/>
  <c r="R36" i="6"/>
  <c r="S13" i="6" s="1"/>
  <c r="H16" i="7" s="1"/>
  <c r="Q36" i="6"/>
  <c r="R13" i="6" s="1"/>
  <c r="G16" i="7" s="1"/>
  <c r="P36" i="6"/>
  <c r="V39" i="6"/>
  <c r="U39" i="6"/>
  <c r="T39" i="6"/>
  <c r="U16" i="6" s="1"/>
  <c r="S39" i="6"/>
  <c r="T16" i="6" s="1"/>
  <c r="R39" i="6"/>
  <c r="S16" i="6" s="1"/>
  <c r="Q39" i="6"/>
  <c r="R16" i="6" s="1"/>
  <c r="P39" i="6"/>
  <c r="T30" i="6"/>
  <c r="U7" i="6" s="1"/>
  <c r="V30" i="6"/>
  <c r="U30" i="6"/>
  <c r="S30" i="6"/>
  <c r="T7" i="6" s="1"/>
  <c r="R30" i="6"/>
  <c r="S7" i="6" s="1"/>
  <c r="Q30" i="6"/>
  <c r="R7" i="6" s="1"/>
  <c r="P30" i="6"/>
  <c r="U42" i="6"/>
  <c r="T42" i="6"/>
  <c r="U19" i="6" s="1"/>
  <c r="S42" i="6"/>
  <c r="T19" i="6" s="1"/>
  <c r="R42" i="6"/>
  <c r="S19" i="6" s="1"/>
  <c r="Q42" i="6"/>
  <c r="R19" i="6" s="1"/>
  <c r="P42" i="6"/>
  <c r="V42" i="6"/>
  <c r="V29" i="6"/>
  <c r="U29" i="6"/>
  <c r="T29" i="6"/>
  <c r="U6" i="6" s="1"/>
  <c r="J9" i="7" s="1"/>
  <c r="S29" i="6"/>
  <c r="T6" i="6" s="1"/>
  <c r="I9" i="7" s="1"/>
  <c r="R29" i="6"/>
  <c r="S6" i="6" s="1"/>
  <c r="H9" i="7" s="1"/>
  <c r="Q29" i="6"/>
  <c r="R6" i="6" s="1"/>
  <c r="G9" i="7" s="1"/>
  <c r="G22" i="7" s="1"/>
  <c r="P29" i="6"/>
  <c r="V34" i="6"/>
  <c r="U34" i="6"/>
  <c r="R34" i="6"/>
  <c r="S11" i="6" s="1"/>
  <c r="H14" i="7" s="1"/>
  <c r="H19" i="7" s="1"/>
  <c r="T34" i="6"/>
  <c r="U11" i="6" s="1"/>
  <c r="J14" i="7" s="1"/>
  <c r="J19" i="7" s="1"/>
  <c r="S34" i="6"/>
  <c r="T11" i="6" s="1"/>
  <c r="I14" i="7" s="1"/>
  <c r="I19" i="7" s="1"/>
  <c r="Q34" i="6"/>
  <c r="R11" i="6" s="1"/>
  <c r="G14" i="7" s="1"/>
  <c r="G19" i="7" s="1"/>
  <c r="P34" i="6"/>
  <c r="V44" i="6"/>
  <c r="U44" i="6"/>
  <c r="T44" i="6"/>
  <c r="U21" i="6" s="1"/>
  <c r="S44" i="6"/>
  <c r="T21" i="6" s="1"/>
  <c r="R44" i="6"/>
  <c r="S21" i="6" s="1"/>
  <c r="Q44" i="6"/>
  <c r="R21" i="6" s="1"/>
  <c r="P44" i="6"/>
  <c r="V32" i="6"/>
  <c r="U32" i="6"/>
  <c r="T32" i="6"/>
  <c r="U9" i="6" s="1"/>
  <c r="S32" i="6"/>
  <c r="T9" i="6" s="1"/>
  <c r="R32" i="6"/>
  <c r="S9" i="6" s="1"/>
  <c r="Q32" i="6"/>
  <c r="R9" i="6" s="1"/>
  <c r="P32" i="6"/>
  <c r="V35" i="6"/>
  <c r="U35" i="6"/>
  <c r="T35" i="6"/>
  <c r="U12" i="6" s="1"/>
  <c r="J15" i="7" s="1"/>
  <c r="S35" i="6"/>
  <c r="T12" i="6" s="1"/>
  <c r="I15" i="7" s="1"/>
  <c r="R35" i="6"/>
  <c r="S12" i="6" s="1"/>
  <c r="H15" i="7" s="1"/>
  <c r="Q35" i="6"/>
  <c r="R12" i="6" s="1"/>
  <c r="G15" i="7" s="1"/>
  <c r="P35" i="6"/>
  <c r="S38" i="6"/>
  <c r="T15" i="6" s="1"/>
  <c r="R38" i="6"/>
  <c r="S15" i="6" s="1"/>
  <c r="Q38" i="6"/>
  <c r="R15" i="6" s="1"/>
  <c r="P38" i="6"/>
  <c r="V38" i="6"/>
  <c r="U38" i="6"/>
  <c r="T38" i="6"/>
  <c r="U15" i="6" s="1"/>
  <c r="V27" i="6"/>
  <c r="U27" i="6"/>
  <c r="T27" i="6"/>
  <c r="U4" i="6" s="1"/>
  <c r="J7" i="7" s="1"/>
  <c r="S27" i="6"/>
  <c r="T4" i="6" s="1"/>
  <c r="I7" i="7" s="1"/>
  <c r="R27" i="6"/>
  <c r="S4" i="6" s="1"/>
  <c r="H7" i="7" s="1"/>
  <c r="Q27" i="6"/>
  <c r="R4" i="6" s="1"/>
  <c r="G7" i="7" s="1"/>
  <c r="P27" i="6"/>
  <c r="Q4" i="6" s="1"/>
  <c r="V31" i="6"/>
  <c r="T31" i="6"/>
  <c r="U8" i="6" s="1"/>
  <c r="U31" i="6"/>
  <c r="S31" i="6"/>
  <c r="T8" i="6" s="1"/>
  <c r="R31" i="6"/>
  <c r="S8" i="6" s="1"/>
  <c r="Q31" i="6"/>
  <c r="R8" i="6" s="1"/>
  <c r="P31" i="6"/>
  <c r="V33" i="6"/>
  <c r="U33" i="6"/>
  <c r="T33" i="6"/>
  <c r="U10" i="6" s="1"/>
  <c r="S33" i="6"/>
  <c r="T10" i="6" s="1"/>
  <c r="R33" i="6"/>
  <c r="S10" i="6" s="1"/>
  <c r="Q33" i="6"/>
  <c r="R10" i="6" s="1"/>
  <c r="P33" i="6"/>
  <c r="V37" i="6"/>
  <c r="U37" i="6"/>
  <c r="S37" i="6"/>
  <c r="T14" i="6" s="1"/>
  <c r="I17" i="7" s="1"/>
  <c r="T37" i="6"/>
  <c r="U14" i="6" s="1"/>
  <c r="J17" i="7" s="1"/>
  <c r="R37" i="6"/>
  <c r="S14" i="6" s="1"/>
  <c r="H17" i="7" s="1"/>
  <c r="Q37" i="6"/>
  <c r="R14" i="6" s="1"/>
  <c r="G17" i="7" s="1"/>
  <c r="P37" i="6"/>
  <c r="V40" i="6"/>
  <c r="U40" i="6"/>
  <c r="T40" i="6"/>
  <c r="U17" i="6" s="1"/>
  <c r="S40" i="6"/>
  <c r="T17" i="6" s="1"/>
  <c r="R40" i="6"/>
  <c r="S17" i="6" s="1"/>
  <c r="Q40" i="6"/>
  <c r="R17" i="6" s="1"/>
  <c r="P40" i="6"/>
  <c r="V41" i="6"/>
  <c r="U41" i="6"/>
  <c r="T41" i="6"/>
  <c r="U18" i="6" s="1"/>
  <c r="S41" i="6"/>
  <c r="T18" i="6" s="1"/>
  <c r="R41" i="6"/>
  <c r="S18" i="6" s="1"/>
  <c r="Q41" i="6"/>
  <c r="R18" i="6" s="1"/>
  <c r="P41" i="6"/>
  <c r="V43" i="6"/>
  <c r="U43" i="6"/>
  <c r="T43" i="6"/>
  <c r="U20" i="6" s="1"/>
  <c r="S43" i="6"/>
  <c r="T20" i="6" s="1"/>
  <c r="R43" i="6"/>
  <c r="S20" i="6" s="1"/>
  <c r="Q43" i="6"/>
  <c r="R20" i="6" s="1"/>
  <c r="P43" i="6"/>
  <c r="T28" i="6"/>
  <c r="U5" i="6" s="1"/>
  <c r="J8" i="7" s="1"/>
  <c r="J21" i="7" s="1"/>
  <c r="V28" i="6"/>
  <c r="U28" i="6"/>
  <c r="S28" i="6"/>
  <c r="T5" i="6" s="1"/>
  <c r="I8" i="7" s="1"/>
  <c r="R28" i="6"/>
  <c r="S5" i="6" s="1"/>
  <c r="H8" i="7" s="1"/>
  <c r="Q28" i="6"/>
  <c r="R5" i="6" s="1"/>
  <c r="G8" i="7" s="1"/>
  <c r="P28" i="6"/>
  <c r="X4" i="6" l="1" a="1"/>
  <c r="X4" i="6" s="1"/>
  <c r="P7" i="7" s="1"/>
  <c r="Q7" i="7" s="1"/>
  <c r="V4" i="6" a="1"/>
  <c r="V4" i="6" s="1"/>
  <c r="M4" i="6" a="1"/>
  <c r="M4" i="6" s="1"/>
  <c r="H21" i="7"/>
  <c r="W30" i="6"/>
  <c r="Q7" i="6"/>
  <c r="W38" i="6"/>
  <c r="Q15" i="6"/>
  <c r="W43" i="6"/>
  <c r="Q20" i="6"/>
  <c r="W35" i="6"/>
  <c r="Q12" i="6"/>
  <c r="W33" i="6"/>
  <c r="Q10" i="6"/>
  <c r="W39" i="6"/>
  <c r="Q16" i="6"/>
  <c r="W31" i="6"/>
  <c r="Q8" i="6"/>
  <c r="W32" i="6"/>
  <c r="Q9" i="6"/>
  <c r="W27" i="6"/>
  <c r="W40" i="6"/>
  <c r="Q17" i="6"/>
  <c r="Q11" i="6"/>
  <c r="W34" i="6"/>
  <c r="W41" i="6"/>
  <c r="Q18" i="6"/>
  <c r="J22" i="7"/>
  <c r="G21" i="7"/>
  <c r="H20" i="7"/>
  <c r="Q19" i="6"/>
  <c r="W42" i="6"/>
  <c r="W29" i="6"/>
  <c r="Q6" i="6"/>
  <c r="I22" i="7"/>
  <c r="Q13" i="6"/>
  <c r="W36" i="6"/>
  <c r="Q5" i="6"/>
  <c r="W28" i="6"/>
  <c r="I20" i="7"/>
  <c r="H22" i="7"/>
  <c r="G20" i="7"/>
  <c r="I21" i="7"/>
  <c r="Q14" i="6"/>
  <c r="W37" i="6"/>
  <c r="J20" i="7"/>
  <c r="W44" i="6"/>
  <c r="Q21" i="6"/>
  <c r="X19" i="6" l="1" a="1"/>
  <c r="X19" i="6" s="1"/>
  <c r="V19" i="6" a="1"/>
  <c r="V19" i="6" s="1"/>
  <c r="W19" i="6" s="1"/>
  <c r="X7" i="6" a="1"/>
  <c r="X7" i="6" s="1"/>
  <c r="V7" i="6" a="1"/>
  <c r="V7" i="6" s="1"/>
  <c r="W7" i="6" s="1"/>
  <c r="W18" i="6"/>
  <c r="X18" i="6" a="1"/>
  <c r="X18" i="6" s="1"/>
  <c r="V18" i="6" a="1"/>
  <c r="V18" i="6" s="1"/>
  <c r="X21" i="6" a="1"/>
  <c r="X21" i="6" s="1"/>
  <c r="V21" i="6" a="1"/>
  <c r="V21" i="6" s="1"/>
  <c r="W21" i="6" s="1"/>
  <c r="X11" i="6" a="1"/>
  <c r="X11" i="6" s="1"/>
  <c r="P14" i="7" s="1"/>
  <c r="Q14" i="7" s="1"/>
  <c r="V11" i="6" a="1"/>
  <c r="V11" i="6" s="1"/>
  <c r="X17" i="6" a="1"/>
  <c r="X17" i="6" s="1"/>
  <c r="V17" i="6" a="1"/>
  <c r="V17" i="6" s="1"/>
  <c r="W17" i="6" s="1"/>
  <c r="V14" i="6" a="1"/>
  <c r="V14" i="6" s="1"/>
  <c r="X14" i="6" a="1"/>
  <c r="X14" i="6" s="1"/>
  <c r="P17" i="7" s="1"/>
  <c r="Q17" i="7" s="1"/>
  <c r="X9" i="6" a="1"/>
  <c r="X9" i="6" s="1"/>
  <c r="V9" i="6" a="1"/>
  <c r="V9" i="6" s="1"/>
  <c r="W9" i="6" s="1"/>
  <c r="X8" i="6" a="1"/>
  <c r="X8" i="6" s="1"/>
  <c r="V8" i="6" a="1"/>
  <c r="V8" i="6" s="1"/>
  <c r="W8" i="6" s="1"/>
  <c r="V16" i="6" a="1"/>
  <c r="V16" i="6" s="1"/>
  <c r="W16" i="6" s="1"/>
  <c r="X16" i="6" a="1"/>
  <c r="X16" i="6" s="1"/>
  <c r="X5" i="6" a="1"/>
  <c r="X5" i="6" s="1"/>
  <c r="P8" i="7" s="1"/>
  <c r="Q8" i="7" s="1"/>
  <c r="V5" i="6" a="1"/>
  <c r="V5" i="6" s="1"/>
  <c r="W5" i="6" s="1"/>
  <c r="W10" i="6"/>
  <c r="X10" i="6" a="1"/>
  <c r="X10" i="6" s="1"/>
  <c r="V10" i="6" a="1"/>
  <c r="V10" i="6" s="1"/>
  <c r="V13" i="6" a="1"/>
  <c r="V13" i="6" s="1"/>
  <c r="W13" i="6" s="1"/>
  <c r="X13" i="6" a="1"/>
  <c r="X13" i="6" s="1"/>
  <c r="P16" i="7" s="1"/>
  <c r="Q16" i="7" s="1"/>
  <c r="X12" i="6" a="1"/>
  <c r="X12" i="6" s="1"/>
  <c r="P15" i="7" s="1"/>
  <c r="Q15" i="7" s="1"/>
  <c r="V12" i="6" a="1"/>
  <c r="V12" i="6" s="1"/>
  <c r="X6" i="6" a="1"/>
  <c r="X6" i="6" s="1"/>
  <c r="P9" i="7" s="1"/>
  <c r="Q9" i="7" s="1"/>
  <c r="V6" i="6" a="1"/>
  <c r="V6" i="6" s="1"/>
  <c r="W6" i="6" s="1"/>
  <c r="V20" i="6" a="1"/>
  <c r="V20" i="6" s="1"/>
  <c r="W20" i="6" s="1"/>
  <c r="X20" i="6" a="1"/>
  <c r="X20" i="6" s="1"/>
  <c r="V15" i="6" a="1"/>
  <c r="V15" i="6" s="1"/>
  <c r="W15" i="6" s="1"/>
  <c r="X15" i="6" a="1"/>
  <c r="X15" i="6" s="1"/>
  <c r="F14" i="7"/>
  <c r="F19" i="7" s="1"/>
  <c r="W11" i="6"/>
  <c r="F8" i="7"/>
  <c r="F15" i="7"/>
  <c r="W12" i="6"/>
  <c r="F7" i="7"/>
  <c r="F20" i="7" s="1"/>
  <c r="W4" i="6"/>
  <c r="F17" i="7"/>
  <c r="W14" i="6"/>
  <c r="F16" i="7"/>
  <c r="F9" i="7"/>
  <c r="F22" i="7" l="1"/>
  <c r="F21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<sst xmlns="http://schemas.openxmlformats.org/spreadsheetml/2006/main" count="144" uniqueCount="64">
  <si>
    <t>BIMBOA.MX</t>
  </si>
  <si>
    <t>R_BIMBO</t>
  </si>
  <si>
    <t>Rendimiento</t>
  </si>
  <si>
    <t>Varianza</t>
  </si>
  <si>
    <t>Volatilidad</t>
  </si>
  <si>
    <t>GCARSOA1.MX</t>
  </si>
  <si>
    <t>R_GCarso</t>
  </si>
  <si>
    <t>GMEXICOB.MX</t>
  </si>
  <si>
    <t>R_GMexico</t>
  </si>
  <si>
    <t>KOFUBL.MX</t>
  </si>
  <si>
    <t>R_FEMSA</t>
  </si>
  <si>
    <t>ASUR.MX</t>
  </si>
  <si>
    <t>ASURB_r</t>
  </si>
  <si>
    <t>MATRIZ DE VARIANZAS Y COVARIANZAS (Extendida)</t>
  </si>
  <si>
    <t>E(Ri)</t>
  </si>
  <si>
    <t>Cartera</t>
  </si>
  <si>
    <t>W_BIMBO</t>
  </si>
  <si>
    <t>W_Carso</t>
  </si>
  <si>
    <t>W_GMex</t>
  </si>
  <si>
    <t>W_FEMSA</t>
  </si>
  <si>
    <t>W_ASUR</t>
  </si>
  <si>
    <t>Factor</t>
  </si>
  <si>
    <t>Volatiliad</t>
  </si>
  <si>
    <t>rdiario</t>
  </si>
  <si>
    <t>BIMBO</t>
  </si>
  <si>
    <t>GrupoCarso</t>
  </si>
  <si>
    <t>GrupoMexico</t>
  </si>
  <si>
    <t>FEMSA</t>
  </si>
  <si>
    <t>ASUR</t>
  </si>
  <si>
    <t>GrupoModelo</t>
  </si>
  <si>
    <t>CMR</t>
  </si>
  <si>
    <t>Matriz inversa (extendida)</t>
  </si>
  <si>
    <t xml:space="preserve">Vec Aux </t>
  </si>
  <si>
    <t>wi (minima varianza)</t>
  </si>
  <si>
    <t xml:space="preserve">MATRIZ AUXILIAR </t>
  </si>
  <si>
    <t>CM</t>
  </si>
  <si>
    <t>Rf</t>
  </si>
  <si>
    <t>Rf diaria</t>
  </si>
  <si>
    <t>Préstamo anual</t>
  </si>
  <si>
    <t>Préstamo diario</t>
  </si>
  <si>
    <t>https://www.yotepresto.com/prestamos-personales?utm_source=googleads&amp;utm_medium=g&amp;utm_content=79605897483:626835688024&amp;utm_campaign=6944045184&amp;utm_term=kwd-14280251&amp;keyword=prestamos&amp;adposition=&amp;gad_source=1&amp;gbraid=0AAAAADcws_xJ-xHGQD9lS5VKXullXyWSy&amp;gclid=Cj0KCQiA88a5BhDPARIsAFj595iRg0Cm058UDves8XV4Z5H1MgPcfJWBM40iceRNkh_Mzv95fgJbtvkaApyTEALw_wcB#simulator</t>
  </si>
  <si>
    <t>Matriz Inversa</t>
  </si>
  <si>
    <t>E(Ri) - rf</t>
  </si>
  <si>
    <t>Ui</t>
  </si>
  <si>
    <t>wi (de mercado)</t>
  </si>
  <si>
    <t>FIGURA 2.1</t>
  </si>
  <si>
    <t>MATRIZ AUXILIAR (Inversa)</t>
  </si>
  <si>
    <t>Vector auxiliar</t>
  </si>
  <si>
    <t>WFE</t>
  </si>
  <si>
    <t>PORTAFOLIO DE MINIMA VARIANZA</t>
  </si>
  <si>
    <t>Portafolio Optimo</t>
  </si>
  <si>
    <t>Capital</t>
  </si>
  <si>
    <t>Y</t>
  </si>
  <si>
    <t>rf</t>
  </si>
  <si>
    <t>PR</t>
  </si>
  <si>
    <t>E(RMV)</t>
  </si>
  <si>
    <t>Prima de Riesgo</t>
  </si>
  <si>
    <t>inversor 1</t>
  </si>
  <si>
    <t>inversor 2</t>
  </si>
  <si>
    <t>inversor 3</t>
  </si>
  <si>
    <t>inversor 4</t>
  </si>
  <si>
    <t>Bimbo</t>
  </si>
  <si>
    <t>Risk Free</t>
  </si>
  <si>
    <t>Portafolio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</si>
</sst>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%"/>
    <numFmt numFmtId="165" formatCode="0.000000000%"/>
    <numFmt numFmtId="166" formatCode="0.00000000%"/>
    <numFmt numFmtId="167" formatCode="0.0000000%"/>
    <numFmt numFmtId="168" formatCode="0.00000000000%"/>
    <numFmt numFmtId="169" formatCode="&quot;$&quot;#,##0.00"/>
  </numFmts>
  <fonts count="14" x14ac:knownFonts="1">
    <font>
      <sz val="10"/>
      <color rgb="FF000000"/>
      <name val="Arial"/>
      <scheme val="minor"/>
    </font>
    <font>
      <sz val="10"/>
      <color theme="1"/>
      <name val="Calibri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rgb="FFFFFFFF"/>
      <name val="Arial"/>
      <scheme val="minor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164" fontId="3" fillId="0" borderId="0" xfId="0" applyNumberFormat="1" applyFont="1"/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/>
    <xf numFmtId="0" fontId="4" fillId="3" borderId="0" xfId="0" applyFont="1" applyFill="1"/>
    <xf numFmtId="165" fontId="3" fillId="0" borderId="0" xfId="0" applyNumberFormat="1" applyFont="1"/>
    <xf numFmtId="0" fontId="4" fillId="2" borderId="0" xfId="0" applyFont="1" applyFill="1"/>
    <xf numFmtId="0" fontId="4" fillId="0" borderId="0" xfId="0" applyFont="1"/>
    <xf numFmtId="0" fontId="3" fillId="6" borderId="0" xfId="0" applyFont="1" applyFill="1"/>
    <xf numFmtId="0" fontId="6" fillId="7" borderId="0" xfId="0" applyFont="1" applyFill="1"/>
    <xf numFmtId="0" fontId="6" fillId="7" borderId="1" xfId="0" applyFont="1" applyFill="1" applyBorder="1"/>
    <xf numFmtId="0" fontId="6" fillId="0" borderId="0" xfId="0" applyFont="1"/>
    <xf numFmtId="0" fontId="3" fillId="8" borderId="1" xfId="0" applyFont="1" applyFill="1" applyBorder="1"/>
    <xf numFmtId="0" fontId="3" fillId="0" borderId="1" xfId="0" applyFont="1" applyBorder="1"/>
    <xf numFmtId="0" fontId="3" fillId="9" borderId="0" xfId="0" applyFont="1" applyFill="1"/>
    <xf numFmtId="166" fontId="3" fillId="0" borderId="1" xfId="0" applyNumberFormat="1" applyFont="1" applyBorder="1"/>
    <xf numFmtId="166" fontId="3" fillId="10" borderId="0" xfId="0" applyNumberFormat="1" applyFont="1" applyFill="1"/>
    <xf numFmtId="167" fontId="7" fillId="0" borderId="0" xfId="0" applyNumberFormat="1" applyFont="1"/>
    <xf numFmtId="164" fontId="7" fillId="0" borderId="0" xfId="0" applyNumberFormat="1" applyFont="1"/>
    <xf numFmtId="165" fontId="3" fillId="11" borderId="1" xfId="0" applyNumberFormat="1" applyFont="1" applyFill="1" applyBorder="1"/>
    <xf numFmtId="165" fontId="3" fillId="12" borderId="1" xfId="0" applyNumberFormat="1" applyFont="1" applyFill="1" applyBorder="1"/>
    <xf numFmtId="165" fontId="3" fillId="10" borderId="1" xfId="0" applyNumberFormat="1" applyFont="1" applyFill="1" applyBorder="1"/>
    <xf numFmtId="165" fontId="3" fillId="13" borderId="1" xfId="0" applyNumberFormat="1" applyFont="1" applyFill="1" applyBorder="1"/>
    <xf numFmtId="165" fontId="3" fillId="14" borderId="1" xfId="0" applyNumberFormat="1" applyFont="1" applyFill="1" applyBorder="1"/>
    <xf numFmtId="166" fontId="7" fillId="0" borderId="0" xfId="0" applyNumberFormat="1" applyFont="1"/>
    <xf numFmtId="165" fontId="3" fillId="4" borderId="1" xfId="0" applyNumberFormat="1" applyFont="1" applyFill="1" applyBorder="1"/>
    <xf numFmtId="165" fontId="3" fillId="15" borderId="1" xfId="0" applyNumberFormat="1" applyFont="1" applyFill="1" applyBorder="1"/>
    <xf numFmtId="165" fontId="3" fillId="16" borderId="1" xfId="0" applyNumberFormat="1" applyFont="1" applyFill="1" applyBorder="1"/>
    <xf numFmtId="167" fontId="3" fillId="0" borderId="0" xfId="0" applyNumberFormat="1" applyFont="1"/>
    <xf numFmtId="165" fontId="3" fillId="17" borderId="1" xfId="0" applyNumberFormat="1" applyFont="1" applyFill="1" applyBorder="1"/>
    <xf numFmtId="165" fontId="3" fillId="18" borderId="1" xfId="0" applyNumberFormat="1" applyFont="1" applyFill="1" applyBorder="1"/>
    <xf numFmtId="165" fontId="3" fillId="19" borderId="1" xfId="0" applyNumberFormat="1" applyFont="1" applyFill="1" applyBorder="1"/>
    <xf numFmtId="9" fontId="7" fillId="0" borderId="0" xfId="0" applyNumberFormat="1" applyFont="1"/>
    <xf numFmtId="0" fontId="3" fillId="21" borderId="0" xfId="0" applyFont="1" applyFill="1"/>
    <xf numFmtId="0" fontId="3" fillId="16" borderId="0" xfId="0" applyFont="1" applyFill="1" applyAlignment="1">
      <alignment horizontal="center"/>
    </xf>
    <xf numFmtId="0" fontId="3" fillId="22" borderId="0" xfId="0" applyFont="1" applyFill="1"/>
    <xf numFmtId="0" fontId="3" fillId="0" borderId="0" xfId="0" applyFont="1" applyAlignment="1">
      <alignment horizontal="center"/>
    </xf>
    <xf numFmtId="164" fontId="3" fillId="0" borderId="1" xfId="0" applyNumberFormat="1" applyFont="1" applyBorder="1"/>
    <xf numFmtId="0" fontId="8" fillId="0" borderId="1" xfId="0" applyFont="1" applyBorder="1"/>
    <xf numFmtId="10" fontId="3" fillId="0" borderId="1" xfId="0" applyNumberFormat="1" applyFont="1" applyBorder="1"/>
    <xf numFmtId="165" fontId="3" fillId="0" borderId="1" xfId="0" applyNumberFormat="1" applyFont="1" applyBorder="1"/>
    <xf numFmtId="168" fontId="8" fillId="0" borderId="1" xfId="0" applyNumberFormat="1" applyFont="1" applyBorder="1"/>
    <xf numFmtId="0" fontId="8" fillId="8" borderId="1" xfId="0" applyFont="1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8" fillId="25" borderId="0" xfId="0" applyFont="1" applyFill="1"/>
    <xf numFmtId="0" fontId="4" fillId="26" borderId="0" xfId="0" applyFont="1" applyFill="1"/>
    <xf numFmtId="0" fontId="3" fillId="8" borderId="0" xfId="0" applyFont="1" applyFill="1"/>
    <xf numFmtId="0" fontId="11" fillId="27" borderId="0" xfId="0" applyFont="1" applyFill="1"/>
    <xf numFmtId="166" fontId="3" fillId="0" borderId="0" xfId="0" applyNumberFormat="1" applyFont="1"/>
    <xf numFmtId="0" fontId="3" fillId="28" borderId="0" xfId="0" applyFont="1" applyFill="1"/>
    <xf numFmtId="169" fontId="3" fillId="0" borderId="0" xfId="0" applyNumberFormat="1" applyFont="1"/>
    <xf numFmtId="169" fontId="4" fillId="0" borderId="0" xfId="0" applyNumberFormat="1" applyFont="1" applyAlignment="1">
      <alignment horizontal="right"/>
    </xf>
    <xf numFmtId="169" fontId="4" fillId="0" borderId="0" xfId="0" applyNumberFormat="1" applyFont="1"/>
    <xf numFmtId="164" fontId="3" fillId="28" borderId="0" xfId="0" applyNumberFormat="1" applyFont="1" applyFill="1"/>
    <xf numFmtId="10" fontId="3" fillId="28" borderId="0" xfId="0" applyNumberFormat="1" applyFont="1" applyFill="1"/>
    <xf numFmtId="168" fontId="3" fillId="28" borderId="0" xfId="0" applyNumberFormat="1" applyFont="1" applyFill="1"/>
    <xf numFmtId="0" fontId="4" fillId="5" borderId="0" xfId="0" applyFont="1" applyFill="1" applyAlignment="1">
      <alignment horizontal="center"/>
    </xf>
    <xf numFmtId="0" fontId="0" fillId="0" borderId="0" xfId="0"/>
    <xf numFmtId="0" fontId="3" fillId="20" borderId="0" xfId="0" applyFont="1" applyFill="1" applyAlignment="1">
      <alignment horizontal="center"/>
    </xf>
    <xf numFmtId="0" fontId="3" fillId="23" borderId="0" xfId="0" applyFont="1" applyFill="1" applyAlignment="1">
      <alignment horizontal="center"/>
    </xf>
    <xf numFmtId="0" fontId="3" fillId="2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2" fillId="0" borderId="0" xfId="0" applyFont="1"/>
    <xf numFmtId="0" fontId="13" fillId="2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GBMMODBFF.MX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BIMBO!$B$1</c:f>
              <c:strCache>
                <c:ptCount val="1"/>
                <c:pt idx="0">
                  <c:v>BIMBOA.MX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360"/>
            <c:bubble3D val="0"/>
            <c:extLst>
              <c:ext xmlns:c16="http://schemas.microsoft.com/office/drawing/2014/chart" uri="{C3380CC4-5D6E-409C-BE32-E72D297353CC}">
                <c16:uniqueId val="{00000000-71C8-4928-9720-73501F2DD23A}"/>
              </c:ext>
            </c:extLst>
          </c:dPt>
          <c:cat>
            <c:numRef>
              <c:f>BIMBO!$A$2:$A$1260</c:f>
              <c:numCache>
                <c:formatCode>General</c:formatCode>
                <c:ptCount val="1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</c:numCache>
            </c:numRef>
          </c:cat>
          <c:val>
            <c:numRef>
              <c:f>BIMBO!$B$2:$B$1260</c:f>
              <c:numCache>
                <c:formatCode>General</c:formatCode>
                <c:ptCount val="1259"/>
                <c:pt idx="0">
                  <c:v>33.610000610351499</c:v>
                </c:pt>
                <c:pt idx="1">
                  <c:v>33.919998168945298</c:v>
                </c:pt>
                <c:pt idx="2">
                  <c:v>35.889999389648402</c:v>
                </c:pt>
                <c:pt idx="3">
                  <c:v>36.049999237060497</c:v>
                </c:pt>
                <c:pt idx="4">
                  <c:v>36.950000762939403</c:v>
                </c:pt>
                <c:pt idx="5">
                  <c:v>36.959999084472599</c:v>
                </c:pt>
                <c:pt idx="6">
                  <c:v>35.740001678466797</c:v>
                </c:pt>
                <c:pt idx="7">
                  <c:v>36.409999847412102</c:v>
                </c:pt>
                <c:pt idx="8">
                  <c:v>36.540000915527301</c:v>
                </c:pt>
                <c:pt idx="9">
                  <c:v>36.889999389648402</c:v>
                </c:pt>
                <c:pt idx="10">
                  <c:v>36.189998626708899</c:v>
                </c:pt>
                <c:pt idx="11">
                  <c:v>36.720001220703097</c:v>
                </c:pt>
                <c:pt idx="12">
                  <c:v>35.869998931884702</c:v>
                </c:pt>
                <c:pt idx="13">
                  <c:v>36.540000915527301</c:v>
                </c:pt>
                <c:pt idx="14">
                  <c:v>35.200000762939403</c:v>
                </c:pt>
                <c:pt idx="15">
                  <c:v>35.110000610351499</c:v>
                </c:pt>
                <c:pt idx="16">
                  <c:v>34.959999084472599</c:v>
                </c:pt>
                <c:pt idx="17">
                  <c:v>35.180000305175703</c:v>
                </c:pt>
                <c:pt idx="18">
                  <c:v>34.619998931884702</c:v>
                </c:pt>
                <c:pt idx="19">
                  <c:v>34.389999389648402</c:v>
                </c:pt>
                <c:pt idx="20">
                  <c:v>34.180000305175703</c:v>
                </c:pt>
                <c:pt idx="21">
                  <c:v>34.049999237060497</c:v>
                </c:pt>
                <c:pt idx="22">
                  <c:v>34.169998168945298</c:v>
                </c:pt>
                <c:pt idx="23">
                  <c:v>33.430000305175703</c:v>
                </c:pt>
                <c:pt idx="24">
                  <c:v>33.360000610351499</c:v>
                </c:pt>
                <c:pt idx="25">
                  <c:v>33.580001831054602</c:v>
                </c:pt>
                <c:pt idx="26">
                  <c:v>33.799999237060497</c:v>
                </c:pt>
                <c:pt idx="27">
                  <c:v>33.849998474121001</c:v>
                </c:pt>
                <c:pt idx="28">
                  <c:v>33.720001220703097</c:v>
                </c:pt>
                <c:pt idx="29">
                  <c:v>33.720001220703097</c:v>
                </c:pt>
                <c:pt idx="30">
                  <c:v>33.279998779296797</c:v>
                </c:pt>
                <c:pt idx="31">
                  <c:v>33.040000915527301</c:v>
                </c:pt>
                <c:pt idx="32">
                  <c:v>32.930000305175703</c:v>
                </c:pt>
                <c:pt idx="33">
                  <c:v>33.259998321533203</c:v>
                </c:pt>
                <c:pt idx="34">
                  <c:v>34.310001373291001</c:v>
                </c:pt>
                <c:pt idx="35">
                  <c:v>33.75</c:v>
                </c:pt>
                <c:pt idx="36">
                  <c:v>33.819999694824197</c:v>
                </c:pt>
                <c:pt idx="37">
                  <c:v>33.779998779296797</c:v>
                </c:pt>
                <c:pt idx="38">
                  <c:v>34.189998626708899</c:v>
                </c:pt>
                <c:pt idx="39">
                  <c:v>34.509998321533203</c:v>
                </c:pt>
                <c:pt idx="40">
                  <c:v>34.849998474121001</c:v>
                </c:pt>
                <c:pt idx="41">
                  <c:v>34.130001068115199</c:v>
                </c:pt>
                <c:pt idx="42">
                  <c:v>33.810001373291001</c:v>
                </c:pt>
                <c:pt idx="43">
                  <c:v>33.740001678466797</c:v>
                </c:pt>
                <c:pt idx="44">
                  <c:v>34.880001068115199</c:v>
                </c:pt>
                <c:pt idx="45">
                  <c:v>34.880001068115199</c:v>
                </c:pt>
                <c:pt idx="46">
                  <c:v>34.880001068115199</c:v>
                </c:pt>
                <c:pt idx="47">
                  <c:v>35.360000610351499</c:v>
                </c:pt>
                <c:pt idx="48">
                  <c:v>35.369998931884702</c:v>
                </c:pt>
                <c:pt idx="49">
                  <c:v>35.525001525878899</c:v>
                </c:pt>
                <c:pt idx="50">
                  <c:v>35.049999237060497</c:v>
                </c:pt>
                <c:pt idx="51">
                  <c:v>35.020000457763601</c:v>
                </c:pt>
                <c:pt idx="52">
                  <c:v>35.830001831054602</c:v>
                </c:pt>
                <c:pt idx="53">
                  <c:v>35.689998626708899</c:v>
                </c:pt>
                <c:pt idx="54">
                  <c:v>35.790000915527301</c:v>
                </c:pt>
                <c:pt idx="55">
                  <c:v>35.580001831054602</c:v>
                </c:pt>
                <c:pt idx="56">
                  <c:v>34.9799995422363</c:v>
                </c:pt>
                <c:pt idx="57">
                  <c:v>35.299999237060497</c:v>
                </c:pt>
                <c:pt idx="58">
                  <c:v>35.689998626708899</c:v>
                </c:pt>
                <c:pt idx="59">
                  <c:v>36.040000915527301</c:v>
                </c:pt>
                <c:pt idx="60">
                  <c:v>35.819999694824197</c:v>
                </c:pt>
                <c:pt idx="61">
                  <c:v>34.810001373291001</c:v>
                </c:pt>
                <c:pt idx="62">
                  <c:v>34.529998779296797</c:v>
                </c:pt>
                <c:pt idx="63">
                  <c:v>33.5</c:v>
                </c:pt>
                <c:pt idx="64">
                  <c:v>32.724998474121001</c:v>
                </c:pt>
                <c:pt idx="65">
                  <c:v>33.869998931884702</c:v>
                </c:pt>
                <c:pt idx="66">
                  <c:v>33.880001068115199</c:v>
                </c:pt>
                <c:pt idx="67">
                  <c:v>34.049999237060497</c:v>
                </c:pt>
                <c:pt idx="68">
                  <c:v>33.805000305175703</c:v>
                </c:pt>
                <c:pt idx="69">
                  <c:v>34.284999847412102</c:v>
                </c:pt>
                <c:pt idx="70">
                  <c:v>33.9799995422363</c:v>
                </c:pt>
                <c:pt idx="71">
                  <c:v>33.130001068115199</c:v>
                </c:pt>
                <c:pt idx="72">
                  <c:v>33.169998168945298</c:v>
                </c:pt>
                <c:pt idx="73">
                  <c:v>32.974998474121001</c:v>
                </c:pt>
                <c:pt idx="74">
                  <c:v>33.849998474121001</c:v>
                </c:pt>
                <c:pt idx="75">
                  <c:v>34.080001831054602</c:v>
                </c:pt>
                <c:pt idx="76">
                  <c:v>33.740001678466797</c:v>
                </c:pt>
                <c:pt idx="77">
                  <c:v>32.930000305175703</c:v>
                </c:pt>
                <c:pt idx="78">
                  <c:v>32.900001525878899</c:v>
                </c:pt>
                <c:pt idx="79">
                  <c:v>32.419998168945298</c:v>
                </c:pt>
                <c:pt idx="80">
                  <c:v>31.7299995422363</c:v>
                </c:pt>
                <c:pt idx="81">
                  <c:v>30.899999618530199</c:v>
                </c:pt>
                <c:pt idx="82">
                  <c:v>32.119998931884702</c:v>
                </c:pt>
                <c:pt idx="83">
                  <c:v>32.310001373291001</c:v>
                </c:pt>
                <c:pt idx="84">
                  <c:v>31.399999618530199</c:v>
                </c:pt>
                <c:pt idx="85">
                  <c:v>31.530000686645501</c:v>
                </c:pt>
                <c:pt idx="86">
                  <c:v>30.129999160766602</c:v>
                </c:pt>
                <c:pt idx="87">
                  <c:v>29.690000534057599</c:v>
                </c:pt>
                <c:pt idx="88">
                  <c:v>30.840000152587798</c:v>
                </c:pt>
                <c:pt idx="89">
                  <c:v>31.159999847412099</c:v>
                </c:pt>
                <c:pt idx="90">
                  <c:v>32.020000457763601</c:v>
                </c:pt>
                <c:pt idx="91">
                  <c:v>30.940000534057599</c:v>
                </c:pt>
                <c:pt idx="92">
                  <c:v>29.899999618530199</c:v>
                </c:pt>
                <c:pt idx="93">
                  <c:v>26.9500007629394</c:v>
                </c:pt>
                <c:pt idx="94">
                  <c:v>28.110000610351499</c:v>
                </c:pt>
                <c:pt idx="95">
                  <c:v>27.9500007629394</c:v>
                </c:pt>
                <c:pt idx="96">
                  <c:v>28.069999694824201</c:v>
                </c:pt>
                <c:pt idx="97">
                  <c:v>29.4899997711181</c:v>
                </c:pt>
                <c:pt idx="98">
                  <c:v>31.459999084472599</c:v>
                </c:pt>
                <c:pt idx="99">
                  <c:v>31.030000686645501</c:v>
                </c:pt>
                <c:pt idx="100">
                  <c:v>31.610000610351499</c:v>
                </c:pt>
                <c:pt idx="101">
                  <c:v>30.399999618530199</c:v>
                </c:pt>
                <c:pt idx="102">
                  <c:v>29.549999237060501</c:v>
                </c:pt>
                <c:pt idx="103">
                  <c:v>31.9899997711181</c:v>
                </c:pt>
                <c:pt idx="104">
                  <c:v>34.400001525878899</c:v>
                </c:pt>
                <c:pt idx="105">
                  <c:v>35.790000915527301</c:v>
                </c:pt>
                <c:pt idx="106">
                  <c:v>31.569999694824201</c:v>
                </c:pt>
                <c:pt idx="107">
                  <c:v>34.279998779296797</c:v>
                </c:pt>
                <c:pt idx="108">
                  <c:v>34.4799995422363</c:v>
                </c:pt>
                <c:pt idx="109">
                  <c:v>32.75</c:v>
                </c:pt>
                <c:pt idx="110">
                  <c:v>33.220001220703097</c:v>
                </c:pt>
                <c:pt idx="111">
                  <c:v>31.5100002288818</c:v>
                </c:pt>
                <c:pt idx="112">
                  <c:v>31.670000076293899</c:v>
                </c:pt>
                <c:pt idx="113">
                  <c:v>32.720001220703097</c:v>
                </c:pt>
                <c:pt idx="114">
                  <c:v>33.459999084472599</c:v>
                </c:pt>
                <c:pt idx="115">
                  <c:v>32.290000915527301</c:v>
                </c:pt>
                <c:pt idx="116">
                  <c:v>33.650001525878899</c:v>
                </c:pt>
                <c:pt idx="117">
                  <c:v>32.509998321533203</c:v>
                </c:pt>
                <c:pt idx="118">
                  <c:v>32.2299995422363</c:v>
                </c:pt>
                <c:pt idx="119">
                  <c:v>33.470001220703097</c:v>
                </c:pt>
                <c:pt idx="120">
                  <c:v>31.920000076293899</c:v>
                </c:pt>
                <c:pt idx="121">
                  <c:v>32.380001068115199</c:v>
                </c:pt>
                <c:pt idx="122">
                  <c:v>32.75</c:v>
                </c:pt>
                <c:pt idx="123">
                  <c:v>31.909999847412099</c:v>
                </c:pt>
                <c:pt idx="124">
                  <c:v>32.630001068115199</c:v>
                </c:pt>
                <c:pt idx="125">
                  <c:v>33.150001525878899</c:v>
                </c:pt>
                <c:pt idx="126">
                  <c:v>36.4799995422363</c:v>
                </c:pt>
                <c:pt idx="127">
                  <c:v>34.909999847412102</c:v>
                </c:pt>
                <c:pt idx="128">
                  <c:v>35.590000152587798</c:v>
                </c:pt>
                <c:pt idx="129">
                  <c:v>36.099998474121001</c:v>
                </c:pt>
                <c:pt idx="130">
                  <c:v>35.680000305175703</c:v>
                </c:pt>
                <c:pt idx="131">
                  <c:v>34.950000762939403</c:v>
                </c:pt>
                <c:pt idx="132">
                  <c:v>34.869998931884702</c:v>
                </c:pt>
                <c:pt idx="133">
                  <c:v>34.5</c:v>
                </c:pt>
                <c:pt idx="134">
                  <c:v>36.330001831054602</c:v>
                </c:pt>
                <c:pt idx="135">
                  <c:v>37.110000610351499</c:v>
                </c:pt>
                <c:pt idx="136">
                  <c:v>36.610000610351499</c:v>
                </c:pt>
                <c:pt idx="137">
                  <c:v>35.669998168945298</c:v>
                </c:pt>
                <c:pt idx="138">
                  <c:v>35.599998474121001</c:v>
                </c:pt>
                <c:pt idx="139">
                  <c:v>37</c:v>
                </c:pt>
                <c:pt idx="140">
                  <c:v>35.990001678466797</c:v>
                </c:pt>
                <c:pt idx="141">
                  <c:v>35.880001068115199</c:v>
                </c:pt>
                <c:pt idx="142">
                  <c:v>35.689998626708899</c:v>
                </c:pt>
                <c:pt idx="143">
                  <c:v>35.540000915527301</c:v>
                </c:pt>
                <c:pt idx="144">
                  <c:v>35.259998321533203</c:v>
                </c:pt>
                <c:pt idx="145">
                  <c:v>35.830001831054602</c:v>
                </c:pt>
                <c:pt idx="146">
                  <c:v>36.029998779296797</c:v>
                </c:pt>
                <c:pt idx="147">
                  <c:v>35.130001068115199</c:v>
                </c:pt>
                <c:pt idx="148">
                  <c:v>34.669998168945298</c:v>
                </c:pt>
                <c:pt idx="149">
                  <c:v>36.389999389648402</c:v>
                </c:pt>
                <c:pt idx="150">
                  <c:v>37.040000915527301</c:v>
                </c:pt>
                <c:pt idx="151">
                  <c:v>36.560001373291001</c:v>
                </c:pt>
                <c:pt idx="152">
                  <c:v>35.860000610351499</c:v>
                </c:pt>
                <c:pt idx="153">
                  <c:v>35.270000457763601</c:v>
                </c:pt>
                <c:pt idx="154">
                  <c:v>36.259998321533203</c:v>
                </c:pt>
                <c:pt idx="155">
                  <c:v>35.560001373291001</c:v>
                </c:pt>
                <c:pt idx="156">
                  <c:v>35.330001831054602</c:v>
                </c:pt>
                <c:pt idx="157">
                  <c:v>34.509998321533203</c:v>
                </c:pt>
                <c:pt idx="158">
                  <c:v>35.090000152587798</c:v>
                </c:pt>
                <c:pt idx="159">
                  <c:v>35.159999847412102</c:v>
                </c:pt>
                <c:pt idx="160">
                  <c:v>35.650001525878899</c:v>
                </c:pt>
                <c:pt idx="161">
                  <c:v>37.540000915527301</c:v>
                </c:pt>
                <c:pt idx="162">
                  <c:v>37.020000457763601</c:v>
                </c:pt>
                <c:pt idx="163">
                  <c:v>37.830001831054602</c:v>
                </c:pt>
                <c:pt idx="164">
                  <c:v>38.520000457763601</c:v>
                </c:pt>
                <c:pt idx="165">
                  <c:v>39.4799995422363</c:v>
                </c:pt>
                <c:pt idx="166">
                  <c:v>38.990001678466797</c:v>
                </c:pt>
                <c:pt idx="167">
                  <c:v>39.240001678466797</c:v>
                </c:pt>
                <c:pt idx="168">
                  <c:v>39.470001220703097</c:v>
                </c:pt>
                <c:pt idx="169">
                  <c:v>38.970001220703097</c:v>
                </c:pt>
                <c:pt idx="170">
                  <c:v>38.470001220703097</c:v>
                </c:pt>
                <c:pt idx="171">
                  <c:v>38.990001678466797</c:v>
                </c:pt>
                <c:pt idx="172">
                  <c:v>39</c:v>
                </c:pt>
                <c:pt idx="173">
                  <c:v>38.840000152587798</c:v>
                </c:pt>
                <c:pt idx="174">
                  <c:v>39.119998931884702</c:v>
                </c:pt>
                <c:pt idx="175">
                  <c:v>39.520000457763601</c:v>
                </c:pt>
                <c:pt idx="176">
                  <c:v>38.439998626708899</c:v>
                </c:pt>
                <c:pt idx="177">
                  <c:v>37.369998931884702</c:v>
                </c:pt>
                <c:pt idx="178">
                  <c:v>37.509998321533203</c:v>
                </c:pt>
                <c:pt idx="179">
                  <c:v>37</c:v>
                </c:pt>
                <c:pt idx="180">
                  <c:v>36.189998626708899</c:v>
                </c:pt>
                <c:pt idx="181">
                  <c:v>35.799999237060497</c:v>
                </c:pt>
                <c:pt idx="182">
                  <c:v>35.819999694824197</c:v>
                </c:pt>
                <c:pt idx="183">
                  <c:v>36.360000610351499</c:v>
                </c:pt>
                <c:pt idx="184">
                  <c:v>36.220001220703097</c:v>
                </c:pt>
                <c:pt idx="185">
                  <c:v>36.770000457763601</c:v>
                </c:pt>
                <c:pt idx="186">
                  <c:v>37.369998931884702</c:v>
                </c:pt>
                <c:pt idx="187">
                  <c:v>37.779998779296797</c:v>
                </c:pt>
                <c:pt idx="188">
                  <c:v>38.939998626708899</c:v>
                </c:pt>
                <c:pt idx="189">
                  <c:v>39.209999084472599</c:v>
                </c:pt>
                <c:pt idx="190">
                  <c:v>44.7299995422363</c:v>
                </c:pt>
                <c:pt idx="191">
                  <c:v>42.130001068115199</c:v>
                </c:pt>
                <c:pt idx="192">
                  <c:v>40.930000305175703</c:v>
                </c:pt>
                <c:pt idx="193">
                  <c:v>40.090000152587798</c:v>
                </c:pt>
                <c:pt idx="194">
                  <c:v>41.290000915527301</c:v>
                </c:pt>
                <c:pt idx="195">
                  <c:v>41.130001068115199</c:v>
                </c:pt>
                <c:pt idx="196">
                  <c:v>41.7299995422363</c:v>
                </c:pt>
                <c:pt idx="197">
                  <c:v>40.709999084472599</c:v>
                </c:pt>
                <c:pt idx="198">
                  <c:v>40.040000915527301</c:v>
                </c:pt>
                <c:pt idx="199">
                  <c:v>41.549999237060497</c:v>
                </c:pt>
                <c:pt idx="200">
                  <c:v>41.619998931884702</c:v>
                </c:pt>
                <c:pt idx="201">
                  <c:v>41.299999237060497</c:v>
                </c:pt>
                <c:pt idx="202">
                  <c:v>41.299999237060497</c:v>
                </c:pt>
                <c:pt idx="203">
                  <c:v>41.450000762939403</c:v>
                </c:pt>
                <c:pt idx="204">
                  <c:v>43.590000152587798</c:v>
                </c:pt>
                <c:pt idx="205">
                  <c:v>44.830001831054602</c:v>
                </c:pt>
                <c:pt idx="206">
                  <c:v>44.860000610351499</c:v>
                </c:pt>
                <c:pt idx="207">
                  <c:v>43.650001525878899</c:v>
                </c:pt>
                <c:pt idx="208">
                  <c:v>42.959999084472599</c:v>
                </c:pt>
                <c:pt idx="209">
                  <c:v>42.060001373291001</c:v>
                </c:pt>
                <c:pt idx="210">
                  <c:v>43.799999237060497</c:v>
                </c:pt>
                <c:pt idx="211">
                  <c:v>43.069999694824197</c:v>
                </c:pt>
                <c:pt idx="212">
                  <c:v>43.029998779296797</c:v>
                </c:pt>
                <c:pt idx="213">
                  <c:v>41.970001220703097</c:v>
                </c:pt>
                <c:pt idx="214">
                  <c:v>40.419998168945298</c:v>
                </c:pt>
                <c:pt idx="215">
                  <c:v>42.080001831054602</c:v>
                </c:pt>
                <c:pt idx="216">
                  <c:v>41.200000762939403</c:v>
                </c:pt>
                <c:pt idx="217">
                  <c:v>40.259998321533203</c:v>
                </c:pt>
                <c:pt idx="218">
                  <c:v>40.080001831054602</c:v>
                </c:pt>
                <c:pt idx="219">
                  <c:v>41.189998626708899</c:v>
                </c:pt>
                <c:pt idx="220">
                  <c:v>40.099998474121001</c:v>
                </c:pt>
                <c:pt idx="221">
                  <c:v>40.959999084472599</c:v>
                </c:pt>
                <c:pt idx="222">
                  <c:v>40.009998321533203</c:v>
                </c:pt>
                <c:pt idx="223">
                  <c:v>39.630001068115199</c:v>
                </c:pt>
                <c:pt idx="224">
                  <c:v>40.099998474121001</c:v>
                </c:pt>
                <c:pt idx="225">
                  <c:v>39.919998168945298</c:v>
                </c:pt>
                <c:pt idx="226">
                  <c:v>38.889999389648402</c:v>
                </c:pt>
                <c:pt idx="227">
                  <c:v>37.409999847412102</c:v>
                </c:pt>
                <c:pt idx="228">
                  <c:v>39.090000152587798</c:v>
                </c:pt>
                <c:pt idx="229">
                  <c:v>39.709999084472599</c:v>
                </c:pt>
                <c:pt idx="230">
                  <c:v>39.740001678466797</c:v>
                </c:pt>
                <c:pt idx="231">
                  <c:v>39.380001068115199</c:v>
                </c:pt>
                <c:pt idx="232">
                  <c:v>39.619998931884702</c:v>
                </c:pt>
                <c:pt idx="233">
                  <c:v>39.900001525878899</c:v>
                </c:pt>
                <c:pt idx="234">
                  <c:v>40.919998168945298</c:v>
                </c:pt>
                <c:pt idx="235">
                  <c:v>41.369998931884702</c:v>
                </c:pt>
                <c:pt idx="236">
                  <c:v>39.310001373291001</c:v>
                </c:pt>
                <c:pt idx="237">
                  <c:v>38.939998626708899</c:v>
                </c:pt>
                <c:pt idx="238">
                  <c:v>39.470001220703097</c:v>
                </c:pt>
                <c:pt idx="239">
                  <c:v>39.240001678466797</c:v>
                </c:pt>
                <c:pt idx="240">
                  <c:v>40.590000152587798</c:v>
                </c:pt>
                <c:pt idx="241">
                  <c:v>41.549999237060497</c:v>
                </c:pt>
                <c:pt idx="242">
                  <c:v>41.549999237060497</c:v>
                </c:pt>
                <c:pt idx="243">
                  <c:v>40.590000152587798</c:v>
                </c:pt>
                <c:pt idx="244">
                  <c:v>40.740001678466797</c:v>
                </c:pt>
                <c:pt idx="245">
                  <c:v>41.349998474121001</c:v>
                </c:pt>
                <c:pt idx="246">
                  <c:v>41.25</c:v>
                </c:pt>
                <c:pt idx="247">
                  <c:v>41.189998626708899</c:v>
                </c:pt>
                <c:pt idx="248">
                  <c:v>41.189998626708899</c:v>
                </c:pt>
                <c:pt idx="249">
                  <c:v>41.400001525878899</c:v>
                </c:pt>
                <c:pt idx="250">
                  <c:v>42.319999694824197</c:v>
                </c:pt>
                <c:pt idx="251">
                  <c:v>41.310001373291001</c:v>
                </c:pt>
                <c:pt idx="252">
                  <c:v>41.290000915527301</c:v>
                </c:pt>
                <c:pt idx="253">
                  <c:v>42.400001525878899</c:v>
                </c:pt>
                <c:pt idx="254">
                  <c:v>43.459999084472599</c:v>
                </c:pt>
                <c:pt idx="255">
                  <c:v>42.779998779296797</c:v>
                </c:pt>
                <c:pt idx="256">
                  <c:v>40.650001525878899</c:v>
                </c:pt>
                <c:pt idx="257">
                  <c:v>40.990001678466797</c:v>
                </c:pt>
                <c:pt idx="258">
                  <c:v>41.659999847412102</c:v>
                </c:pt>
                <c:pt idx="259">
                  <c:v>42.049999237060497</c:v>
                </c:pt>
                <c:pt idx="260">
                  <c:v>42.340000152587798</c:v>
                </c:pt>
                <c:pt idx="261">
                  <c:v>41.790000915527301</c:v>
                </c:pt>
                <c:pt idx="262">
                  <c:v>41.169998168945298</c:v>
                </c:pt>
                <c:pt idx="263">
                  <c:v>42.939998626708899</c:v>
                </c:pt>
                <c:pt idx="264">
                  <c:v>43.020000457763601</c:v>
                </c:pt>
                <c:pt idx="265">
                  <c:v>43.7299995422363</c:v>
                </c:pt>
                <c:pt idx="266">
                  <c:v>43.490001678466797</c:v>
                </c:pt>
                <c:pt idx="267">
                  <c:v>45.090000152587798</c:v>
                </c:pt>
                <c:pt idx="268">
                  <c:v>44.759998321533203</c:v>
                </c:pt>
                <c:pt idx="269">
                  <c:v>43.150001525878899</c:v>
                </c:pt>
                <c:pt idx="270">
                  <c:v>41.909999847412102</c:v>
                </c:pt>
                <c:pt idx="271">
                  <c:v>42.7299995422363</c:v>
                </c:pt>
                <c:pt idx="272">
                  <c:v>42.810001373291001</c:v>
                </c:pt>
                <c:pt idx="273">
                  <c:v>42.5</c:v>
                </c:pt>
                <c:pt idx="274">
                  <c:v>43</c:v>
                </c:pt>
                <c:pt idx="275">
                  <c:v>43.130001068115199</c:v>
                </c:pt>
                <c:pt idx="276">
                  <c:v>42.759998321533203</c:v>
                </c:pt>
                <c:pt idx="277">
                  <c:v>42.799999237060497</c:v>
                </c:pt>
                <c:pt idx="278">
                  <c:v>43.819999694824197</c:v>
                </c:pt>
                <c:pt idx="279">
                  <c:v>43.459999084472599</c:v>
                </c:pt>
                <c:pt idx="280">
                  <c:v>43.4799995422363</c:v>
                </c:pt>
                <c:pt idx="281">
                  <c:v>42.909999847412102</c:v>
                </c:pt>
                <c:pt idx="282">
                  <c:v>42.939998626708899</c:v>
                </c:pt>
                <c:pt idx="283">
                  <c:v>42.540000915527301</c:v>
                </c:pt>
                <c:pt idx="284">
                  <c:v>42.040000915527301</c:v>
                </c:pt>
                <c:pt idx="285">
                  <c:v>42.040000915527301</c:v>
                </c:pt>
                <c:pt idx="286">
                  <c:v>42.919998168945298</c:v>
                </c:pt>
                <c:pt idx="287">
                  <c:v>42.849998474121001</c:v>
                </c:pt>
                <c:pt idx="288">
                  <c:v>43.049999237060497</c:v>
                </c:pt>
                <c:pt idx="289">
                  <c:v>43.389999389648402</c:v>
                </c:pt>
                <c:pt idx="290">
                  <c:v>43.029998779296797</c:v>
                </c:pt>
                <c:pt idx="291">
                  <c:v>41.970001220703097</c:v>
                </c:pt>
                <c:pt idx="292">
                  <c:v>42.139999389648402</c:v>
                </c:pt>
                <c:pt idx="293">
                  <c:v>43.25</c:v>
                </c:pt>
                <c:pt idx="294">
                  <c:v>42.590000152587798</c:v>
                </c:pt>
                <c:pt idx="295">
                  <c:v>43.069999694824197</c:v>
                </c:pt>
                <c:pt idx="296">
                  <c:v>43.709999084472599</c:v>
                </c:pt>
                <c:pt idx="297">
                  <c:v>43.209999084472599</c:v>
                </c:pt>
                <c:pt idx="298">
                  <c:v>43.240001678466797</c:v>
                </c:pt>
                <c:pt idx="299">
                  <c:v>42.849998474121001</c:v>
                </c:pt>
                <c:pt idx="300">
                  <c:v>43.049999237060497</c:v>
                </c:pt>
                <c:pt idx="301">
                  <c:v>42.919998168945298</c:v>
                </c:pt>
                <c:pt idx="302">
                  <c:v>43.520000457763601</c:v>
                </c:pt>
                <c:pt idx="303">
                  <c:v>43.360000610351499</c:v>
                </c:pt>
                <c:pt idx="304">
                  <c:v>43.669998168945298</c:v>
                </c:pt>
                <c:pt idx="305">
                  <c:v>43.119998931884702</c:v>
                </c:pt>
                <c:pt idx="306">
                  <c:v>43.349998474121001</c:v>
                </c:pt>
                <c:pt idx="307">
                  <c:v>42.669998168945298</c:v>
                </c:pt>
                <c:pt idx="308">
                  <c:v>42.569999694824197</c:v>
                </c:pt>
                <c:pt idx="309">
                  <c:v>43.2299995422363</c:v>
                </c:pt>
                <c:pt idx="310">
                  <c:v>42.599998474121001</c:v>
                </c:pt>
                <c:pt idx="311">
                  <c:v>42.9799995422363</c:v>
                </c:pt>
                <c:pt idx="312">
                  <c:v>42.549999237060497</c:v>
                </c:pt>
                <c:pt idx="313">
                  <c:v>42.159999847412102</c:v>
                </c:pt>
                <c:pt idx="314">
                  <c:v>42.25</c:v>
                </c:pt>
                <c:pt idx="315">
                  <c:v>41.9799995422363</c:v>
                </c:pt>
                <c:pt idx="316">
                  <c:v>40.4799995422363</c:v>
                </c:pt>
                <c:pt idx="317">
                  <c:v>40.130001068115199</c:v>
                </c:pt>
                <c:pt idx="318">
                  <c:v>38.520000457763601</c:v>
                </c:pt>
                <c:pt idx="319">
                  <c:v>40.060001373291001</c:v>
                </c:pt>
                <c:pt idx="320">
                  <c:v>40.150001525878899</c:v>
                </c:pt>
                <c:pt idx="321">
                  <c:v>39.990001678466797</c:v>
                </c:pt>
                <c:pt idx="322">
                  <c:v>39.549999237060497</c:v>
                </c:pt>
                <c:pt idx="323">
                  <c:v>39.490001678466797</c:v>
                </c:pt>
                <c:pt idx="324">
                  <c:v>39.700000762939403</c:v>
                </c:pt>
                <c:pt idx="325">
                  <c:v>39.659999847412102</c:v>
                </c:pt>
                <c:pt idx="326">
                  <c:v>39.200000762939403</c:v>
                </c:pt>
                <c:pt idx="327">
                  <c:v>39.159999847412102</c:v>
                </c:pt>
                <c:pt idx="328">
                  <c:v>39.110000610351499</c:v>
                </c:pt>
                <c:pt idx="329">
                  <c:v>38.990001678466797</c:v>
                </c:pt>
                <c:pt idx="330">
                  <c:v>38.860000610351499</c:v>
                </c:pt>
                <c:pt idx="331">
                  <c:v>38.330001831054602</c:v>
                </c:pt>
                <c:pt idx="332">
                  <c:v>38.360000610351499</c:v>
                </c:pt>
                <c:pt idx="333">
                  <c:v>37.099998474121001</c:v>
                </c:pt>
                <c:pt idx="334">
                  <c:v>38.029998779296797</c:v>
                </c:pt>
                <c:pt idx="335">
                  <c:v>38.860000610351499</c:v>
                </c:pt>
                <c:pt idx="336">
                  <c:v>38.130001068115199</c:v>
                </c:pt>
                <c:pt idx="337">
                  <c:v>39.299999237060497</c:v>
                </c:pt>
                <c:pt idx="338">
                  <c:v>39.700000762939403</c:v>
                </c:pt>
                <c:pt idx="339">
                  <c:v>40.590000152587798</c:v>
                </c:pt>
                <c:pt idx="340">
                  <c:v>40.790000915527301</c:v>
                </c:pt>
                <c:pt idx="341">
                  <c:v>40.619998931884702</c:v>
                </c:pt>
                <c:pt idx="342">
                  <c:v>41.4799995422363</c:v>
                </c:pt>
                <c:pt idx="343">
                  <c:v>41.810001373291001</c:v>
                </c:pt>
                <c:pt idx="344">
                  <c:v>42.369998931884702</c:v>
                </c:pt>
                <c:pt idx="345">
                  <c:v>42.75</c:v>
                </c:pt>
                <c:pt idx="346">
                  <c:v>43.209999084472599</c:v>
                </c:pt>
                <c:pt idx="347">
                  <c:v>43.029998779296797</c:v>
                </c:pt>
                <c:pt idx="348">
                  <c:v>43.909999847412102</c:v>
                </c:pt>
                <c:pt idx="349">
                  <c:v>43.619998931884702</c:v>
                </c:pt>
                <c:pt idx="350">
                  <c:v>43.580001831054602</c:v>
                </c:pt>
                <c:pt idx="351">
                  <c:v>42.919998168945298</c:v>
                </c:pt>
                <c:pt idx="352">
                  <c:v>42.130001068115199</c:v>
                </c:pt>
                <c:pt idx="353">
                  <c:v>42.529998779296797</c:v>
                </c:pt>
                <c:pt idx="354">
                  <c:v>43.259998321533203</c:v>
                </c:pt>
                <c:pt idx="355">
                  <c:v>43.119998931884702</c:v>
                </c:pt>
                <c:pt idx="356">
                  <c:v>42.709999084472599</c:v>
                </c:pt>
                <c:pt idx="357">
                  <c:v>44.220001220703097</c:v>
                </c:pt>
                <c:pt idx="358">
                  <c:v>42.889999389648402</c:v>
                </c:pt>
                <c:pt idx="359">
                  <c:v>42.900001525878899</c:v>
                </c:pt>
                <c:pt idx="360">
                  <c:v>43.049999237060497</c:v>
                </c:pt>
                <c:pt idx="361">
                  <c:v>42.580001831054602</c:v>
                </c:pt>
                <c:pt idx="362">
                  <c:v>42.439998626708899</c:v>
                </c:pt>
                <c:pt idx="363">
                  <c:v>42.139999389648402</c:v>
                </c:pt>
                <c:pt idx="364">
                  <c:v>42.090000152587798</c:v>
                </c:pt>
                <c:pt idx="365">
                  <c:v>41.919998168945298</c:v>
                </c:pt>
                <c:pt idx="366">
                  <c:v>41.599998474121001</c:v>
                </c:pt>
                <c:pt idx="367">
                  <c:v>41.869998931884702</c:v>
                </c:pt>
                <c:pt idx="368">
                  <c:v>41.880001068115199</c:v>
                </c:pt>
                <c:pt idx="369">
                  <c:v>41.680000305175703</c:v>
                </c:pt>
                <c:pt idx="370">
                  <c:v>41.040000915527301</c:v>
                </c:pt>
                <c:pt idx="371">
                  <c:v>41.799999237060497</c:v>
                </c:pt>
                <c:pt idx="372">
                  <c:v>42.2299995422363</c:v>
                </c:pt>
                <c:pt idx="373">
                  <c:v>42.619998931884702</c:v>
                </c:pt>
                <c:pt idx="374">
                  <c:v>42.040000915527301</c:v>
                </c:pt>
                <c:pt idx="375">
                  <c:v>41.669998168945298</c:v>
                </c:pt>
                <c:pt idx="376">
                  <c:v>40.939998626708899</c:v>
                </c:pt>
                <c:pt idx="377">
                  <c:v>41.279998779296797</c:v>
                </c:pt>
                <c:pt idx="378">
                  <c:v>41.830001831054602</c:v>
                </c:pt>
                <c:pt idx="379">
                  <c:v>40.540000915527301</c:v>
                </c:pt>
                <c:pt idx="380">
                  <c:v>41.119998931884702</c:v>
                </c:pt>
                <c:pt idx="381">
                  <c:v>41.209999084472599</c:v>
                </c:pt>
                <c:pt idx="382">
                  <c:v>40.930000305175703</c:v>
                </c:pt>
                <c:pt idx="383">
                  <c:v>41.029998779296797</c:v>
                </c:pt>
                <c:pt idx="384">
                  <c:v>41.099998474121001</c:v>
                </c:pt>
                <c:pt idx="385">
                  <c:v>40.650001525878899</c:v>
                </c:pt>
                <c:pt idx="386">
                  <c:v>40.509998321533203</c:v>
                </c:pt>
                <c:pt idx="387">
                  <c:v>40.5</c:v>
                </c:pt>
                <c:pt idx="388">
                  <c:v>39.779998779296797</c:v>
                </c:pt>
                <c:pt idx="389">
                  <c:v>39.009998321533203</c:v>
                </c:pt>
                <c:pt idx="390">
                  <c:v>39.5</c:v>
                </c:pt>
                <c:pt idx="391">
                  <c:v>39.900001525878899</c:v>
                </c:pt>
                <c:pt idx="392">
                  <c:v>40.029998779296797</c:v>
                </c:pt>
                <c:pt idx="393">
                  <c:v>40.790000915527301</c:v>
                </c:pt>
                <c:pt idx="394">
                  <c:v>40.020000457763601</c:v>
                </c:pt>
                <c:pt idx="395">
                  <c:v>40.5</c:v>
                </c:pt>
                <c:pt idx="396">
                  <c:v>41.25</c:v>
                </c:pt>
                <c:pt idx="397">
                  <c:v>42.549999237060497</c:v>
                </c:pt>
                <c:pt idx="398">
                  <c:v>43.240001678466797</c:v>
                </c:pt>
                <c:pt idx="399">
                  <c:v>43.290000915527301</c:v>
                </c:pt>
                <c:pt idx="400">
                  <c:v>43.849998474121001</c:v>
                </c:pt>
                <c:pt idx="401">
                  <c:v>43.560001373291001</c:v>
                </c:pt>
                <c:pt idx="402">
                  <c:v>43.689998626708899</c:v>
                </c:pt>
                <c:pt idx="403">
                  <c:v>44.200000762939403</c:v>
                </c:pt>
                <c:pt idx="404">
                  <c:v>43.75</c:v>
                </c:pt>
                <c:pt idx="405">
                  <c:v>44.259998321533203</c:v>
                </c:pt>
                <c:pt idx="406">
                  <c:v>45.270000457763601</c:v>
                </c:pt>
                <c:pt idx="407">
                  <c:v>45.25</c:v>
                </c:pt>
                <c:pt idx="408">
                  <c:v>44.740001678466797</c:v>
                </c:pt>
                <c:pt idx="409">
                  <c:v>44.5</c:v>
                </c:pt>
                <c:pt idx="410">
                  <c:v>44.630001068115199</c:v>
                </c:pt>
                <c:pt idx="411">
                  <c:v>44.810001373291001</c:v>
                </c:pt>
                <c:pt idx="412">
                  <c:v>44.880001068115199</c:v>
                </c:pt>
                <c:pt idx="413">
                  <c:v>44.020000457763601</c:v>
                </c:pt>
                <c:pt idx="414">
                  <c:v>44.169998168945298</c:v>
                </c:pt>
                <c:pt idx="415">
                  <c:v>43.810001373291001</c:v>
                </c:pt>
                <c:pt idx="416">
                  <c:v>43.840000152587798</c:v>
                </c:pt>
                <c:pt idx="417">
                  <c:v>43.419998168945298</c:v>
                </c:pt>
                <c:pt idx="418">
                  <c:v>43.939998626708899</c:v>
                </c:pt>
                <c:pt idx="419">
                  <c:v>43.830001831054602</c:v>
                </c:pt>
                <c:pt idx="420">
                  <c:v>43.650001525878899</c:v>
                </c:pt>
                <c:pt idx="421">
                  <c:v>43.659999847412102</c:v>
                </c:pt>
                <c:pt idx="422">
                  <c:v>43.889999389648402</c:v>
                </c:pt>
                <c:pt idx="423">
                  <c:v>43.770000457763601</c:v>
                </c:pt>
                <c:pt idx="424">
                  <c:v>43.380001068115199</c:v>
                </c:pt>
                <c:pt idx="425">
                  <c:v>43.810001373291001</c:v>
                </c:pt>
                <c:pt idx="426">
                  <c:v>43.639999389648402</c:v>
                </c:pt>
                <c:pt idx="427">
                  <c:v>45.189998626708899</c:v>
                </c:pt>
                <c:pt idx="428">
                  <c:v>44.360000610351499</c:v>
                </c:pt>
                <c:pt idx="429">
                  <c:v>45.130001068115199</c:v>
                </c:pt>
                <c:pt idx="430">
                  <c:v>44.619998931884702</c:v>
                </c:pt>
                <c:pt idx="431">
                  <c:v>44.240001678466797</c:v>
                </c:pt>
                <c:pt idx="432">
                  <c:v>43.619998931884702</c:v>
                </c:pt>
                <c:pt idx="433">
                  <c:v>45.139999389648402</c:v>
                </c:pt>
                <c:pt idx="434">
                  <c:v>44.869998931884702</c:v>
                </c:pt>
                <c:pt idx="435">
                  <c:v>44.840000152587798</c:v>
                </c:pt>
                <c:pt idx="436">
                  <c:v>43.740001678466797</c:v>
                </c:pt>
                <c:pt idx="437">
                  <c:v>44.419998168945298</c:v>
                </c:pt>
                <c:pt idx="438">
                  <c:v>44.790000915527301</c:v>
                </c:pt>
                <c:pt idx="439">
                  <c:v>44.790000915527301</c:v>
                </c:pt>
                <c:pt idx="440">
                  <c:v>45.340000152587798</c:v>
                </c:pt>
                <c:pt idx="441">
                  <c:v>45.669998168945298</c:v>
                </c:pt>
                <c:pt idx="442">
                  <c:v>45.060001373291001</c:v>
                </c:pt>
                <c:pt idx="443">
                  <c:v>46.740001678466797</c:v>
                </c:pt>
                <c:pt idx="444">
                  <c:v>45.880001068115199</c:v>
                </c:pt>
                <c:pt idx="445">
                  <c:v>47.709999084472599</c:v>
                </c:pt>
                <c:pt idx="446">
                  <c:v>48.330001831054602</c:v>
                </c:pt>
                <c:pt idx="447">
                  <c:v>48.75</c:v>
                </c:pt>
                <c:pt idx="448">
                  <c:v>48.400001525878899</c:v>
                </c:pt>
                <c:pt idx="449">
                  <c:v>49</c:v>
                </c:pt>
                <c:pt idx="450">
                  <c:v>49.439998626708899</c:v>
                </c:pt>
                <c:pt idx="451">
                  <c:v>49.159999847412102</c:v>
                </c:pt>
                <c:pt idx="452">
                  <c:v>49.689998626708899</c:v>
                </c:pt>
                <c:pt idx="453">
                  <c:v>48.950000762939403</c:v>
                </c:pt>
                <c:pt idx="454">
                  <c:v>48.889999389648402</c:v>
                </c:pt>
                <c:pt idx="455">
                  <c:v>49.630001068115199</c:v>
                </c:pt>
                <c:pt idx="456">
                  <c:v>51.430000305175703</c:v>
                </c:pt>
                <c:pt idx="457">
                  <c:v>50.990001678466797</c:v>
                </c:pt>
                <c:pt idx="458">
                  <c:v>49.810001373291001</c:v>
                </c:pt>
                <c:pt idx="459">
                  <c:v>49.819999694824197</c:v>
                </c:pt>
                <c:pt idx="460">
                  <c:v>49.930000305175703</c:v>
                </c:pt>
                <c:pt idx="461">
                  <c:v>49.299999237060497</c:v>
                </c:pt>
                <c:pt idx="462">
                  <c:v>49.029998779296797</c:v>
                </c:pt>
                <c:pt idx="463">
                  <c:v>49.680000305175703</c:v>
                </c:pt>
                <c:pt idx="464">
                  <c:v>49.700000762939403</c:v>
                </c:pt>
                <c:pt idx="465">
                  <c:v>49.819999694824197</c:v>
                </c:pt>
                <c:pt idx="466">
                  <c:v>50.819999694824197</c:v>
                </c:pt>
                <c:pt idx="467">
                  <c:v>50.650001525878899</c:v>
                </c:pt>
                <c:pt idx="468">
                  <c:v>50.369998931884702</c:v>
                </c:pt>
                <c:pt idx="469">
                  <c:v>49.409999847412102</c:v>
                </c:pt>
                <c:pt idx="470">
                  <c:v>49.970001220703097</c:v>
                </c:pt>
                <c:pt idx="471">
                  <c:v>49.450000762939403</c:v>
                </c:pt>
                <c:pt idx="472">
                  <c:v>49.770000457763601</c:v>
                </c:pt>
                <c:pt idx="473">
                  <c:v>50.080001831054602</c:v>
                </c:pt>
                <c:pt idx="474">
                  <c:v>50.310001373291001</c:v>
                </c:pt>
                <c:pt idx="475">
                  <c:v>51.340000152587798</c:v>
                </c:pt>
                <c:pt idx="476">
                  <c:v>55.299999237060497</c:v>
                </c:pt>
                <c:pt idx="477">
                  <c:v>56</c:v>
                </c:pt>
                <c:pt idx="478">
                  <c:v>56.2299995422363</c:v>
                </c:pt>
                <c:pt idx="479">
                  <c:v>57.909999847412102</c:v>
                </c:pt>
                <c:pt idx="480">
                  <c:v>57.880001068115199</c:v>
                </c:pt>
                <c:pt idx="481">
                  <c:v>58.279998779296797</c:v>
                </c:pt>
                <c:pt idx="482">
                  <c:v>58.310001373291001</c:v>
                </c:pt>
                <c:pt idx="483">
                  <c:v>56.619998931884702</c:v>
                </c:pt>
                <c:pt idx="484">
                  <c:v>56.310001373291001</c:v>
                </c:pt>
                <c:pt idx="485">
                  <c:v>55.319999694824197</c:v>
                </c:pt>
                <c:pt idx="486">
                  <c:v>57.830001831054602</c:v>
                </c:pt>
                <c:pt idx="487">
                  <c:v>58.040000915527301</c:v>
                </c:pt>
                <c:pt idx="488">
                  <c:v>57.299999237060497</c:v>
                </c:pt>
                <c:pt idx="489">
                  <c:v>57.290000915527301</c:v>
                </c:pt>
                <c:pt idx="490">
                  <c:v>57.9799995422363</c:v>
                </c:pt>
                <c:pt idx="491">
                  <c:v>59.340000152587798</c:v>
                </c:pt>
                <c:pt idx="492">
                  <c:v>58.299999237060497</c:v>
                </c:pt>
                <c:pt idx="493">
                  <c:v>58.75</c:v>
                </c:pt>
                <c:pt idx="494">
                  <c:v>57.590000152587798</c:v>
                </c:pt>
                <c:pt idx="495">
                  <c:v>55.540000915527301</c:v>
                </c:pt>
                <c:pt idx="496">
                  <c:v>56.869998931884702</c:v>
                </c:pt>
                <c:pt idx="497">
                  <c:v>57.169998168945298</c:v>
                </c:pt>
                <c:pt idx="498">
                  <c:v>57.880001068115199</c:v>
                </c:pt>
                <c:pt idx="499">
                  <c:v>59.630001068115199</c:v>
                </c:pt>
                <c:pt idx="500">
                  <c:v>57.630001068115199</c:v>
                </c:pt>
                <c:pt idx="501">
                  <c:v>57.880001068115199</c:v>
                </c:pt>
                <c:pt idx="502">
                  <c:v>57.639999389648402</c:v>
                </c:pt>
                <c:pt idx="503">
                  <c:v>56.509998321533203</c:v>
                </c:pt>
                <c:pt idx="504">
                  <c:v>56.619998931884702</c:v>
                </c:pt>
                <c:pt idx="505">
                  <c:v>57.439998626708899</c:v>
                </c:pt>
                <c:pt idx="506">
                  <c:v>57.509998321533203</c:v>
                </c:pt>
                <c:pt idx="507">
                  <c:v>56.279998779296797</c:v>
                </c:pt>
                <c:pt idx="508">
                  <c:v>60.939998626708899</c:v>
                </c:pt>
                <c:pt idx="509">
                  <c:v>62.860000610351499</c:v>
                </c:pt>
                <c:pt idx="510">
                  <c:v>61.9799995422363</c:v>
                </c:pt>
                <c:pt idx="511">
                  <c:v>62.909999847412102</c:v>
                </c:pt>
                <c:pt idx="512">
                  <c:v>63.400001525878899</c:v>
                </c:pt>
                <c:pt idx="513">
                  <c:v>61.209999084472599</c:v>
                </c:pt>
                <c:pt idx="514">
                  <c:v>62.819999694824197</c:v>
                </c:pt>
                <c:pt idx="515">
                  <c:v>61.580001831054602</c:v>
                </c:pt>
                <c:pt idx="516">
                  <c:v>59.659999847412102</c:v>
                </c:pt>
                <c:pt idx="517">
                  <c:v>59.840000152587798</c:v>
                </c:pt>
                <c:pt idx="518">
                  <c:v>60.950000762939403</c:v>
                </c:pt>
                <c:pt idx="519">
                  <c:v>60.509998321533203</c:v>
                </c:pt>
                <c:pt idx="520">
                  <c:v>60.470001220703097</c:v>
                </c:pt>
                <c:pt idx="521">
                  <c:v>58.159999847412102</c:v>
                </c:pt>
                <c:pt idx="522">
                  <c:v>56.400001525878899</c:v>
                </c:pt>
                <c:pt idx="523">
                  <c:v>55.650001525878899</c:v>
                </c:pt>
                <c:pt idx="524">
                  <c:v>56.419998168945298</c:v>
                </c:pt>
                <c:pt idx="525">
                  <c:v>55.049999237060497</c:v>
                </c:pt>
                <c:pt idx="526">
                  <c:v>54.430000305175703</c:v>
                </c:pt>
                <c:pt idx="527">
                  <c:v>52.810001373291001</c:v>
                </c:pt>
                <c:pt idx="528">
                  <c:v>56.220001220703097</c:v>
                </c:pt>
                <c:pt idx="529">
                  <c:v>56.139999389648402</c:v>
                </c:pt>
                <c:pt idx="530">
                  <c:v>56.310001373291001</c:v>
                </c:pt>
                <c:pt idx="531">
                  <c:v>56.830001831054602</c:v>
                </c:pt>
                <c:pt idx="532">
                  <c:v>56.209999084472599</c:v>
                </c:pt>
                <c:pt idx="533">
                  <c:v>57.590000152587798</c:v>
                </c:pt>
                <c:pt idx="534">
                  <c:v>54.790000915527301</c:v>
                </c:pt>
                <c:pt idx="535">
                  <c:v>56.279998779296797</c:v>
                </c:pt>
                <c:pt idx="536">
                  <c:v>58.400001525878899</c:v>
                </c:pt>
                <c:pt idx="537">
                  <c:v>56.830001831054602</c:v>
                </c:pt>
                <c:pt idx="538">
                  <c:v>58.779998779296797</c:v>
                </c:pt>
                <c:pt idx="539">
                  <c:v>59.4799995422363</c:v>
                </c:pt>
                <c:pt idx="540">
                  <c:v>58.25</c:v>
                </c:pt>
                <c:pt idx="541">
                  <c:v>61.470001220703097</c:v>
                </c:pt>
                <c:pt idx="542">
                  <c:v>62.880001068115199</c:v>
                </c:pt>
                <c:pt idx="543">
                  <c:v>61.150001525878899</c:v>
                </c:pt>
                <c:pt idx="544">
                  <c:v>62.659999847412102</c:v>
                </c:pt>
                <c:pt idx="545">
                  <c:v>62.130001068115199</c:v>
                </c:pt>
                <c:pt idx="546">
                  <c:v>62.810001373291001</c:v>
                </c:pt>
                <c:pt idx="547">
                  <c:v>62.840000152587798</c:v>
                </c:pt>
                <c:pt idx="548">
                  <c:v>62.270000457763601</c:v>
                </c:pt>
                <c:pt idx="549">
                  <c:v>62.130001068115199</c:v>
                </c:pt>
                <c:pt idx="550">
                  <c:v>62.939998626708899</c:v>
                </c:pt>
                <c:pt idx="551">
                  <c:v>62.970001220703097</c:v>
                </c:pt>
                <c:pt idx="552">
                  <c:v>62.470001220703097</c:v>
                </c:pt>
                <c:pt idx="553">
                  <c:v>62.909999847412102</c:v>
                </c:pt>
                <c:pt idx="554">
                  <c:v>60.990001678466797</c:v>
                </c:pt>
                <c:pt idx="555">
                  <c:v>63.689998626708899</c:v>
                </c:pt>
                <c:pt idx="556">
                  <c:v>64.480003356933594</c:v>
                </c:pt>
                <c:pt idx="557">
                  <c:v>63.330001831054602</c:v>
                </c:pt>
                <c:pt idx="558">
                  <c:v>65.010002136230398</c:v>
                </c:pt>
                <c:pt idx="559">
                  <c:v>67.040000915527301</c:v>
                </c:pt>
                <c:pt idx="560">
                  <c:v>65.940002441406193</c:v>
                </c:pt>
                <c:pt idx="561">
                  <c:v>66.430000305175696</c:v>
                </c:pt>
                <c:pt idx="562">
                  <c:v>66.540000915527301</c:v>
                </c:pt>
                <c:pt idx="563">
                  <c:v>63.290000915527301</c:v>
                </c:pt>
                <c:pt idx="564">
                  <c:v>63.569999694824197</c:v>
                </c:pt>
                <c:pt idx="565">
                  <c:v>63.939998626708899</c:v>
                </c:pt>
                <c:pt idx="566">
                  <c:v>63.2299995422363</c:v>
                </c:pt>
                <c:pt idx="567">
                  <c:v>62.889999389648402</c:v>
                </c:pt>
                <c:pt idx="568">
                  <c:v>63.009998321533203</c:v>
                </c:pt>
                <c:pt idx="569">
                  <c:v>62.389999389648402</c:v>
                </c:pt>
                <c:pt idx="570">
                  <c:v>60.540000915527301</c:v>
                </c:pt>
                <c:pt idx="571">
                  <c:v>61.529998779296797</c:v>
                </c:pt>
                <c:pt idx="572">
                  <c:v>64.589996337890597</c:v>
                </c:pt>
                <c:pt idx="573">
                  <c:v>65.099998474121094</c:v>
                </c:pt>
                <c:pt idx="574">
                  <c:v>63.209999084472599</c:v>
                </c:pt>
                <c:pt idx="575">
                  <c:v>60.909999847412102</c:v>
                </c:pt>
                <c:pt idx="576">
                  <c:v>62.009998321533203</c:v>
                </c:pt>
                <c:pt idx="577">
                  <c:v>63.400001525878899</c:v>
                </c:pt>
                <c:pt idx="578">
                  <c:v>64.040000915527301</c:v>
                </c:pt>
                <c:pt idx="579">
                  <c:v>63.439998626708899</c:v>
                </c:pt>
                <c:pt idx="580">
                  <c:v>64.629997253417898</c:v>
                </c:pt>
                <c:pt idx="581">
                  <c:v>62.900001525878899</c:v>
                </c:pt>
                <c:pt idx="582">
                  <c:v>63.069999694824197</c:v>
                </c:pt>
                <c:pt idx="583">
                  <c:v>63.220001220703097</c:v>
                </c:pt>
                <c:pt idx="584">
                  <c:v>63.75</c:v>
                </c:pt>
                <c:pt idx="585">
                  <c:v>64.809997558593693</c:v>
                </c:pt>
                <c:pt idx="586">
                  <c:v>64.690002441406193</c:v>
                </c:pt>
                <c:pt idx="587">
                  <c:v>65.489997863769503</c:v>
                </c:pt>
                <c:pt idx="588">
                  <c:v>62.659999847412102</c:v>
                </c:pt>
                <c:pt idx="589">
                  <c:v>62.360000610351499</c:v>
                </c:pt>
                <c:pt idx="590">
                  <c:v>64.349998474121094</c:v>
                </c:pt>
                <c:pt idx="591">
                  <c:v>63.069999694824197</c:v>
                </c:pt>
                <c:pt idx="592">
                  <c:v>62.330001831054602</c:v>
                </c:pt>
                <c:pt idx="593">
                  <c:v>61.900001525878899</c:v>
                </c:pt>
                <c:pt idx="594">
                  <c:v>59.209999084472599</c:v>
                </c:pt>
                <c:pt idx="595">
                  <c:v>57.439998626708899</c:v>
                </c:pt>
                <c:pt idx="596">
                  <c:v>53.200000762939403</c:v>
                </c:pt>
                <c:pt idx="597">
                  <c:v>54.209999084472599</c:v>
                </c:pt>
                <c:pt idx="598">
                  <c:v>56.459999084472599</c:v>
                </c:pt>
                <c:pt idx="599">
                  <c:v>57.099998474121001</c:v>
                </c:pt>
                <c:pt idx="600">
                  <c:v>56.650001525878899</c:v>
                </c:pt>
                <c:pt idx="601">
                  <c:v>55.200000762939403</c:v>
                </c:pt>
                <c:pt idx="602">
                  <c:v>56.270000457763601</c:v>
                </c:pt>
                <c:pt idx="603">
                  <c:v>58.889999389648402</c:v>
                </c:pt>
                <c:pt idx="604">
                  <c:v>58.720001220703097</c:v>
                </c:pt>
                <c:pt idx="605">
                  <c:v>57.9799995422363</c:v>
                </c:pt>
                <c:pt idx="606">
                  <c:v>59.290000915527301</c:v>
                </c:pt>
                <c:pt idx="607">
                  <c:v>57.490001678466797</c:v>
                </c:pt>
                <c:pt idx="608">
                  <c:v>57.7299995422363</c:v>
                </c:pt>
                <c:pt idx="609">
                  <c:v>58.279998779296797</c:v>
                </c:pt>
                <c:pt idx="610">
                  <c:v>59.220001220703097</c:v>
                </c:pt>
                <c:pt idx="611">
                  <c:v>60.599998474121001</c:v>
                </c:pt>
                <c:pt idx="612">
                  <c:v>60.119998931884702</c:v>
                </c:pt>
                <c:pt idx="613">
                  <c:v>60.060001373291001</c:v>
                </c:pt>
                <c:pt idx="614">
                  <c:v>62.9799995422363</c:v>
                </c:pt>
                <c:pt idx="615">
                  <c:v>64.319999694824205</c:v>
                </c:pt>
                <c:pt idx="616">
                  <c:v>62.5</c:v>
                </c:pt>
                <c:pt idx="617">
                  <c:v>59.509998321533203</c:v>
                </c:pt>
                <c:pt idx="618">
                  <c:v>59.5</c:v>
                </c:pt>
                <c:pt idx="619">
                  <c:v>59.220001220703097</c:v>
                </c:pt>
                <c:pt idx="620">
                  <c:v>58.409999847412102</c:v>
                </c:pt>
                <c:pt idx="621">
                  <c:v>56.650001525878899</c:v>
                </c:pt>
                <c:pt idx="622">
                  <c:v>57.779998779296797</c:v>
                </c:pt>
                <c:pt idx="623">
                  <c:v>57.779998779296797</c:v>
                </c:pt>
                <c:pt idx="624">
                  <c:v>59.610000610351499</c:v>
                </c:pt>
                <c:pt idx="625">
                  <c:v>57.610000610351499</c:v>
                </c:pt>
                <c:pt idx="626">
                  <c:v>55.840000152587798</c:v>
                </c:pt>
                <c:pt idx="627">
                  <c:v>55.990001678466797</c:v>
                </c:pt>
                <c:pt idx="628">
                  <c:v>56.139999389648402</c:v>
                </c:pt>
                <c:pt idx="629">
                  <c:v>56.189998626708899</c:v>
                </c:pt>
                <c:pt idx="630">
                  <c:v>61.490001678466797</c:v>
                </c:pt>
                <c:pt idx="631">
                  <c:v>62.610000610351499</c:v>
                </c:pt>
                <c:pt idx="632">
                  <c:v>62.900001525878899</c:v>
                </c:pt>
                <c:pt idx="633">
                  <c:v>67.089996337890597</c:v>
                </c:pt>
                <c:pt idx="634">
                  <c:v>62.049999237060497</c:v>
                </c:pt>
                <c:pt idx="635">
                  <c:v>59.290000915527301</c:v>
                </c:pt>
                <c:pt idx="636">
                  <c:v>60.709999084472599</c:v>
                </c:pt>
                <c:pt idx="637">
                  <c:v>61.259998321533203</c:v>
                </c:pt>
                <c:pt idx="638">
                  <c:v>60.330001831054602</c:v>
                </c:pt>
                <c:pt idx="639">
                  <c:v>60.270000457763601</c:v>
                </c:pt>
                <c:pt idx="640">
                  <c:v>58.130001068115199</c:v>
                </c:pt>
                <c:pt idx="641">
                  <c:v>59.369998931884702</c:v>
                </c:pt>
                <c:pt idx="642">
                  <c:v>57.909999847412102</c:v>
                </c:pt>
                <c:pt idx="643">
                  <c:v>58.430000305175703</c:v>
                </c:pt>
                <c:pt idx="644">
                  <c:v>58.970001220703097</c:v>
                </c:pt>
                <c:pt idx="645">
                  <c:v>57.169998168945298</c:v>
                </c:pt>
                <c:pt idx="646">
                  <c:v>56.459999084472599</c:v>
                </c:pt>
                <c:pt idx="647">
                  <c:v>57.770000457763601</c:v>
                </c:pt>
                <c:pt idx="648">
                  <c:v>58.520000457763601</c:v>
                </c:pt>
                <c:pt idx="649">
                  <c:v>58.099998474121001</c:v>
                </c:pt>
                <c:pt idx="650">
                  <c:v>59.540000915527301</c:v>
                </c:pt>
                <c:pt idx="651">
                  <c:v>61.159999847412102</c:v>
                </c:pt>
                <c:pt idx="652">
                  <c:v>61.439998626708899</c:v>
                </c:pt>
                <c:pt idx="653">
                  <c:v>61.090000152587798</c:v>
                </c:pt>
                <c:pt idx="654">
                  <c:v>64.720001220703097</c:v>
                </c:pt>
                <c:pt idx="655">
                  <c:v>64.660003662109304</c:v>
                </c:pt>
                <c:pt idx="656">
                  <c:v>62.4799995422363</c:v>
                </c:pt>
                <c:pt idx="657">
                  <c:v>62.180000305175703</c:v>
                </c:pt>
                <c:pt idx="658">
                  <c:v>63.439998626708899</c:v>
                </c:pt>
                <c:pt idx="659">
                  <c:v>63.569999694824197</c:v>
                </c:pt>
                <c:pt idx="660">
                  <c:v>63.220001220703097</c:v>
                </c:pt>
                <c:pt idx="661">
                  <c:v>64.519996643066406</c:v>
                </c:pt>
                <c:pt idx="662">
                  <c:v>61.400001525878899</c:v>
                </c:pt>
                <c:pt idx="663">
                  <c:v>62.290000915527301</c:v>
                </c:pt>
                <c:pt idx="664">
                  <c:v>60.720001220703097</c:v>
                </c:pt>
                <c:pt idx="665">
                  <c:v>62.599998474121001</c:v>
                </c:pt>
                <c:pt idx="666">
                  <c:v>62.630001068115199</c:v>
                </c:pt>
                <c:pt idx="667">
                  <c:v>62.509998321533203</c:v>
                </c:pt>
                <c:pt idx="668">
                  <c:v>64.110000610351506</c:v>
                </c:pt>
                <c:pt idx="669">
                  <c:v>61.700000762939403</c:v>
                </c:pt>
                <c:pt idx="670">
                  <c:v>63.490001678466797</c:v>
                </c:pt>
                <c:pt idx="671">
                  <c:v>63.4799995422363</c:v>
                </c:pt>
                <c:pt idx="672">
                  <c:v>63.810001373291001</c:v>
                </c:pt>
                <c:pt idx="673">
                  <c:v>65.959999084472599</c:v>
                </c:pt>
                <c:pt idx="674">
                  <c:v>66</c:v>
                </c:pt>
                <c:pt idx="675">
                  <c:v>65.849998474121094</c:v>
                </c:pt>
                <c:pt idx="676">
                  <c:v>65.370002746582003</c:v>
                </c:pt>
                <c:pt idx="677">
                  <c:v>65.809997558593693</c:v>
                </c:pt>
                <c:pt idx="678">
                  <c:v>69.569999694824205</c:v>
                </c:pt>
                <c:pt idx="679">
                  <c:v>67.180000305175696</c:v>
                </c:pt>
                <c:pt idx="680">
                  <c:v>69.910003662109304</c:v>
                </c:pt>
                <c:pt idx="681">
                  <c:v>69.680000305175696</c:v>
                </c:pt>
                <c:pt idx="682">
                  <c:v>70.599998474121094</c:v>
                </c:pt>
                <c:pt idx="683">
                  <c:v>70.760002136230398</c:v>
                </c:pt>
                <c:pt idx="684">
                  <c:v>68.290000915527301</c:v>
                </c:pt>
                <c:pt idx="685">
                  <c:v>69.050003051757798</c:v>
                </c:pt>
                <c:pt idx="686">
                  <c:v>70.110000610351506</c:v>
                </c:pt>
                <c:pt idx="687">
                  <c:v>72.599998474121094</c:v>
                </c:pt>
                <c:pt idx="688">
                  <c:v>71.5</c:v>
                </c:pt>
                <c:pt idx="689">
                  <c:v>72.069999694824205</c:v>
                </c:pt>
                <c:pt idx="690">
                  <c:v>72.410003662109304</c:v>
                </c:pt>
                <c:pt idx="691">
                  <c:v>73</c:v>
                </c:pt>
                <c:pt idx="692">
                  <c:v>74.440002441406193</c:v>
                </c:pt>
                <c:pt idx="693">
                  <c:v>74.239997863769503</c:v>
                </c:pt>
                <c:pt idx="694">
                  <c:v>74.069999694824205</c:v>
                </c:pt>
                <c:pt idx="695">
                  <c:v>73.069999694824205</c:v>
                </c:pt>
                <c:pt idx="696">
                  <c:v>75.080001831054602</c:v>
                </c:pt>
                <c:pt idx="697">
                  <c:v>72.040000915527301</c:v>
                </c:pt>
                <c:pt idx="698">
                  <c:v>71.150001525878906</c:v>
                </c:pt>
                <c:pt idx="699">
                  <c:v>72.290000915527301</c:v>
                </c:pt>
                <c:pt idx="700">
                  <c:v>71.580001831054602</c:v>
                </c:pt>
                <c:pt idx="701">
                  <c:v>70.849998474121094</c:v>
                </c:pt>
                <c:pt idx="702">
                  <c:v>70.160003662109304</c:v>
                </c:pt>
                <c:pt idx="703">
                  <c:v>73.129997253417898</c:v>
                </c:pt>
                <c:pt idx="704">
                  <c:v>75.540000915527301</c:v>
                </c:pt>
                <c:pt idx="705">
                  <c:v>76.309997558593693</c:v>
                </c:pt>
                <c:pt idx="706">
                  <c:v>76.319999694824205</c:v>
                </c:pt>
                <c:pt idx="707">
                  <c:v>76.690002441406193</c:v>
                </c:pt>
                <c:pt idx="708">
                  <c:v>75.239997863769503</c:v>
                </c:pt>
                <c:pt idx="709">
                  <c:v>74.769996643066406</c:v>
                </c:pt>
                <c:pt idx="710">
                  <c:v>73.940002441406193</c:v>
                </c:pt>
                <c:pt idx="711">
                  <c:v>73.559997558593693</c:v>
                </c:pt>
                <c:pt idx="712">
                  <c:v>73.559997558593693</c:v>
                </c:pt>
                <c:pt idx="713">
                  <c:v>74.519996643066406</c:v>
                </c:pt>
                <c:pt idx="714">
                  <c:v>73.650001525878906</c:v>
                </c:pt>
                <c:pt idx="715">
                  <c:v>73.5</c:v>
                </c:pt>
                <c:pt idx="716">
                  <c:v>73.610000610351506</c:v>
                </c:pt>
                <c:pt idx="717">
                  <c:v>73.400001525878906</c:v>
                </c:pt>
                <c:pt idx="718">
                  <c:v>71.129997253417898</c:v>
                </c:pt>
                <c:pt idx="719">
                  <c:v>69.470001220703097</c:v>
                </c:pt>
                <c:pt idx="720">
                  <c:v>66.220001220703097</c:v>
                </c:pt>
                <c:pt idx="721">
                  <c:v>70.269996643066406</c:v>
                </c:pt>
                <c:pt idx="722">
                  <c:v>71.970001220703097</c:v>
                </c:pt>
                <c:pt idx="723">
                  <c:v>70.480003356933594</c:v>
                </c:pt>
                <c:pt idx="724">
                  <c:v>70.879997253417898</c:v>
                </c:pt>
                <c:pt idx="725">
                  <c:v>71.940002441406193</c:v>
                </c:pt>
                <c:pt idx="726">
                  <c:v>72.120002746582003</c:v>
                </c:pt>
                <c:pt idx="727">
                  <c:v>73.029998779296804</c:v>
                </c:pt>
                <c:pt idx="728">
                  <c:v>73.699996948242102</c:v>
                </c:pt>
                <c:pt idx="729">
                  <c:v>73.029998779296804</c:v>
                </c:pt>
                <c:pt idx="730">
                  <c:v>72.650001525878906</c:v>
                </c:pt>
                <c:pt idx="731">
                  <c:v>73.449996948242102</c:v>
                </c:pt>
                <c:pt idx="732">
                  <c:v>72.919998168945298</c:v>
                </c:pt>
                <c:pt idx="733">
                  <c:v>72.970001220703097</c:v>
                </c:pt>
                <c:pt idx="734">
                  <c:v>73.589996337890597</c:v>
                </c:pt>
                <c:pt idx="735">
                  <c:v>75.180000305175696</c:v>
                </c:pt>
                <c:pt idx="736">
                  <c:v>72.389999389648395</c:v>
                </c:pt>
                <c:pt idx="737">
                  <c:v>71.5</c:v>
                </c:pt>
                <c:pt idx="738">
                  <c:v>73.510002136230398</c:v>
                </c:pt>
                <c:pt idx="739">
                  <c:v>73.5</c:v>
                </c:pt>
                <c:pt idx="740">
                  <c:v>72.739997863769503</c:v>
                </c:pt>
                <c:pt idx="741">
                  <c:v>70.769996643066406</c:v>
                </c:pt>
                <c:pt idx="742">
                  <c:v>71.730003356933594</c:v>
                </c:pt>
                <c:pt idx="743">
                  <c:v>71.680000305175696</c:v>
                </c:pt>
                <c:pt idx="744">
                  <c:v>72.260002136230398</c:v>
                </c:pt>
                <c:pt idx="745">
                  <c:v>71.040000915527301</c:v>
                </c:pt>
                <c:pt idx="746">
                  <c:v>72.889999389648395</c:v>
                </c:pt>
                <c:pt idx="747">
                  <c:v>70.410003662109304</c:v>
                </c:pt>
                <c:pt idx="748">
                  <c:v>72</c:v>
                </c:pt>
                <c:pt idx="749">
                  <c:v>71.190002441406193</c:v>
                </c:pt>
                <c:pt idx="750">
                  <c:v>70.669998168945298</c:v>
                </c:pt>
                <c:pt idx="751">
                  <c:v>70.059997558593693</c:v>
                </c:pt>
                <c:pt idx="752">
                  <c:v>73</c:v>
                </c:pt>
                <c:pt idx="753">
                  <c:v>71.930000305175696</c:v>
                </c:pt>
                <c:pt idx="754">
                  <c:v>70.040000915527301</c:v>
                </c:pt>
                <c:pt idx="755">
                  <c:v>70.5</c:v>
                </c:pt>
                <c:pt idx="756">
                  <c:v>71.800003051757798</c:v>
                </c:pt>
                <c:pt idx="757">
                  <c:v>73.370002746582003</c:v>
                </c:pt>
                <c:pt idx="758">
                  <c:v>75.220001220703097</c:v>
                </c:pt>
                <c:pt idx="759">
                  <c:v>74.599998474121094</c:v>
                </c:pt>
                <c:pt idx="760">
                  <c:v>74.800003051757798</c:v>
                </c:pt>
                <c:pt idx="761">
                  <c:v>76.430000305175696</c:v>
                </c:pt>
                <c:pt idx="762">
                  <c:v>76.809997558593693</c:v>
                </c:pt>
                <c:pt idx="763">
                  <c:v>81.900001525878906</c:v>
                </c:pt>
                <c:pt idx="764">
                  <c:v>79.569999694824205</c:v>
                </c:pt>
                <c:pt idx="765">
                  <c:v>81.069999694824205</c:v>
                </c:pt>
                <c:pt idx="766">
                  <c:v>80.260002136230398</c:v>
                </c:pt>
                <c:pt idx="767">
                  <c:v>81.559997558593693</c:v>
                </c:pt>
                <c:pt idx="768">
                  <c:v>81.569999694824205</c:v>
                </c:pt>
                <c:pt idx="769">
                  <c:v>82.879997253417898</c:v>
                </c:pt>
                <c:pt idx="770">
                  <c:v>83.489997863769503</c:v>
                </c:pt>
                <c:pt idx="771">
                  <c:v>85.730003356933594</c:v>
                </c:pt>
                <c:pt idx="772">
                  <c:v>85.569999694824205</c:v>
                </c:pt>
                <c:pt idx="773">
                  <c:v>85.910003662109304</c:v>
                </c:pt>
                <c:pt idx="774">
                  <c:v>85.379997253417898</c:v>
                </c:pt>
                <c:pt idx="775">
                  <c:v>87.5</c:v>
                </c:pt>
                <c:pt idx="776">
                  <c:v>85.580001831054602</c:v>
                </c:pt>
                <c:pt idx="777">
                  <c:v>86.989997863769503</c:v>
                </c:pt>
                <c:pt idx="778">
                  <c:v>87.400001525878906</c:v>
                </c:pt>
                <c:pt idx="779">
                  <c:v>86.489997863769503</c:v>
                </c:pt>
                <c:pt idx="780">
                  <c:v>83.709999084472599</c:v>
                </c:pt>
                <c:pt idx="781">
                  <c:v>82</c:v>
                </c:pt>
                <c:pt idx="782">
                  <c:v>81.870002746582003</c:v>
                </c:pt>
                <c:pt idx="783">
                  <c:v>82.25</c:v>
                </c:pt>
                <c:pt idx="784">
                  <c:v>83.089996337890597</c:v>
                </c:pt>
                <c:pt idx="785">
                  <c:v>83.580001831054602</c:v>
                </c:pt>
                <c:pt idx="786">
                  <c:v>82.050003051757798</c:v>
                </c:pt>
                <c:pt idx="787">
                  <c:v>83.370002746582003</c:v>
                </c:pt>
                <c:pt idx="788">
                  <c:v>85.660003662109304</c:v>
                </c:pt>
                <c:pt idx="789">
                  <c:v>85.790000915527301</c:v>
                </c:pt>
                <c:pt idx="790">
                  <c:v>86.980003356933594</c:v>
                </c:pt>
                <c:pt idx="791">
                  <c:v>86.080001831054602</c:v>
                </c:pt>
                <c:pt idx="792">
                  <c:v>84.419998168945298</c:v>
                </c:pt>
                <c:pt idx="793">
                  <c:v>85.279998779296804</c:v>
                </c:pt>
                <c:pt idx="794">
                  <c:v>86.480003356933594</c:v>
                </c:pt>
                <c:pt idx="795">
                  <c:v>85.760002136230398</c:v>
                </c:pt>
                <c:pt idx="796">
                  <c:v>86.519996643066406</c:v>
                </c:pt>
                <c:pt idx="797">
                  <c:v>85.669998168945298</c:v>
                </c:pt>
                <c:pt idx="798">
                  <c:v>86.089996337890597</c:v>
                </c:pt>
                <c:pt idx="799">
                  <c:v>85.739997863769503</c:v>
                </c:pt>
                <c:pt idx="800">
                  <c:v>86.739997863769503</c:v>
                </c:pt>
                <c:pt idx="801">
                  <c:v>85.610000610351506</c:v>
                </c:pt>
                <c:pt idx="802">
                  <c:v>84.120002746582003</c:v>
                </c:pt>
                <c:pt idx="803">
                  <c:v>82.300003051757798</c:v>
                </c:pt>
                <c:pt idx="804">
                  <c:v>84.650001525878906</c:v>
                </c:pt>
                <c:pt idx="805">
                  <c:v>84.510002136230398</c:v>
                </c:pt>
                <c:pt idx="806">
                  <c:v>85.889999389648395</c:v>
                </c:pt>
                <c:pt idx="807">
                  <c:v>87.680000305175696</c:v>
                </c:pt>
                <c:pt idx="808">
                  <c:v>88.120002746582003</c:v>
                </c:pt>
                <c:pt idx="809">
                  <c:v>90.489997863769503</c:v>
                </c:pt>
                <c:pt idx="810">
                  <c:v>90.300003051757798</c:v>
                </c:pt>
                <c:pt idx="811">
                  <c:v>90.449996948242102</c:v>
                </c:pt>
                <c:pt idx="812">
                  <c:v>91.400001525878906</c:v>
                </c:pt>
                <c:pt idx="813">
                  <c:v>91.230003356933594</c:v>
                </c:pt>
                <c:pt idx="814">
                  <c:v>92.639999389648395</c:v>
                </c:pt>
                <c:pt idx="815">
                  <c:v>91.860000610351506</c:v>
                </c:pt>
                <c:pt idx="816">
                  <c:v>91.800003051757798</c:v>
                </c:pt>
                <c:pt idx="817">
                  <c:v>92.290000915527301</c:v>
                </c:pt>
                <c:pt idx="818">
                  <c:v>92</c:v>
                </c:pt>
                <c:pt idx="819">
                  <c:v>95.010002136230398</c:v>
                </c:pt>
                <c:pt idx="820">
                  <c:v>95.849998474121094</c:v>
                </c:pt>
                <c:pt idx="821">
                  <c:v>95.790000915527301</c:v>
                </c:pt>
                <c:pt idx="822">
                  <c:v>95.559997558593693</c:v>
                </c:pt>
                <c:pt idx="823">
                  <c:v>94.309997558593693</c:v>
                </c:pt>
                <c:pt idx="824">
                  <c:v>94.180000305175696</c:v>
                </c:pt>
                <c:pt idx="825">
                  <c:v>93.489997863769503</c:v>
                </c:pt>
                <c:pt idx="826">
                  <c:v>94.059997558593693</c:v>
                </c:pt>
                <c:pt idx="827">
                  <c:v>93</c:v>
                </c:pt>
                <c:pt idx="828">
                  <c:v>93.629997253417898</c:v>
                </c:pt>
                <c:pt idx="829">
                  <c:v>91.209999084472599</c:v>
                </c:pt>
                <c:pt idx="830">
                  <c:v>90.739997863769503</c:v>
                </c:pt>
                <c:pt idx="831">
                  <c:v>90.260002136230398</c:v>
                </c:pt>
                <c:pt idx="832">
                  <c:v>89.069999694824205</c:v>
                </c:pt>
                <c:pt idx="833">
                  <c:v>89.629997253417898</c:v>
                </c:pt>
                <c:pt idx="834">
                  <c:v>88.690002441406193</c:v>
                </c:pt>
                <c:pt idx="835">
                  <c:v>89.580001831054602</c:v>
                </c:pt>
                <c:pt idx="836">
                  <c:v>88.900001525878906</c:v>
                </c:pt>
                <c:pt idx="837">
                  <c:v>87.389999389648395</c:v>
                </c:pt>
                <c:pt idx="838">
                  <c:v>88.800003051757798</c:v>
                </c:pt>
                <c:pt idx="839">
                  <c:v>87.760002136230398</c:v>
                </c:pt>
                <c:pt idx="840">
                  <c:v>86.690002441406193</c:v>
                </c:pt>
                <c:pt idx="841">
                  <c:v>87.190002441406193</c:v>
                </c:pt>
                <c:pt idx="842">
                  <c:v>88.230003356933594</c:v>
                </c:pt>
                <c:pt idx="843">
                  <c:v>89.260002136230398</c:v>
                </c:pt>
                <c:pt idx="844">
                  <c:v>87.230003356933594</c:v>
                </c:pt>
                <c:pt idx="845">
                  <c:v>87.059997558593693</c:v>
                </c:pt>
                <c:pt idx="846">
                  <c:v>88.040000915527301</c:v>
                </c:pt>
                <c:pt idx="847">
                  <c:v>88.470001220703097</c:v>
                </c:pt>
                <c:pt idx="848">
                  <c:v>87.889999389648395</c:v>
                </c:pt>
                <c:pt idx="849">
                  <c:v>86.059997558593693</c:v>
                </c:pt>
                <c:pt idx="850">
                  <c:v>86.489997863769503</c:v>
                </c:pt>
                <c:pt idx="851">
                  <c:v>86.150001525878906</c:v>
                </c:pt>
                <c:pt idx="852">
                  <c:v>83.529998779296804</c:v>
                </c:pt>
                <c:pt idx="853">
                  <c:v>85.360000610351506</c:v>
                </c:pt>
                <c:pt idx="854">
                  <c:v>85.120002746582003</c:v>
                </c:pt>
                <c:pt idx="855">
                  <c:v>85.589996337890597</c:v>
                </c:pt>
                <c:pt idx="856">
                  <c:v>86</c:v>
                </c:pt>
                <c:pt idx="857">
                  <c:v>88.480003356933594</c:v>
                </c:pt>
                <c:pt idx="858">
                  <c:v>87.769996643066406</c:v>
                </c:pt>
                <c:pt idx="859">
                  <c:v>87.940002441406193</c:v>
                </c:pt>
                <c:pt idx="860">
                  <c:v>87.330001831054602</c:v>
                </c:pt>
                <c:pt idx="861">
                  <c:v>87.489997863769503</c:v>
                </c:pt>
                <c:pt idx="862">
                  <c:v>88.400001525878906</c:v>
                </c:pt>
                <c:pt idx="863">
                  <c:v>88.400001525878906</c:v>
                </c:pt>
                <c:pt idx="864">
                  <c:v>89.980003356933594</c:v>
                </c:pt>
                <c:pt idx="865">
                  <c:v>91.730003356933594</c:v>
                </c:pt>
                <c:pt idx="866">
                  <c:v>90.580001831054602</c:v>
                </c:pt>
                <c:pt idx="867">
                  <c:v>90</c:v>
                </c:pt>
                <c:pt idx="868">
                  <c:v>91.470001220703097</c:v>
                </c:pt>
                <c:pt idx="869">
                  <c:v>90.529998779296804</c:v>
                </c:pt>
                <c:pt idx="870">
                  <c:v>91.269996643066406</c:v>
                </c:pt>
                <c:pt idx="871">
                  <c:v>92.010002136230398</c:v>
                </c:pt>
                <c:pt idx="872">
                  <c:v>90.809997558593693</c:v>
                </c:pt>
                <c:pt idx="873">
                  <c:v>91.800003051757798</c:v>
                </c:pt>
                <c:pt idx="874">
                  <c:v>90.110000610351506</c:v>
                </c:pt>
                <c:pt idx="875">
                  <c:v>92.419998168945298</c:v>
                </c:pt>
                <c:pt idx="876">
                  <c:v>91.160003662109304</c:v>
                </c:pt>
                <c:pt idx="877">
                  <c:v>90.440002441406193</c:v>
                </c:pt>
                <c:pt idx="878">
                  <c:v>93.370002746582003</c:v>
                </c:pt>
                <c:pt idx="879">
                  <c:v>92.220001220703097</c:v>
                </c:pt>
                <c:pt idx="880">
                  <c:v>93.290000915527301</c:v>
                </c:pt>
                <c:pt idx="881">
                  <c:v>92.349998474121094</c:v>
                </c:pt>
                <c:pt idx="882">
                  <c:v>91.970001220703097</c:v>
                </c:pt>
                <c:pt idx="883">
                  <c:v>93.489997863769503</c:v>
                </c:pt>
                <c:pt idx="884">
                  <c:v>96.5</c:v>
                </c:pt>
                <c:pt idx="885">
                  <c:v>95.580001831054602</c:v>
                </c:pt>
                <c:pt idx="886">
                  <c:v>95.169998168945298</c:v>
                </c:pt>
                <c:pt idx="887">
                  <c:v>97.620002746582003</c:v>
                </c:pt>
                <c:pt idx="888">
                  <c:v>98.970001220703097</c:v>
                </c:pt>
                <c:pt idx="889">
                  <c:v>97.800003051757798</c:v>
                </c:pt>
                <c:pt idx="890">
                  <c:v>97.790000915527301</c:v>
                </c:pt>
                <c:pt idx="891">
                  <c:v>98.550003051757798</c:v>
                </c:pt>
                <c:pt idx="892">
                  <c:v>96.480003356933594</c:v>
                </c:pt>
                <c:pt idx="893">
                  <c:v>96.529998779296804</c:v>
                </c:pt>
                <c:pt idx="894">
                  <c:v>96.300003051757798</c:v>
                </c:pt>
                <c:pt idx="895">
                  <c:v>94.889999389648395</c:v>
                </c:pt>
                <c:pt idx="896">
                  <c:v>92.839996337890597</c:v>
                </c:pt>
                <c:pt idx="897">
                  <c:v>94</c:v>
                </c:pt>
                <c:pt idx="898">
                  <c:v>92.809997558593693</c:v>
                </c:pt>
                <c:pt idx="899">
                  <c:v>90.540000915527301</c:v>
                </c:pt>
                <c:pt idx="900">
                  <c:v>90.830001831054602</c:v>
                </c:pt>
                <c:pt idx="901">
                  <c:v>92.470001220703097</c:v>
                </c:pt>
                <c:pt idx="902">
                  <c:v>93.489997863769503</c:v>
                </c:pt>
                <c:pt idx="903">
                  <c:v>93.720001220703097</c:v>
                </c:pt>
                <c:pt idx="904">
                  <c:v>93.569999694824205</c:v>
                </c:pt>
                <c:pt idx="905">
                  <c:v>92.620002746582003</c:v>
                </c:pt>
                <c:pt idx="906">
                  <c:v>94.839996337890597</c:v>
                </c:pt>
                <c:pt idx="907">
                  <c:v>93.480003356933594</c:v>
                </c:pt>
                <c:pt idx="908">
                  <c:v>92.510002136230398</c:v>
                </c:pt>
                <c:pt idx="909">
                  <c:v>92.610000610351506</c:v>
                </c:pt>
                <c:pt idx="910">
                  <c:v>92.269996643066406</c:v>
                </c:pt>
                <c:pt idx="911">
                  <c:v>91.739997863769503</c:v>
                </c:pt>
                <c:pt idx="912">
                  <c:v>93.220001220703097</c:v>
                </c:pt>
                <c:pt idx="913">
                  <c:v>94.150001525878906</c:v>
                </c:pt>
                <c:pt idx="914">
                  <c:v>92.650001525878906</c:v>
                </c:pt>
                <c:pt idx="915">
                  <c:v>91.5</c:v>
                </c:pt>
                <c:pt idx="916">
                  <c:v>93.620002746582003</c:v>
                </c:pt>
                <c:pt idx="917">
                  <c:v>92.760002136230398</c:v>
                </c:pt>
                <c:pt idx="918">
                  <c:v>92.139999389648395</c:v>
                </c:pt>
                <c:pt idx="919">
                  <c:v>91.910003662109304</c:v>
                </c:pt>
                <c:pt idx="920">
                  <c:v>91.839996337890597</c:v>
                </c:pt>
                <c:pt idx="921">
                  <c:v>92.419998168945298</c:v>
                </c:pt>
                <c:pt idx="922">
                  <c:v>91.370002746582003</c:v>
                </c:pt>
                <c:pt idx="923">
                  <c:v>91.819999694824205</c:v>
                </c:pt>
                <c:pt idx="924">
                  <c:v>90.650001525878906</c:v>
                </c:pt>
                <c:pt idx="925">
                  <c:v>91.019996643066406</c:v>
                </c:pt>
                <c:pt idx="926">
                  <c:v>90.709999084472599</c:v>
                </c:pt>
                <c:pt idx="927">
                  <c:v>91.169998168945298</c:v>
                </c:pt>
                <c:pt idx="928">
                  <c:v>91.940002441406193</c:v>
                </c:pt>
                <c:pt idx="929">
                  <c:v>93</c:v>
                </c:pt>
                <c:pt idx="930">
                  <c:v>92.449996948242102</c:v>
                </c:pt>
                <c:pt idx="931">
                  <c:v>90.919998168945298</c:v>
                </c:pt>
                <c:pt idx="932">
                  <c:v>88.900001525878906</c:v>
                </c:pt>
                <c:pt idx="933">
                  <c:v>88.839996337890597</c:v>
                </c:pt>
                <c:pt idx="934">
                  <c:v>87.510002136230398</c:v>
                </c:pt>
                <c:pt idx="935">
                  <c:v>89.639999389648395</c:v>
                </c:pt>
                <c:pt idx="936">
                  <c:v>88.319999694824205</c:v>
                </c:pt>
                <c:pt idx="937">
                  <c:v>89.709999084472599</c:v>
                </c:pt>
                <c:pt idx="938">
                  <c:v>89.629997253417898</c:v>
                </c:pt>
                <c:pt idx="939">
                  <c:v>88.709999084472599</c:v>
                </c:pt>
                <c:pt idx="940">
                  <c:v>90.5</c:v>
                </c:pt>
                <c:pt idx="941">
                  <c:v>87.769996643066406</c:v>
                </c:pt>
                <c:pt idx="942">
                  <c:v>87.040000915527301</c:v>
                </c:pt>
                <c:pt idx="943">
                  <c:v>88.720001220703097</c:v>
                </c:pt>
                <c:pt idx="944">
                  <c:v>86.849998474121094</c:v>
                </c:pt>
                <c:pt idx="945">
                  <c:v>87.870002746582003</c:v>
                </c:pt>
                <c:pt idx="946">
                  <c:v>87.949996948242102</c:v>
                </c:pt>
                <c:pt idx="947">
                  <c:v>86.940002441406193</c:v>
                </c:pt>
                <c:pt idx="948">
                  <c:v>88.75</c:v>
                </c:pt>
                <c:pt idx="949">
                  <c:v>87.029998779296804</c:v>
                </c:pt>
                <c:pt idx="950">
                  <c:v>83.529998779296804</c:v>
                </c:pt>
                <c:pt idx="951">
                  <c:v>83.059997558593693</c:v>
                </c:pt>
                <c:pt idx="952">
                  <c:v>87.029998779296804</c:v>
                </c:pt>
                <c:pt idx="953">
                  <c:v>89.610000610351506</c:v>
                </c:pt>
                <c:pt idx="954">
                  <c:v>89.110000610351506</c:v>
                </c:pt>
                <c:pt idx="955">
                  <c:v>87.589996337890597</c:v>
                </c:pt>
                <c:pt idx="956">
                  <c:v>89.559997558593693</c:v>
                </c:pt>
                <c:pt idx="957">
                  <c:v>89.470001220703097</c:v>
                </c:pt>
                <c:pt idx="958">
                  <c:v>88.610000610351506</c:v>
                </c:pt>
                <c:pt idx="959">
                  <c:v>88.449996948242102</c:v>
                </c:pt>
                <c:pt idx="960">
                  <c:v>89.559997558593693</c:v>
                </c:pt>
                <c:pt idx="961">
                  <c:v>90.849998474121094</c:v>
                </c:pt>
                <c:pt idx="962">
                  <c:v>89.989997863769503</c:v>
                </c:pt>
                <c:pt idx="963">
                  <c:v>88.809997558593693</c:v>
                </c:pt>
                <c:pt idx="964">
                  <c:v>88.489997863769503</c:v>
                </c:pt>
                <c:pt idx="965">
                  <c:v>88.629997253417898</c:v>
                </c:pt>
                <c:pt idx="966">
                  <c:v>89.529998779296804</c:v>
                </c:pt>
                <c:pt idx="967">
                  <c:v>88.730003356933594</c:v>
                </c:pt>
                <c:pt idx="968">
                  <c:v>86.849998474121094</c:v>
                </c:pt>
                <c:pt idx="969">
                  <c:v>87.900001525878906</c:v>
                </c:pt>
                <c:pt idx="970">
                  <c:v>88.230003356933594</c:v>
                </c:pt>
                <c:pt idx="971">
                  <c:v>87.980003356933594</c:v>
                </c:pt>
                <c:pt idx="972">
                  <c:v>83.889999389648395</c:v>
                </c:pt>
                <c:pt idx="973">
                  <c:v>84.620002746582003</c:v>
                </c:pt>
                <c:pt idx="974">
                  <c:v>84</c:v>
                </c:pt>
                <c:pt idx="975">
                  <c:v>83.910003662109304</c:v>
                </c:pt>
                <c:pt idx="976">
                  <c:v>84.470001220703097</c:v>
                </c:pt>
                <c:pt idx="977">
                  <c:v>83.150001525878906</c:v>
                </c:pt>
                <c:pt idx="978">
                  <c:v>83.680000305175696</c:v>
                </c:pt>
                <c:pt idx="979">
                  <c:v>84.620002746582003</c:v>
                </c:pt>
                <c:pt idx="980">
                  <c:v>83.900001525878906</c:v>
                </c:pt>
                <c:pt idx="981">
                  <c:v>82.599998474121094</c:v>
                </c:pt>
                <c:pt idx="982">
                  <c:v>82.190002441406193</c:v>
                </c:pt>
                <c:pt idx="983">
                  <c:v>81.900001525878906</c:v>
                </c:pt>
                <c:pt idx="984">
                  <c:v>82.629997253417898</c:v>
                </c:pt>
                <c:pt idx="985">
                  <c:v>82.699996948242102</c:v>
                </c:pt>
                <c:pt idx="986">
                  <c:v>83.349998474121094</c:v>
                </c:pt>
                <c:pt idx="987">
                  <c:v>82.050003051757798</c:v>
                </c:pt>
                <c:pt idx="988">
                  <c:v>82.440002441406193</c:v>
                </c:pt>
                <c:pt idx="989">
                  <c:v>83.019996643066406</c:v>
                </c:pt>
                <c:pt idx="990">
                  <c:v>85.069999694824205</c:v>
                </c:pt>
                <c:pt idx="991">
                  <c:v>85.800003051757798</c:v>
                </c:pt>
                <c:pt idx="992">
                  <c:v>84.819999694824205</c:v>
                </c:pt>
                <c:pt idx="993">
                  <c:v>83.779998779296804</c:v>
                </c:pt>
                <c:pt idx="994">
                  <c:v>82.989997863769503</c:v>
                </c:pt>
                <c:pt idx="995">
                  <c:v>81.889999389648395</c:v>
                </c:pt>
                <c:pt idx="996">
                  <c:v>81.279998779296804</c:v>
                </c:pt>
                <c:pt idx="997">
                  <c:v>82.809997558593693</c:v>
                </c:pt>
                <c:pt idx="998">
                  <c:v>82.389999389648395</c:v>
                </c:pt>
                <c:pt idx="999">
                  <c:v>81.470001220703097</c:v>
                </c:pt>
                <c:pt idx="1000">
                  <c:v>82.300003051757798</c:v>
                </c:pt>
                <c:pt idx="1001">
                  <c:v>79.809997558593693</c:v>
                </c:pt>
                <c:pt idx="1002">
                  <c:v>78.919998168945298</c:v>
                </c:pt>
                <c:pt idx="1003">
                  <c:v>78.220001220703097</c:v>
                </c:pt>
                <c:pt idx="1004">
                  <c:v>78.610000610351506</c:v>
                </c:pt>
                <c:pt idx="1005">
                  <c:v>78.470001220703097</c:v>
                </c:pt>
                <c:pt idx="1006">
                  <c:v>77.589996337890597</c:v>
                </c:pt>
                <c:pt idx="1007">
                  <c:v>75.089996337890597</c:v>
                </c:pt>
                <c:pt idx="1008">
                  <c:v>73.389999389648395</c:v>
                </c:pt>
                <c:pt idx="1009">
                  <c:v>74.900001525878906</c:v>
                </c:pt>
                <c:pt idx="1010">
                  <c:v>73.760002136230398</c:v>
                </c:pt>
                <c:pt idx="1011">
                  <c:v>75.290000915527301</c:v>
                </c:pt>
                <c:pt idx="1012">
                  <c:v>75.099998474121094</c:v>
                </c:pt>
                <c:pt idx="1013">
                  <c:v>72.620002746582003</c:v>
                </c:pt>
                <c:pt idx="1014">
                  <c:v>70.010002136230398</c:v>
                </c:pt>
                <c:pt idx="1015">
                  <c:v>73.180000305175696</c:v>
                </c:pt>
                <c:pt idx="1016">
                  <c:v>75.849998474121094</c:v>
                </c:pt>
                <c:pt idx="1017">
                  <c:v>78.669998168945298</c:v>
                </c:pt>
                <c:pt idx="1018">
                  <c:v>82.25</c:v>
                </c:pt>
                <c:pt idx="1019">
                  <c:v>80.779998779296804</c:v>
                </c:pt>
                <c:pt idx="1020">
                  <c:v>80.040000915527301</c:v>
                </c:pt>
                <c:pt idx="1021">
                  <c:v>80.690002441406193</c:v>
                </c:pt>
                <c:pt idx="1022">
                  <c:v>80.5</c:v>
                </c:pt>
                <c:pt idx="1023">
                  <c:v>79.839996337890597</c:v>
                </c:pt>
                <c:pt idx="1024">
                  <c:v>82.690002441406193</c:v>
                </c:pt>
                <c:pt idx="1025">
                  <c:v>83.25</c:v>
                </c:pt>
                <c:pt idx="1026">
                  <c:v>83.709999084472599</c:v>
                </c:pt>
                <c:pt idx="1027">
                  <c:v>83.440002441406193</c:v>
                </c:pt>
                <c:pt idx="1028">
                  <c:v>84.980003356933594</c:v>
                </c:pt>
                <c:pt idx="1029">
                  <c:v>85</c:v>
                </c:pt>
                <c:pt idx="1030">
                  <c:v>85.360000610351506</c:v>
                </c:pt>
                <c:pt idx="1031">
                  <c:v>85.879997253417898</c:v>
                </c:pt>
                <c:pt idx="1032">
                  <c:v>85.980003356933594</c:v>
                </c:pt>
                <c:pt idx="1033">
                  <c:v>86</c:v>
                </c:pt>
                <c:pt idx="1034">
                  <c:v>86.519996643066406</c:v>
                </c:pt>
                <c:pt idx="1035">
                  <c:v>87.279998779296804</c:v>
                </c:pt>
                <c:pt idx="1036">
                  <c:v>87.269996643066406</c:v>
                </c:pt>
                <c:pt idx="1037">
                  <c:v>87.410003662109304</c:v>
                </c:pt>
                <c:pt idx="1038">
                  <c:v>88.930000305175696</c:v>
                </c:pt>
                <c:pt idx="1039">
                  <c:v>89</c:v>
                </c:pt>
                <c:pt idx="1040">
                  <c:v>88.940002441406193</c:v>
                </c:pt>
                <c:pt idx="1041">
                  <c:v>87.160003662109304</c:v>
                </c:pt>
                <c:pt idx="1042">
                  <c:v>87.050003051757798</c:v>
                </c:pt>
                <c:pt idx="1043">
                  <c:v>88.389999389648395</c:v>
                </c:pt>
                <c:pt idx="1044">
                  <c:v>88.139999389648395</c:v>
                </c:pt>
                <c:pt idx="1045">
                  <c:v>88.540000915527301</c:v>
                </c:pt>
                <c:pt idx="1046">
                  <c:v>89.25</c:v>
                </c:pt>
                <c:pt idx="1047">
                  <c:v>87.300003051757798</c:v>
                </c:pt>
                <c:pt idx="1048">
                  <c:v>86.730003356933594</c:v>
                </c:pt>
                <c:pt idx="1049">
                  <c:v>88.160003662109304</c:v>
                </c:pt>
                <c:pt idx="1050">
                  <c:v>88.660003662109304</c:v>
                </c:pt>
                <c:pt idx="1051">
                  <c:v>88.239997863769503</c:v>
                </c:pt>
                <c:pt idx="1052">
                  <c:v>87.680000305175696</c:v>
                </c:pt>
                <c:pt idx="1053">
                  <c:v>87.330001831054602</c:v>
                </c:pt>
                <c:pt idx="1054">
                  <c:v>85.860000610351506</c:v>
                </c:pt>
                <c:pt idx="1055">
                  <c:v>86.989997863769503</c:v>
                </c:pt>
                <c:pt idx="1056">
                  <c:v>84.680000305175696</c:v>
                </c:pt>
                <c:pt idx="1057">
                  <c:v>84.769996643066406</c:v>
                </c:pt>
                <c:pt idx="1058">
                  <c:v>88.339996337890597</c:v>
                </c:pt>
                <c:pt idx="1059">
                  <c:v>86.110000610351506</c:v>
                </c:pt>
                <c:pt idx="1060">
                  <c:v>84.430000305175696</c:v>
                </c:pt>
                <c:pt idx="1061">
                  <c:v>84.129997253417898</c:v>
                </c:pt>
                <c:pt idx="1062">
                  <c:v>84.709999084472599</c:v>
                </c:pt>
                <c:pt idx="1063">
                  <c:v>85.5</c:v>
                </c:pt>
                <c:pt idx="1064">
                  <c:v>84.739997863769503</c:v>
                </c:pt>
                <c:pt idx="1065">
                  <c:v>87.010002136230398</c:v>
                </c:pt>
                <c:pt idx="1066">
                  <c:v>85.900001525878906</c:v>
                </c:pt>
                <c:pt idx="1067">
                  <c:v>84.5</c:v>
                </c:pt>
                <c:pt idx="1068">
                  <c:v>84.25</c:v>
                </c:pt>
                <c:pt idx="1069">
                  <c:v>78.309997558593693</c:v>
                </c:pt>
                <c:pt idx="1070">
                  <c:v>78.059997558593693</c:v>
                </c:pt>
                <c:pt idx="1071">
                  <c:v>77.400001525878906</c:v>
                </c:pt>
                <c:pt idx="1072">
                  <c:v>76.940002441406193</c:v>
                </c:pt>
                <c:pt idx="1073">
                  <c:v>79.040000915527301</c:v>
                </c:pt>
                <c:pt idx="1074">
                  <c:v>79.540000915527301</c:v>
                </c:pt>
                <c:pt idx="1075">
                  <c:v>77.589996337890597</c:v>
                </c:pt>
                <c:pt idx="1076">
                  <c:v>78.260002136230398</c:v>
                </c:pt>
                <c:pt idx="1077">
                  <c:v>78.519996643066406</c:v>
                </c:pt>
                <c:pt idx="1078">
                  <c:v>77.900001525878906</c:v>
                </c:pt>
                <c:pt idx="1079">
                  <c:v>81.400001525878906</c:v>
                </c:pt>
                <c:pt idx="1080">
                  <c:v>79.459999084472599</c:v>
                </c:pt>
                <c:pt idx="1081">
                  <c:v>79.569999694824205</c:v>
                </c:pt>
                <c:pt idx="1082">
                  <c:v>78.569999694824205</c:v>
                </c:pt>
                <c:pt idx="1083">
                  <c:v>78.809997558593693</c:v>
                </c:pt>
                <c:pt idx="1084">
                  <c:v>78.029998779296804</c:v>
                </c:pt>
                <c:pt idx="1085">
                  <c:v>77.660003662109304</c:v>
                </c:pt>
                <c:pt idx="1086">
                  <c:v>78.680000305175696</c:v>
                </c:pt>
                <c:pt idx="1087">
                  <c:v>77.620002746582003</c:v>
                </c:pt>
                <c:pt idx="1088">
                  <c:v>79.139999389648395</c:v>
                </c:pt>
                <c:pt idx="1089">
                  <c:v>76.110000610351506</c:v>
                </c:pt>
                <c:pt idx="1090">
                  <c:v>74.75</c:v>
                </c:pt>
                <c:pt idx="1091">
                  <c:v>72.870002746582003</c:v>
                </c:pt>
                <c:pt idx="1092">
                  <c:v>73.629997253417898</c:v>
                </c:pt>
                <c:pt idx="1093">
                  <c:v>72.680000305175696</c:v>
                </c:pt>
                <c:pt idx="1094">
                  <c:v>73.290000915527301</c:v>
                </c:pt>
                <c:pt idx="1095">
                  <c:v>72.279998779296804</c:v>
                </c:pt>
                <c:pt idx="1096">
                  <c:v>71.309997558593693</c:v>
                </c:pt>
                <c:pt idx="1097">
                  <c:v>71.580001831054602</c:v>
                </c:pt>
                <c:pt idx="1098">
                  <c:v>71.720001220703097</c:v>
                </c:pt>
                <c:pt idx="1099">
                  <c:v>72.480003356933594</c:v>
                </c:pt>
                <c:pt idx="1100">
                  <c:v>71.900001525878906</c:v>
                </c:pt>
                <c:pt idx="1101">
                  <c:v>72</c:v>
                </c:pt>
                <c:pt idx="1102">
                  <c:v>71.690002441406193</c:v>
                </c:pt>
                <c:pt idx="1103">
                  <c:v>71.980003356933594</c:v>
                </c:pt>
                <c:pt idx="1104">
                  <c:v>71.819999694824205</c:v>
                </c:pt>
                <c:pt idx="1105">
                  <c:v>70.949996948242102</c:v>
                </c:pt>
                <c:pt idx="1106">
                  <c:v>71.620002746582003</c:v>
                </c:pt>
                <c:pt idx="1107">
                  <c:v>71.180000305175696</c:v>
                </c:pt>
                <c:pt idx="1108">
                  <c:v>73.75</c:v>
                </c:pt>
                <c:pt idx="1109">
                  <c:v>77.650001525878906</c:v>
                </c:pt>
                <c:pt idx="1110">
                  <c:v>76.319999694824205</c:v>
                </c:pt>
                <c:pt idx="1111">
                  <c:v>73.879997253417898</c:v>
                </c:pt>
                <c:pt idx="1112">
                  <c:v>77.699996948242102</c:v>
                </c:pt>
                <c:pt idx="1113">
                  <c:v>79.199996948242102</c:v>
                </c:pt>
                <c:pt idx="1114">
                  <c:v>78.699996948242102</c:v>
                </c:pt>
                <c:pt idx="1115">
                  <c:v>77.449996948242102</c:v>
                </c:pt>
                <c:pt idx="1116">
                  <c:v>76.529998779296804</c:v>
                </c:pt>
                <c:pt idx="1117">
                  <c:v>73.959999084472599</c:v>
                </c:pt>
                <c:pt idx="1118">
                  <c:v>71.930000305175696</c:v>
                </c:pt>
                <c:pt idx="1119">
                  <c:v>73.529998779296804</c:v>
                </c:pt>
                <c:pt idx="1120">
                  <c:v>72.129997253417898</c:v>
                </c:pt>
                <c:pt idx="1121">
                  <c:v>70.709999084472599</c:v>
                </c:pt>
                <c:pt idx="1122">
                  <c:v>69.160003662109304</c:v>
                </c:pt>
                <c:pt idx="1123">
                  <c:v>69.190002441406193</c:v>
                </c:pt>
                <c:pt idx="1124">
                  <c:v>68.699996948242102</c:v>
                </c:pt>
                <c:pt idx="1125">
                  <c:v>66.980003356933594</c:v>
                </c:pt>
                <c:pt idx="1126">
                  <c:v>67.680000305175696</c:v>
                </c:pt>
                <c:pt idx="1127">
                  <c:v>66.120002746582003</c:v>
                </c:pt>
                <c:pt idx="1128">
                  <c:v>66.980003356933594</c:v>
                </c:pt>
                <c:pt idx="1129">
                  <c:v>69</c:v>
                </c:pt>
                <c:pt idx="1130">
                  <c:v>70.860000610351506</c:v>
                </c:pt>
                <c:pt idx="1131">
                  <c:v>69.120002746582003</c:v>
                </c:pt>
                <c:pt idx="1132">
                  <c:v>69.260002136230398</c:v>
                </c:pt>
                <c:pt idx="1133">
                  <c:v>70.360000610351506</c:v>
                </c:pt>
                <c:pt idx="1134">
                  <c:v>68.690002441406193</c:v>
                </c:pt>
                <c:pt idx="1135">
                  <c:v>70.120002746582003</c:v>
                </c:pt>
                <c:pt idx="1136">
                  <c:v>71.620002746582003</c:v>
                </c:pt>
                <c:pt idx="1137">
                  <c:v>72.599998474121094</c:v>
                </c:pt>
                <c:pt idx="1138">
                  <c:v>70</c:v>
                </c:pt>
                <c:pt idx="1139">
                  <c:v>69.819999694824205</c:v>
                </c:pt>
                <c:pt idx="1140">
                  <c:v>71.239997863769503</c:v>
                </c:pt>
                <c:pt idx="1141">
                  <c:v>70.730003356933594</c:v>
                </c:pt>
                <c:pt idx="1142">
                  <c:v>72.599998474121094</c:v>
                </c:pt>
                <c:pt idx="1143">
                  <c:v>69.839996337890597</c:v>
                </c:pt>
                <c:pt idx="1144">
                  <c:v>70.360000610351506</c:v>
                </c:pt>
                <c:pt idx="1145">
                  <c:v>69.660003662109304</c:v>
                </c:pt>
                <c:pt idx="1146">
                  <c:v>70.559997558593693</c:v>
                </c:pt>
                <c:pt idx="1147">
                  <c:v>71.459999084472599</c:v>
                </c:pt>
                <c:pt idx="1148">
                  <c:v>69.889999389648395</c:v>
                </c:pt>
                <c:pt idx="1149">
                  <c:v>69.819999694824205</c:v>
                </c:pt>
                <c:pt idx="1150">
                  <c:v>69.940002441406193</c:v>
                </c:pt>
                <c:pt idx="1151">
                  <c:v>70.290000915527301</c:v>
                </c:pt>
                <c:pt idx="1152">
                  <c:v>68.050003051757798</c:v>
                </c:pt>
                <c:pt idx="1153">
                  <c:v>66.160003662109304</c:v>
                </c:pt>
                <c:pt idx="1154">
                  <c:v>66</c:v>
                </c:pt>
                <c:pt idx="1155">
                  <c:v>66.349998474121094</c:v>
                </c:pt>
                <c:pt idx="1156">
                  <c:v>65.389999389648395</c:v>
                </c:pt>
                <c:pt idx="1157">
                  <c:v>65.489997863769503</c:v>
                </c:pt>
                <c:pt idx="1158">
                  <c:v>63.799999237060497</c:v>
                </c:pt>
                <c:pt idx="1159">
                  <c:v>64.029998779296804</c:v>
                </c:pt>
                <c:pt idx="1160">
                  <c:v>68.559997558593693</c:v>
                </c:pt>
                <c:pt idx="1161">
                  <c:v>70.660003662109304</c:v>
                </c:pt>
                <c:pt idx="1162">
                  <c:v>69.709999084472599</c:v>
                </c:pt>
                <c:pt idx="1163">
                  <c:v>67.889999389648395</c:v>
                </c:pt>
                <c:pt idx="1164">
                  <c:v>70.900001525878906</c:v>
                </c:pt>
                <c:pt idx="1165">
                  <c:v>69.419998168945298</c:v>
                </c:pt>
                <c:pt idx="1166">
                  <c:v>69.330001831054602</c:v>
                </c:pt>
                <c:pt idx="1167">
                  <c:v>67.529998779296804</c:v>
                </c:pt>
                <c:pt idx="1168">
                  <c:v>67.050003051757798</c:v>
                </c:pt>
                <c:pt idx="1169">
                  <c:v>66.709999084472599</c:v>
                </c:pt>
                <c:pt idx="1170">
                  <c:v>69.690002441406193</c:v>
                </c:pt>
                <c:pt idx="1171">
                  <c:v>70.290000915527301</c:v>
                </c:pt>
                <c:pt idx="1172">
                  <c:v>70.540000915527301</c:v>
                </c:pt>
                <c:pt idx="1173">
                  <c:v>68</c:v>
                </c:pt>
                <c:pt idx="1174">
                  <c:v>65.769996643066406</c:v>
                </c:pt>
                <c:pt idx="1175">
                  <c:v>64.720001220703097</c:v>
                </c:pt>
                <c:pt idx="1176">
                  <c:v>65.410003662109304</c:v>
                </c:pt>
                <c:pt idx="1177">
                  <c:v>65.370002746582003</c:v>
                </c:pt>
                <c:pt idx="1178">
                  <c:v>64.610000610351506</c:v>
                </c:pt>
                <c:pt idx="1179">
                  <c:v>66.580001831054602</c:v>
                </c:pt>
                <c:pt idx="1180">
                  <c:v>63.159999847412102</c:v>
                </c:pt>
                <c:pt idx="1181">
                  <c:v>63.400001525878899</c:v>
                </c:pt>
                <c:pt idx="1182">
                  <c:v>63.290000915527301</c:v>
                </c:pt>
                <c:pt idx="1183">
                  <c:v>63</c:v>
                </c:pt>
                <c:pt idx="1184">
                  <c:v>63.419998168945298</c:v>
                </c:pt>
                <c:pt idx="1185">
                  <c:v>63.720001220703097</c:v>
                </c:pt>
                <c:pt idx="1186">
                  <c:v>64</c:v>
                </c:pt>
                <c:pt idx="1187">
                  <c:v>64.010002136230398</c:v>
                </c:pt>
                <c:pt idx="1188">
                  <c:v>64.949996948242102</c:v>
                </c:pt>
                <c:pt idx="1189">
                  <c:v>64.870002746582003</c:v>
                </c:pt>
                <c:pt idx="1190">
                  <c:v>64.940002441406193</c:v>
                </c:pt>
                <c:pt idx="1191">
                  <c:v>64.730003356933594</c:v>
                </c:pt>
                <c:pt idx="1192">
                  <c:v>63.669998168945298</c:v>
                </c:pt>
                <c:pt idx="1193">
                  <c:v>65.080001831054602</c:v>
                </c:pt>
                <c:pt idx="1194">
                  <c:v>64.930000305175696</c:v>
                </c:pt>
                <c:pt idx="1195">
                  <c:v>65.080001831054602</c:v>
                </c:pt>
                <c:pt idx="1196">
                  <c:v>65.449996948242102</c:v>
                </c:pt>
                <c:pt idx="1197">
                  <c:v>69.019996643066406</c:v>
                </c:pt>
                <c:pt idx="1198">
                  <c:v>67.550003051757798</c:v>
                </c:pt>
                <c:pt idx="1199">
                  <c:v>68.190002441406193</c:v>
                </c:pt>
                <c:pt idx="1200">
                  <c:v>64.930000305175696</c:v>
                </c:pt>
                <c:pt idx="1201">
                  <c:v>65.589996337890597</c:v>
                </c:pt>
                <c:pt idx="1202">
                  <c:v>65.459999084472599</c:v>
                </c:pt>
                <c:pt idx="1203">
                  <c:v>67</c:v>
                </c:pt>
                <c:pt idx="1204">
                  <c:v>65.099998474121094</c:v>
                </c:pt>
                <c:pt idx="1205">
                  <c:v>66.989997863769503</c:v>
                </c:pt>
                <c:pt idx="1206">
                  <c:v>67.569999694824205</c:v>
                </c:pt>
                <c:pt idx="1207">
                  <c:v>68.580001831054602</c:v>
                </c:pt>
                <c:pt idx="1208">
                  <c:v>69.080001831054602</c:v>
                </c:pt>
                <c:pt idx="1209">
                  <c:v>68.610000610351506</c:v>
                </c:pt>
                <c:pt idx="1210">
                  <c:v>70.25</c:v>
                </c:pt>
                <c:pt idx="1211">
                  <c:v>70.010002136230398</c:v>
                </c:pt>
                <c:pt idx="1212">
                  <c:v>69.470001220703097</c:v>
                </c:pt>
                <c:pt idx="1213">
                  <c:v>69.889999389648395</c:v>
                </c:pt>
                <c:pt idx="1214">
                  <c:v>70.410003662109304</c:v>
                </c:pt>
                <c:pt idx="1215">
                  <c:v>70.400001525878906</c:v>
                </c:pt>
                <c:pt idx="1216">
                  <c:v>69.139999389648395</c:v>
                </c:pt>
                <c:pt idx="1217">
                  <c:v>68.519996643066406</c:v>
                </c:pt>
                <c:pt idx="1218">
                  <c:v>68.739997863769503</c:v>
                </c:pt>
                <c:pt idx="1219">
                  <c:v>70.199996948242102</c:v>
                </c:pt>
                <c:pt idx="1220">
                  <c:v>67.760002136230398</c:v>
                </c:pt>
                <c:pt idx="1221">
                  <c:v>68.110000610351506</c:v>
                </c:pt>
                <c:pt idx="1222">
                  <c:v>69.5</c:v>
                </c:pt>
                <c:pt idx="1223">
                  <c:v>70.709999084472599</c:v>
                </c:pt>
                <c:pt idx="1224">
                  <c:v>70.25</c:v>
                </c:pt>
                <c:pt idx="1225">
                  <c:v>68.940002441406193</c:v>
                </c:pt>
                <c:pt idx="1226">
                  <c:v>70.989997863769503</c:v>
                </c:pt>
                <c:pt idx="1227">
                  <c:v>69.879997253417898</c:v>
                </c:pt>
                <c:pt idx="1228">
                  <c:v>69.190002441406193</c:v>
                </c:pt>
                <c:pt idx="1229">
                  <c:v>69.099998474121094</c:v>
                </c:pt>
                <c:pt idx="1230">
                  <c:v>68.269996643066406</c:v>
                </c:pt>
                <c:pt idx="1231">
                  <c:v>67.989997863769503</c:v>
                </c:pt>
                <c:pt idx="1232">
                  <c:v>69.339996337890597</c:v>
                </c:pt>
                <c:pt idx="1233">
                  <c:v>68.680000305175696</c:v>
                </c:pt>
                <c:pt idx="1234">
                  <c:v>67.870002746582003</c:v>
                </c:pt>
                <c:pt idx="1235">
                  <c:v>68.449996948242102</c:v>
                </c:pt>
                <c:pt idx="1236">
                  <c:v>69.790000915527301</c:v>
                </c:pt>
                <c:pt idx="1237">
                  <c:v>66.430000305175696</c:v>
                </c:pt>
                <c:pt idx="1238">
                  <c:v>68.330001831054602</c:v>
                </c:pt>
                <c:pt idx="1239">
                  <c:v>69.849998474121094</c:v>
                </c:pt>
                <c:pt idx="1240">
                  <c:v>68.650001525878906</c:v>
                </c:pt>
                <c:pt idx="1241">
                  <c:v>69.190002441406193</c:v>
                </c:pt>
                <c:pt idx="1242">
                  <c:v>68.150001525878906</c:v>
                </c:pt>
                <c:pt idx="1243">
                  <c:v>67.709999084472599</c:v>
                </c:pt>
                <c:pt idx="1244">
                  <c:v>66.980003356933594</c:v>
                </c:pt>
                <c:pt idx="1245">
                  <c:v>65.739997863769503</c:v>
                </c:pt>
                <c:pt idx="1246">
                  <c:v>67.339996337890597</c:v>
                </c:pt>
                <c:pt idx="1247">
                  <c:v>66.209999084472599</c:v>
                </c:pt>
                <c:pt idx="1248">
                  <c:v>66.029998779296804</c:v>
                </c:pt>
                <c:pt idx="1249">
                  <c:v>64.650001525878906</c:v>
                </c:pt>
                <c:pt idx="1250">
                  <c:v>64.5</c:v>
                </c:pt>
                <c:pt idx="1251">
                  <c:v>65.949996948242102</c:v>
                </c:pt>
                <c:pt idx="1252">
                  <c:v>64.470001220703097</c:v>
                </c:pt>
                <c:pt idx="1253">
                  <c:v>64.160003662109304</c:v>
                </c:pt>
                <c:pt idx="1254">
                  <c:v>65.339996337890597</c:v>
                </c:pt>
                <c:pt idx="1255">
                  <c:v>65.400001525878906</c:v>
                </c:pt>
                <c:pt idx="1256">
                  <c:v>65.5</c:v>
                </c:pt>
                <c:pt idx="1257">
                  <c:v>64.660003662109304</c:v>
                </c:pt>
                <c:pt idx="1258">
                  <c:v>64.599998474121094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C8-4928-9720-73501F2DD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3476377"/>
        <c:axId val="1371371442"/>
      </c:lineChart>
      <c:catAx>
        <c:axId val="1323476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371371442"/>
        <c:crosses val="autoZero"/>
        <c:auto val="1"/>
        <c:lblAlgn val="ctr"/>
        <c:lblOffset val="100"/>
        <c:noMultiLvlLbl val="1"/>
      </c:catAx>
      <c:valAx>
        <c:axId val="1371371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GBMMODBFF.MX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3234763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GCARSOA1.MX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GrupoCarso!$B$1</c:f>
              <c:strCache>
                <c:ptCount val="1"/>
                <c:pt idx="0">
                  <c:v>GCARSOA1.MX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GrupoCarso!$A$2:$A$1260</c:f>
              <c:numCache>
                <c:formatCode>General</c:formatCode>
                <c:ptCount val="1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</c:numCache>
            </c:numRef>
          </c:cat>
          <c:val>
            <c:numRef>
              <c:f>GrupoCarso!$B$2:$B$1260</c:f>
              <c:numCache>
                <c:formatCode>General</c:formatCode>
                <c:ptCount val="1259"/>
                <c:pt idx="0">
                  <c:v>63.069999694824197</c:v>
                </c:pt>
                <c:pt idx="1">
                  <c:v>62.139999389648402</c:v>
                </c:pt>
                <c:pt idx="2">
                  <c:v>61.509998321533203</c:v>
                </c:pt>
                <c:pt idx="3">
                  <c:v>64.720001220703097</c:v>
                </c:pt>
                <c:pt idx="4">
                  <c:v>66.550003051757798</c:v>
                </c:pt>
                <c:pt idx="5">
                  <c:v>66.269996643066406</c:v>
                </c:pt>
                <c:pt idx="6">
                  <c:v>64.400001525878906</c:v>
                </c:pt>
                <c:pt idx="7">
                  <c:v>68.120002746582003</c:v>
                </c:pt>
                <c:pt idx="8">
                  <c:v>66.919998168945298</c:v>
                </c:pt>
                <c:pt idx="9">
                  <c:v>67.980003356933594</c:v>
                </c:pt>
                <c:pt idx="10">
                  <c:v>68.110000610351506</c:v>
                </c:pt>
                <c:pt idx="11">
                  <c:v>69.139999389648395</c:v>
                </c:pt>
                <c:pt idx="12">
                  <c:v>67.220001220703097</c:v>
                </c:pt>
                <c:pt idx="13">
                  <c:v>68.370002746582003</c:v>
                </c:pt>
                <c:pt idx="14">
                  <c:v>67.889999389648395</c:v>
                </c:pt>
                <c:pt idx="15">
                  <c:v>65.900001525878906</c:v>
                </c:pt>
                <c:pt idx="16">
                  <c:v>67.290000915527301</c:v>
                </c:pt>
                <c:pt idx="17">
                  <c:v>68.330001831054602</c:v>
                </c:pt>
                <c:pt idx="18">
                  <c:v>69.139999389648395</c:v>
                </c:pt>
                <c:pt idx="19">
                  <c:v>68.209999084472599</c:v>
                </c:pt>
                <c:pt idx="20">
                  <c:v>66.330001831054602</c:v>
                </c:pt>
                <c:pt idx="21">
                  <c:v>67</c:v>
                </c:pt>
                <c:pt idx="22">
                  <c:v>66.639999389648395</c:v>
                </c:pt>
                <c:pt idx="23">
                  <c:v>64.879997253417898</c:v>
                </c:pt>
                <c:pt idx="24">
                  <c:v>65.519996643066406</c:v>
                </c:pt>
                <c:pt idx="25">
                  <c:v>65.760002136230398</c:v>
                </c:pt>
                <c:pt idx="26">
                  <c:v>65.360000610351506</c:v>
                </c:pt>
                <c:pt idx="27">
                  <c:v>66.120002746582003</c:v>
                </c:pt>
                <c:pt idx="28">
                  <c:v>67.540000915527301</c:v>
                </c:pt>
                <c:pt idx="29">
                  <c:v>67.129997253417898</c:v>
                </c:pt>
                <c:pt idx="30">
                  <c:v>66.889999389648395</c:v>
                </c:pt>
                <c:pt idx="31">
                  <c:v>65.569999694824205</c:v>
                </c:pt>
                <c:pt idx="32">
                  <c:v>66.129997253417898</c:v>
                </c:pt>
                <c:pt idx="33">
                  <c:v>69.25</c:v>
                </c:pt>
                <c:pt idx="34">
                  <c:v>69.319999694824205</c:v>
                </c:pt>
                <c:pt idx="35">
                  <c:v>71.529998779296804</c:v>
                </c:pt>
                <c:pt idx="36">
                  <c:v>70.290000915527301</c:v>
                </c:pt>
                <c:pt idx="37">
                  <c:v>71.019996643066406</c:v>
                </c:pt>
                <c:pt idx="38">
                  <c:v>70.569999694824205</c:v>
                </c:pt>
                <c:pt idx="39">
                  <c:v>71.949996948242102</c:v>
                </c:pt>
                <c:pt idx="40">
                  <c:v>72.589996337890597</c:v>
                </c:pt>
                <c:pt idx="41">
                  <c:v>72.139999389648395</c:v>
                </c:pt>
                <c:pt idx="42">
                  <c:v>71.440002441406193</c:v>
                </c:pt>
                <c:pt idx="43">
                  <c:v>71.029998779296804</c:v>
                </c:pt>
                <c:pt idx="44">
                  <c:v>70.430000305175696</c:v>
                </c:pt>
                <c:pt idx="45">
                  <c:v>69.800003051757798</c:v>
                </c:pt>
                <c:pt idx="46">
                  <c:v>69.800003051757798</c:v>
                </c:pt>
                <c:pt idx="47">
                  <c:v>73.889999389648395</c:v>
                </c:pt>
                <c:pt idx="48">
                  <c:v>74.319999694824205</c:v>
                </c:pt>
                <c:pt idx="49">
                  <c:v>74.684997558593693</c:v>
                </c:pt>
                <c:pt idx="50">
                  <c:v>73.349998474121094</c:v>
                </c:pt>
                <c:pt idx="51">
                  <c:v>73.910003662109304</c:v>
                </c:pt>
                <c:pt idx="52">
                  <c:v>73.930000305175696</c:v>
                </c:pt>
                <c:pt idx="53">
                  <c:v>74.879997253417898</c:v>
                </c:pt>
                <c:pt idx="54">
                  <c:v>75.639999389648395</c:v>
                </c:pt>
                <c:pt idx="55">
                  <c:v>75.989997863769503</c:v>
                </c:pt>
                <c:pt idx="56">
                  <c:v>72.239997863769503</c:v>
                </c:pt>
                <c:pt idx="57">
                  <c:v>76.690002441406193</c:v>
                </c:pt>
                <c:pt idx="58">
                  <c:v>75.819999694824205</c:v>
                </c:pt>
                <c:pt idx="59">
                  <c:v>74.989997863769503</c:v>
                </c:pt>
                <c:pt idx="60">
                  <c:v>74.599998474121094</c:v>
                </c:pt>
                <c:pt idx="61">
                  <c:v>74.620002746582003</c:v>
                </c:pt>
                <c:pt idx="62">
                  <c:v>74.089996337890597</c:v>
                </c:pt>
                <c:pt idx="63">
                  <c:v>71.769996643066406</c:v>
                </c:pt>
                <c:pt idx="64">
                  <c:v>69.489997863769503</c:v>
                </c:pt>
                <c:pt idx="65">
                  <c:v>69.800003051757798</c:v>
                </c:pt>
                <c:pt idx="66">
                  <c:v>70.849998474121094</c:v>
                </c:pt>
                <c:pt idx="67">
                  <c:v>70.120002746582003</c:v>
                </c:pt>
                <c:pt idx="68">
                  <c:v>67.980003356933594</c:v>
                </c:pt>
                <c:pt idx="69">
                  <c:v>69.175003051757798</c:v>
                </c:pt>
                <c:pt idx="70">
                  <c:v>66.75</c:v>
                </c:pt>
                <c:pt idx="71">
                  <c:v>65.800003051757798</c:v>
                </c:pt>
                <c:pt idx="72">
                  <c:v>65.959999084472599</c:v>
                </c:pt>
                <c:pt idx="73">
                  <c:v>66.294998168945298</c:v>
                </c:pt>
                <c:pt idx="74">
                  <c:v>69</c:v>
                </c:pt>
                <c:pt idx="75">
                  <c:v>69.610000610351506</c:v>
                </c:pt>
                <c:pt idx="76">
                  <c:v>66.75</c:v>
                </c:pt>
                <c:pt idx="77">
                  <c:v>66.459999084472599</c:v>
                </c:pt>
                <c:pt idx="78">
                  <c:v>66.559997558593693</c:v>
                </c:pt>
                <c:pt idx="79">
                  <c:v>66.089996337890597</c:v>
                </c:pt>
                <c:pt idx="80">
                  <c:v>66.580001831054602</c:v>
                </c:pt>
                <c:pt idx="81">
                  <c:v>66.480003356933594</c:v>
                </c:pt>
                <c:pt idx="82">
                  <c:v>65.559997558593693</c:v>
                </c:pt>
                <c:pt idx="83">
                  <c:v>63.669998168945298</c:v>
                </c:pt>
                <c:pt idx="84">
                  <c:v>61.849998474121001</c:v>
                </c:pt>
                <c:pt idx="85">
                  <c:v>60.75</c:v>
                </c:pt>
                <c:pt idx="86">
                  <c:v>56.720001220703097</c:v>
                </c:pt>
                <c:pt idx="87">
                  <c:v>54.029998779296797</c:v>
                </c:pt>
                <c:pt idx="88">
                  <c:v>55.860000610351499</c:v>
                </c:pt>
                <c:pt idx="89">
                  <c:v>55.330001831054602</c:v>
                </c:pt>
                <c:pt idx="90">
                  <c:v>58.939998626708899</c:v>
                </c:pt>
                <c:pt idx="91">
                  <c:v>56.7299995422363</c:v>
                </c:pt>
                <c:pt idx="92">
                  <c:v>52.939998626708899</c:v>
                </c:pt>
                <c:pt idx="93">
                  <c:v>49.819999694824197</c:v>
                </c:pt>
                <c:pt idx="94">
                  <c:v>55.080001831054602</c:v>
                </c:pt>
                <c:pt idx="95">
                  <c:v>51.770000457763601</c:v>
                </c:pt>
                <c:pt idx="96">
                  <c:v>48.9799995422363</c:v>
                </c:pt>
                <c:pt idx="97">
                  <c:v>49.799999237060497</c:v>
                </c:pt>
                <c:pt idx="98">
                  <c:v>55.869998931884702</c:v>
                </c:pt>
                <c:pt idx="99">
                  <c:v>54.680000305175703</c:v>
                </c:pt>
                <c:pt idx="100">
                  <c:v>54.810001373291001</c:v>
                </c:pt>
                <c:pt idx="101">
                  <c:v>58.75</c:v>
                </c:pt>
                <c:pt idx="102">
                  <c:v>50</c:v>
                </c:pt>
                <c:pt idx="103">
                  <c:v>54.810001373291001</c:v>
                </c:pt>
                <c:pt idx="104">
                  <c:v>54.520000457763601</c:v>
                </c:pt>
                <c:pt idx="105">
                  <c:v>56.630001068115199</c:v>
                </c:pt>
                <c:pt idx="106">
                  <c:v>51.389999389648402</c:v>
                </c:pt>
                <c:pt idx="107">
                  <c:v>48.7299995422363</c:v>
                </c:pt>
                <c:pt idx="108">
                  <c:v>46.569999694824197</c:v>
                </c:pt>
                <c:pt idx="109">
                  <c:v>47.759998321533203</c:v>
                </c:pt>
                <c:pt idx="110">
                  <c:v>47.130001068115199</c:v>
                </c:pt>
                <c:pt idx="111">
                  <c:v>48.169998168945298</c:v>
                </c:pt>
                <c:pt idx="112">
                  <c:v>49.939998626708899</c:v>
                </c:pt>
                <c:pt idx="113">
                  <c:v>51.439998626708899</c:v>
                </c:pt>
                <c:pt idx="114">
                  <c:v>52.619998931884702</c:v>
                </c:pt>
                <c:pt idx="115">
                  <c:v>50.610000610351499</c:v>
                </c:pt>
                <c:pt idx="116">
                  <c:v>51.900001525878899</c:v>
                </c:pt>
                <c:pt idx="117">
                  <c:v>49.909999847412102</c:v>
                </c:pt>
                <c:pt idx="118">
                  <c:v>47.7299995422363</c:v>
                </c:pt>
                <c:pt idx="119">
                  <c:v>48.490001678466797</c:v>
                </c:pt>
                <c:pt idx="120">
                  <c:v>48.5</c:v>
                </c:pt>
                <c:pt idx="121">
                  <c:v>48.529998779296797</c:v>
                </c:pt>
                <c:pt idx="122">
                  <c:v>47.619998931884702</c:v>
                </c:pt>
                <c:pt idx="123">
                  <c:v>45.7299995422363</c:v>
                </c:pt>
                <c:pt idx="124">
                  <c:v>47.130001068115199</c:v>
                </c:pt>
                <c:pt idx="125">
                  <c:v>47.009998321533203</c:v>
                </c:pt>
                <c:pt idx="126">
                  <c:v>49.400001525878899</c:v>
                </c:pt>
                <c:pt idx="127">
                  <c:v>53.639999389648402</c:v>
                </c:pt>
                <c:pt idx="128">
                  <c:v>48.25</c:v>
                </c:pt>
                <c:pt idx="129">
                  <c:v>48.619998931884702</c:v>
                </c:pt>
                <c:pt idx="130">
                  <c:v>48.240001678466797</c:v>
                </c:pt>
                <c:pt idx="131">
                  <c:v>47.220001220703097</c:v>
                </c:pt>
                <c:pt idx="132">
                  <c:v>46.680000305175703</c:v>
                </c:pt>
                <c:pt idx="133">
                  <c:v>48.020000457763601</c:v>
                </c:pt>
                <c:pt idx="134">
                  <c:v>49.310001373291001</c:v>
                </c:pt>
                <c:pt idx="135">
                  <c:v>49.069999694824197</c:v>
                </c:pt>
                <c:pt idx="136">
                  <c:v>47.840000152587798</c:v>
                </c:pt>
                <c:pt idx="137">
                  <c:v>49.259998321533203</c:v>
                </c:pt>
                <c:pt idx="138">
                  <c:v>48.099998474121001</c:v>
                </c:pt>
                <c:pt idx="139">
                  <c:v>50.130001068115199</c:v>
                </c:pt>
                <c:pt idx="140">
                  <c:v>47.889999389648402</c:v>
                </c:pt>
                <c:pt idx="141">
                  <c:v>48.610000610351499</c:v>
                </c:pt>
                <c:pt idx="142">
                  <c:v>47.200000762939403</c:v>
                </c:pt>
                <c:pt idx="143">
                  <c:v>47.610000610351499</c:v>
                </c:pt>
                <c:pt idx="144">
                  <c:v>47.099998474121001</c:v>
                </c:pt>
                <c:pt idx="145">
                  <c:v>47.560001373291001</c:v>
                </c:pt>
                <c:pt idx="146">
                  <c:v>48.119998931884702</c:v>
                </c:pt>
                <c:pt idx="147">
                  <c:v>47.180000305175703</c:v>
                </c:pt>
                <c:pt idx="148">
                  <c:v>49.990001678466797</c:v>
                </c:pt>
                <c:pt idx="149">
                  <c:v>49.139999389648402</c:v>
                </c:pt>
                <c:pt idx="150">
                  <c:v>50.560001373291001</c:v>
                </c:pt>
                <c:pt idx="151">
                  <c:v>50.840000152587798</c:v>
                </c:pt>
                <c:pt idx="152">
                  <c:v>50.159999847412102</c:v>
                </c:pt>
                <c:pt idx="153">
                  <c:v>53.099998474121001</c:v>
                </c:pt>
                <c:pt idx="154">
                  <c:v>53.689998626708899</c:v>
                </c:pt>
                <c:pt idx="155">
                  <c:v>51.790000915527301</c:v>
                </c:pt>
                <c:pt idx="156">
                  <c:v>50.529998779296797</c:v>
                </c:pt>
                <c:pt idx="157">
                  <c:v>46.580001831054602</c:v>
                </c:pt>
                <c:pt idx="158">
                  <c:v>48.25</c:v>
                </c:pt>
                <c:pt idx="159">
                  <c:v>48.319999694824197</c:v>
                </c:pt>
                <c:pt idx="160">
                  <c:v>47.590000152587798</c:v>
                </c:pt>
                <c:pt idx="161">
                  <c:v>47.209999084472599</c:v>
                </c:pt>
                <c:pt idx="162">
                  <c:v>46.580001831054602</c:v>
                </c:pt>
                <c:pt idx="163">
                  <c:v>48.200000762939403</c:v>
                </c:pt>
                <c:pt idx="164">
                  <c:v>47.799999237060497</c:v>
                </c:pt>
                <c:pt idx="165">
                  <c:v>47.439998626708899</c:v>
                </c:pt>
                <c:pt idx="166">
                  <c:v>46.549999237060497</c:v>
                </c:pt>
                <c:pt idx="167">
                  <c:v>45.819999694824197</c:v>
                </c:pt>
                <c:pt idx="168">
                  <c:v>44.459999084472599</c:v>
                </c:pt>
                <c:pt idx="169">
                  <c:v>45.080001831054602</c:v>
                </c:pt>
                <c:pt idx="170">
                  <c:v>44.819999694824197</c:v>
                </c:pt>
                <c:pt idx="171">
                  <c:v>45.569999694824197</c:v>
                </c:pt>
                <c:pt idx="172">
                  <c:v>46.119998931884702</c:v>
                </c:pt>
                <c:pt idx="173">
                  <c:v>46.509998321533203</c:v>
                </c:pt>
                <c:pt idx="174">
                  <c:v>46.400001525878899</c:v>
                </c:pt>
                <c:pt idx="175">
                  <c:v>47.200000762939403</c:v>
                </c:pt>
                <c:pt idx="176">
                  <c:v>45.369998931884702</c:v>
                </c:pt>
                <c:pt idx="177">
                  <c:v>43.849998474121001</c:v>
                </c:pt>
                <c:pt idx="178">
                  <c:v>43.529998779296797</c:v>
                </c:pt>
                <c:pt idx="179">
                  <c:v>42.900001525878899</c:v>
                </c:pt>
                <c:pt idx="180">
                  <c:v>41.580001831054602</c:v>
                </c:pt>
                <c:pt idx="181">
                  <c:v>41.930000305175703</c:v>
                </c:pt>
                <c:pt idx="182">
                  <c:v>43.270000457763601</c:v>
                </c:pt>
                <c:pt idx="183">
                  <c:v>42.369998931884702</c:v>
                </c:pt>
                <c:pt idx="184">
                  <c:v>42.450000762939403</c:v>
                </c:pt>
                <c:pt idx="185">
                  <c:v>44.259998321533203</c:v>
                </c:pt>
                <c:pt idx="186">
                  <c:v>45.389999389648402</c:v>
                </c:pt>
                <c:pt idx="187">
                  <c:v>44.680000305175703</c:v>
                </c:pt>
                <c:pt idx="188">
                  <c:v>44.669998168945298</c:v>
                </c:pt>
                <c:pt idx="189">
                  <c:v>44.020000457763601</c:v>
                </c:pt>
                <c:pt idx="190">
                  <c:v>44.130001068115199</c:v>
                </c:pt>
                <c:pt idx="191">
                  <c:v>43.319999694824197</c:v>
                </c:pt>
                <c:pt idx="192">
                  <c:v>43.119998931884702</c:v>
                </c:pt>
                <c:pt idx="193">
                  <c:v>43.939998626708899</c:v>
                </c:pt>
                <c:pt idx="194">
                  <c:v>43.090000152587798</c:v>
                </c:pt>
                <c:pt idx="195">
                  <c:v>42.970001220703097</c:v>
                </c:pt>
                <c:pt idx="196">
                  <c:v>43.040000915527301</c:v>
                </c:pt>
                <c:pt idx="197">
                  <c:v>43.909999847412102</c:v>
                </c:pt>
                <c:pt idx="198">
                  <c:v>44.330001831054602</c:v>
                </c:pt>
                <c:pt idx="199">
                  <c:v>45.380001068115199</c:v>
                </c:pt>
                <c:pt idx="200">
                  <c:v>45.819999694824197</c:v>
                </c:pt>
                <c:pt idx="201">
                  <c:v>45.849998474121001</c:v>
                </c:pt>
                <c:pt idx="202">
                  <c:v>46.720001220703097</c:v>
                </c:pt>
                <c:pt idx="203">
                  <c:v>47.4799995422363</c:v>
                </c:pt>
                <c:pt idx="204">
                  <c:v>47.279998779296797</c:v>
                </c:pt>
                <c:pt idx="205">
                  <c:v>47.689998626708899</c:v>
                </c:pt>
                <c:pt idx="206">
                  <c:v>46.509998321533203</c:v>
                </c:pt>
                <c:pt idx="207">
                  <c:v>45.25</c:v>
                </c:pt>
                <c:pt idx="208">
                  <c:v>45.090000152587798</c:v>
                </c:pt>
                <c:pt idx="209">
                  <c:v>44.799999237060497</c:v>
                </c:pt>
                <c:pt idx="210">
                  <c:v>45.340000152587798</c:v>
                </c:pt>
                <c:pt idx="211">
                  <c:v>44.619998931884702</c:v>
                </c:pt>
                <c:pt idx="212">
                  <c:v>45.049999237060497</c:v>
                </c:pt>
                <c:pt idx="213">
                  <c:v>46.369998931884702</c:v>
                </c:pt>
                <c:pt idx="214">
                  <c:v>43.209999084472599</c:v>
                </c:pt>
                <c:pt idx="215">
                  <c:v>44.099998474121001</c:v>
                </c:pt>
                <c:pt idx="216">
                  <c:v>43.319999694824197</c:v>
                </c:pt>
                <c:pt idx="217">
                  <c:v>42.599998474121001</c:v>
                </c:pt>
                <c:pt idx="218">
                  <c:v>43.040000915527301</c:v>
                </c:pt>
                <c:pt idx="219">
                  <c:v>43.560001373291001</c:v>
                </c:pt>
                <c:pt idx="220">
                  <c:v>42.650001525878899</c:v>
                </c:pt>
                <c:pt idx="221">
                  <c:v>42.680000305175703</c:v>
                </c:pt>
                <c:pt idx="222">
                  <c:v>42.5</c:v>
                </c:pt>
                <c:pt idx="223">
                  <c:v>42.790000915527301</c:v>
                </c:pt>
                <c:pt idx="224">
                  <c:v>43.860000610351499</c:v>
                </c:pt>
                <c:pt idx="225">
                  <c:v>44.330001831054602</c:v>
                </c:pt>
                <c:pt idx="226">
                  <c:v>44.869998931884702</c:v>
                </c:pt>
                <c:pt idx="227">
                  <c:v>43.490001678466797</c:v>
                </c:pt>
                <c:pt idx="228">
                  <c:v>43.340000152587798</c:v>
                </c:pt>
                <c:pt idx="229">
                  <c:v>44.680000305175703</c:v>
                </c:pt>
                <c:pt idx="230">
                  <c:v>44.319999694824197</c:v>
                </c:pt>
                <c:pt idx="231">
                  <c:v>45.490001678466797</c:v>
                </c:pt>
                <c:pt idx="232">
                  <c:v>45.040000915527301</c:v>
                </c:pt>
                <c:pt idx="233">
                  <c:v>45.650001525878899</c:v>
                </c:pt>
                <c:pt idx="234">
                  <c:v>46.220001220703097</c:v>
                </c:pt>
                <c:pt idx="235">
                  <c:v>45.430000305175703</c:v>
                </c:pt>
                <c:pt idx="236">
                  <c:v>43.909999847412102</c:v>
                </c:pt>
                <c:pt idx="237">
                  <c:v>44.299999237060497</c:v>
                </c:pt>
                <c:pt idx="238">
                  <c:v>45.400001525878899</c:v>
                </c:pt>
                <c:pt idx="239">
                  <c:v>45.659999847412102</c:v>
                </c:pt>
                <c:pt idx="240">
                  <c:v>45.259998321533203</c:v>
                </c:pt>
                <c:pt idx="241">
                  <c:v>46.970001220703097</c:v>
                </c:pt>
                <c:pt idx="242">
                  <c:v>46.970001220703097</c:v>
                </c:pt>
                <c:pt idx="243">
                  <c:v>47.639999389648402</c:v>
                </c:pt>
                <c:pt idx="244">
                  <c:v>46.139999389648402</c:v>
                </c:pt>
                <c:pt idx="245">
                  <c:v>46.25</c:v>
                </c:pt>
                <c:pt idx="246">
                  <c:v>45.25</c:v>
                </c:pt>
                <c:pt idx="247">
                  <c:v>44.080001831054602</c:v>
                </c:pt>
                <c:pt idx="248">
                  <c:v>44.080001831054602</c:v>
                </c:pt>
                <c:pt idx="249">
                  <c:v>42.419998168945298</c:v>
                </c:pt>
                <c:pt idx="250">
                  <c:v>43.040000915527301</c:v>
                </c:pt>
                <c:pt idx="251">
                  <c:v>42.139999389648402</c:v>
                </c:pt>
                <c:pt idx="252">
                  <c:v>42.560001373291001</c:v>
                </c:pt>
                <c:pt idx="253">
                  <c:v>42.549999237060497</c:v>
                </c:pt>
                <c:pt idx="254">
                  <c:v>42.270000457763601</c:v>
                </c:pt>
                <c:pt idx="255">
                  <c:v>40.590000152587798</c:v>
                </c:pt>
                <c:pt idx="256">
                  <c:v>39.400001525878899</c:v>
                </c:pt>
                <c:pt idx="257">
                  <c:v>39.279998779296797</c:v>
                </c:pt>
                <c:pt idx="258">
                  <c:v>39.150001525878899</c:v>
                </c:pt>
                <c:pt idx="259">
                  <c:v>40.310001373291001</c:v>
                </c:pt>
                <c:pt idx="260">
                  <c:v>41.659999847412102</c:v>
                </c:pt>
                <c:pt idx="261">
                  <c:v>41.099998474121001</c:v>
                </c:pt>
                <c:pt idx="262">
                  <c:v>42.770000457763601</c:v>
                </c:pt>
                <c:pt idx="263">
                  <c:v>43.290000915527301</c:v>
                </c:pt>
                <c:pt idx="264">
                  <c:v>44.689998626708899</c:v>
                </c:pt>
                <c:pt idx="265">
                  <c:v>44.560001373291001</c:v>
                </c:pt>
                <c:pt idx="266">
                  <c:v>45.169998168945298</c:v>
                </c:pt>
                <c:pt idx="267">
                  <c:v>46.740001678466797</c:v>
                </c:pt>
                <c:pt idx="268">
                  <c:v>47.080001831054602</c:v>
                </c:pt>
                <c:pt idx="269">
                  <c:v>46.470001220703097</c:v>
                </c:pt>
                <c:pt idx="270">
                  <c:v>46.669998168945298</c:v>
                </c:pt>
                <c:pt idx="271">
                  <c:v>45.509998321533203</c:v>
                </c:pt>
                <c:pt idx="272">
                  <c:v>46.159999847412102</c:v>
                </c:pt>
                <c:pt idx="273">
                  <c:v>47.310001373291001</c:v>
                </c:pt>
                <c:pt idx="274">
                  <c:v>46.369998931884702</c:v>
                </c:pt>
                <c:pt idx="275">
                  <c:v>46.75</c:v>
                </c:pt>
                <c:pt idx="276">
                  <c:v>45.900001525878899</c:v>
                </c:pt>
                <c:pt idx="277">
                  <c:v>48.790000915527301</c:v>
                </c:pt>
                <c:pt idx="278">
                  <c:v>48.529998779296797</c:v>
                </c:pt>
                <c:pt idx="279">
                  <c:v>49.159999847412102</c:v>
                </c:pt>
                <c:pt idx="280">
                  <c:v>49.150001525878899</c:v>
                </c:pt>
                <c:pt idx="281">
                  <c:v>47.990001678466797</c:v>
                </c:pt>
                <c:pt idx="282">
                  <c:v>50.810001373291001</c:v>
                </c:pt>
                <c:pt idx="283">
                  <c:v>50.75</c:v>
                </c:pt>
                <c:pt idx="284">
                  <c:v>51.330001831054602</c:v>
                </c:pt>
                <c:pt idx="285">
                  <c:v>50.990001678466797</c:v>
                </c:pt>
                <c:pt idx="286">
                  <c:v>51.419998168945298</c:v>
                </c:pt>
                <c:pt idx="287">
                  <c:v>52.220001220703097</c:v>
                </c:pt>
                <c:pt idx="288">
                  <c:v>53.340000152587798</c:v>
                </c:pt>
                <c:pt idx="289">
                  <c:v>56.9799995422363</c:v>
                </c:pt>
                <c:pt idx="290">
                  <c:v>55.770000457763601</c:v>
                </c:pt>
                <c:pt idx="291">
                  <c:v>55.7299995422363</c:v>
                </c:pt>
                <c:pt idx="292">
                  <c:v>53.049999237060497</c:v>
                </c:pt>
                <c:pt idx="293">
                  <c:v>57.520000457763601</c:v>
                </c:pt>
                <c:pt idx="294">
                  <c:v>60.279998779296797</c:v>
                </c:pt>
                <c:pt idx="295">
                  <c:v>62.220001220703097</c:v>
                </c:pt>
                <c:pt idx="296">
                  <c:v>65.489997863769503</c:v>
                </c:pt>
                <c:pt idx="297">
                  <c:v>66.699996948242102</c:v>
                </c:pt>
                <c:pt idx="298">
                  <c:v>66.379997253417898</c:v>
                </c:pt>
                <c:pt idx="299">
                  <c:v>65.349998474121094</c:v>
                </c:pt>
                <c:pt idx="300">
                  <c:v>65.980003356933594</c:v>
                </c:pt>
                <c:pt idx="301">
                  <c:v>66.870002746582003</c:v>
                </c:pt>
                <c:pt idx="302">
                  <c:v>67.599998474121094</c:v>
                </c:pt>
                <c:pt idx="303">
                  <c:v>69.300003051757798</c:v>
                </c:pt>
                <c:pt idx="304">
                  <c:v>67.989997863769503</c:v>
                </c:pt>
                <c:pt idx="305">
                  <c:v>66.900001525878906</c:v>
                </c:pt>
                <c:pt idx="306">
                  <c:v>64.5</c:v>
                </c:pt>
                <c:pt idx="307">
                  <c:v>65.169998168945298</c:v>
                </c:pt>
                <c:pt idx="308">
                  <c:v>65.699996948242102</c:v>
                </c:pt>
                <c:pt idx="309">
                  <c:v>65.129997253417898</c:v>
                </c:pt>
                <c:pt idx="310">
                  <c:v>65.059997558593693</c:v>
                </c:pt>
                <c:pt idx="311">
                  <c:v>63.580001831054602</c:v>
                </c:pt>
                <c:pt idx="312">
                  <c:v>62.580001831054602</c:v>
                </c:pt>
                <c:pt idx="313">
                  <c:v>61.169998168945298</c:v>
                </c:pt>
                <c:pt idx="314">
                  <c:v>61.209999084472599</c:v>
                </c:pt>
                <c:pt idx="315">
                  <c:v>59.909999847412102</c:v>
                </c:pt>
                <c:pt idx="316">
                  <c:v>57.610000610351499</c:v>
                </c:pt>
                <c:pt idx="317">
                  <c:v>55.450000762939403</c:v>
                </c:pt>
                <c:pt idx="318">
                  <c:v>51.590000152587798</c:v>
                </c:pt>
                <c:pt idx="319">
                  <c:v>52.299999237060497</c:v>
                </c:pt>
                <c:pt idx="320">
                  <c:v>52.340000152587798</c:v>
                </c:pt>
                <c:pt idx="321">
                  <c:v>54.159999847412102</c:v>
                </c:pt>
                <c:pt idx="322">
                  <c:v>53.7299995422363</c:v>
                </c:pt>
                <c:pt idx="323">
                  <c:v>51.840000152587798</c:v>
                </c:pt>
                <c:pt idx="324">
                  <c:v>53.430000305175703</c:v>
                </c:pt>
                <c:pt idx="325">
                  <c:v>54.180000305175703</c:v>
                </c:pt>
                <c:pt idx="326">
                  <c:v>52.189998626708899</c:v>
                </c:pt>
                <c:pt idx="327">
                  <c:v>52.450000762939403</c:v>
                </c:pt>
                <c:pt idx="328">
                  <c:v>53.139999389648402</c:v>
                </c:pt>
                <c:pt idx="329">
                  <c:v>52.959999084472599</c:v>
                </c:pt>
                <c:pt idx="330">
                  <c:v>54.110000610351499</c:v>
                </c:pt>
                <c:pt idx="331">
                  <c:v>52.189998626708899</c:v>
                </c:pt>
                <c:pt idx="332">
                  <c:v>51.319999694824197</c:v>
                </c:pt>
                <c:pt idx="333">
                  <c:v>49.25</c:v>
                </c:pt>
                <c:pt idx="334">
                  <c:v>50.860000610351499</c:v>
                </c:pt>
                <c:pt idx="335">
                  <c:v>50.2299995422363</c:v>
                </c:pt>
                <c:pt idx="336">
                  <c:v>49.2299995422363</c:v>
                </c:pt>
                <c:pt idx="337">
                  <c:v>51.840000152587798</c:v>
                </c:pt>
                <c:pt idx="338">
                  <c:v>52.040000915527301</c:v>
                </c:pt>
                <c:pt idx="339">
                  <c:v>52.650001525878899</c:v>
                </c:pt>
                <c:pt idx="340">
                  <c:v>53.259998321533203</c:v>
                </c:pt>
                <c:pt idx="341">
                  <c:v>54.400001525878899</c:v>
                </c:pt>
                <c:pt idx="342">
                  <c:v>53.759998321533203</c:v>
                </c:pt>
                <c:pt idx="343">
                  <c:v>54.25</c:v>
                </c:pt>
                <c:pt idx="344">
                  <c:v>54.810001373291001</c:v>
                </c:pt>
                <c:pt idx="345">
                  <c:v>56.439998626708899</c:v>
                </c:pt>
                <c:pt idx="346">
                  <c:v>55.259998321533203</c:v>
                </c:pt>
                <c:pt idx="347">
                  <c:v>55.080001831054602</c:v>
                </c:pt>
                <c:pt idx="348">
                  <c:v>56.110000610351499</c:v>
                </c:pt>
                <c:pt idx="349">
                  <c:v>56.720001220703097</c:v>
                </c:pt>
                <c:pt idx="350">
                  <c:v>56.470001220703097</c:v>
                </c:pt>
                <c:pt idx="351">
                  <c:v>53.630001068115199</c:v>
                </c:pt>
                <c:pt idx="352">
                  <c:v>54.590000152587798</c:v>
                </c:pt>
                <c:pt idx="353">
                  <c:v>54.020000457763601</c:v>
                </c:pt>
                <c:pt idx="354">
                  <c:v>54</c:v>
                </c:pt>
                <c:pt idx="355">
                  <c:v>54.779998779296797</c:v>
                </c:pt>
                <c:pt idx="356">
                  <c:v>55.720001220703097</c:v>
                </c:pt>
                <c:pt idx="357">
                  <c:v>58.099998474121001</c:v>
                </c:pt>
                <c:pt idx="358">
                  <c:v>57.409999847412102</c:v>
                </c:pt>
                <c:pt idx="359">
                  <c:v>55.880001068115199</c:v>
                </c:pt>
                <c:pt idx="360">
                  <c:v>57.779998779296797</c:v>
                </c:pt>
                <c:pt idx="361">
                  <c:v>58.930000305175703</c:v>
                </c:pt>
                <c:pt idx="362">
                  <c:v>59.619998931884702</c:v>
                </c:pt>
                <c:pt idx="363">
                  <c:v>59.389999389648402</c:v>
                </c:pt>
                <c:pt idx="364">
                  <c:v>57.389999389648402</c:v>
                </c:pt>
                <c:pt idx="365">
                  <c:v>59.419998168945298</c:v>
                </c:pt>
                <c:pt idx="366">
                  <c:v>59.4799995422363</c:v>
                </c:pt>
                <c:pt idx="367">
                  <c:v>60.099998474121001</c:v>
                </c:pt>
                <c:pt idx="368">
                  <c:v>60.540000915527301</c:v>
                </c:pt>
                <c:pt idx="369">
                  <c:v>61.150001525878899</c:v>
                </c:pt>
                <c:pt idx="370">
                  <c:v>58.369998931884702</c:v>
                </c:pt>
                <c:pt idx="371">
                  <c:v>58.520000457763601</c:v>
                </c:pt>
                <c:pt idx="372">
                  <c:v>60.770000457763601</c:v>
                </c:pt>
                <c:pt idx="373">
                  <c:v>61.290000915527301</c:v>
                </c:pt>
                <c:pt idx="374">
                  <c:v>62.139999389648402</c:v>
                </c:pt>
                <c:pt idx="375">
                  <c:v>59.720001220703097</c:v>
                </c:pt>
                <c:pt idx="376">
                  <c:v>60.380001068115199</c:v>
                </c:pt>
                <c:pt idx="377">
                  <c:v>59.790000915527301</c:v>
                </c:pt>
                <c:pt idx="378">
                  <c:v>59.599998474121001</c:v>
                </c:pt>
                <c:pt idx="379">
                  <c:v>57.75</c:v>
                </c:pt>
                <c:pt idx="380">
                  <c:v>58.549999237060497</c:v>
                </c:pt>
                <c:pt idx="381">
                  <c:v>58.830001831054602</c:v>
                </c:pt>
                <c:pt idx="382">
                  <c:v>59.029998779296797</c:v>
                </c:pt>
                <c:pt idx="383">
                  <c:v>58.389999389648402</c:v>
                </c:pt>
                <c:pt idx="384">
                  <c:v>57.709999084472599</c:v>
                </c:pt>
                <c:pt idx="385">
                  <c:v>59.110000610351499</c:v>
                </c:pt>
                <c:pt idx="386">
                  <c:v>58.490001678466797</c:v>
                </c:pt>
                <c:pt idx="387">
                  <c:v>57.7299995422363</c:v>
                </c:pt>
                <c:pt idx="388">
                  <c:v>57.900001525878899</c:v>
                </c:pt>
                <c:pt idx="389">
                  <c:v>57.659999847412102</c:v>
                </c:pt>
                <c:pt idx="390">
                  <c:v>58.180000305175703</c:v>
                </c:pt>
                <c:pt idx="391">
                  <c:v>58.209999084472599</c:v>
                </c:pt>
                <c:pt idx="392">
                  <c:v>58.290000915527301</c:v>
                </c:pt>
                <c:pt idx="393">
                  <c:v>58.150001525878899</c:v>
                </c:pt>
                <c:pt idx="394">
                  <c:v>57.110000610351499</c:v>
                </c:pt>
                <c:pt idx="395">
                  <c:v>56.9799995422363</c:v>
                </c:pt>
                <c:pt idx="396">
                  <c:v>55.680000305175703</c:v>
                </c:pt>
                <c:pt idx="397">
                  <c:v>56.330001831054602</c:v>
                </c:pt>
                <c:pt idx="398">
                  <c:v>58.349998474121001</c:v>
                </c:pt>
                <c:pt idx="399">
                  <c:v>59.959999084472599</c:v>
                </c:pt>
                <c:pt idx="400">
                  <c:v>60.279998779296797</c:v>
                </c:pt>
                <c:pt idx="401">
                  <c:v>62.919998168945298</c:v>
                </c:pt>
                <c:pt idx="402">
                  <c:v>64.919998168945298</c:v>
                </c:pt>
                <c:pt idx="403">
                  <c:v>62.900001525878899</c:v>
                </c:pt>
                <c:pt idx="404">
                  <c:v>64.120002746582003</c:v>
                </c:pt>
                <c:pt idx="405">
                  <c:v>65.230003356933594</c:v>
                </c:pt>
                <c:pt idx="406">
                  <c:v>66.739997863769503</c:v>
                </c:pt>
                <c:pt idx="407">
                  <c:v>65.010002136230398</c:v>
                </c:pt>
                <c:pt idx="408">
                  <c:v>65.230003356933594</c:v>
                </c:pt>
                <c:pt idx="409">
                  <c:v>65.480003356933594</c:v>
                </c:pt>
                <c:pt idx="410">
                  <c:v>65.449996948242102</c:v>
                </c:pt>
                <c:pt idx="411">
                  <c:v>65.919998168945298</c:v>
                </c:pt>
                <c:pt idx="412">
                  <c:v>64.529998779296804</c:v>
                </c:pt>
                <c:pt idx="413">
                  <c:v>64.599998474121094</c:v>
                </c:pt>
                <c:pt idx="414">
                  <c:v>64.930000305175696</c:v>
                </c:pt>
                <c:pt idx="415">
                  <c:v>64.970001220703097</c:v>
                </c:pt>
                <c:pt idx="416">
                  <c:v>62.799999237060497</c:v>
                </c:pt>
                <c:pt idx="417">
                  <c:v>62.430000305175703</c:v>
                </c:pt>
                <c:pt idx="418">
                  <c:v>61.889999389648402</c:v>
                </c:pt>
                <c:pt idx="419">
                  <c:v>62.340000152587798</c:v>
                </c:pt>
                <c:pt idx="420">
                  <c:v>63.5</c:v>
                </c:pt>
                <c:pt idx="421">
                  <c:v>62.430000305175703</c:v>
                </c:pt>
                <c:pt idx="422">
                  <c:v>62.290000915527301</c:v>
                </c:pt>
                <c:pt idx="423">
                  <c:v>63.279998779296797</c:v>
                </c:pt>
                <c:pt idx="424">
                  <c:v>64.360000610351506</c:v>
                </c:pt>
                <c:pt idx="425">
                  <c:v>64.730003356933594</c:v>
                </c:pt>
                <c:pt idx="426">
                  <c:v>64.099998474121094</c:v>
                </c:pt>
                <c:pt idx="427">
                  <c:v>63.5</c:v>
                </c:pt>
                <c:pt idx="428">
                  <c:v>62.490001678466797</c:v>
                </c:pt>
                <c:pt idx="429">
                  <c:v>62.860000610351499</c:v>
                </c:pt>
                <c:pt idx="430">
                  <c:v>61.7299995422363</c:v>
                </c:pt>
                <c:pt idx="431">
                  <c:v>59.409999847412102</c:v>
                </c:pt>
                <c:pt idx="432">
                  <c:v>61.349998474121001</c:v>
                </c:pt>
                <c:pt idx="433">
                  <c:v>62.790000915527301</c:v>
                </c:pt>
                <c:pt idx="434">
                  <c:v>63.549999237060497</c:v>
                </c:pt>
                <c:pt idx="435">
                  <c:v>61.290000915527301</c:v>
                </c:pt>
                <c:pt idx="436">
                  <c:v>63.569999694824197</c:v>
                </c:pt>
                <c:pt idx="437">
                  <c:v>61.520000457763601</c:v>
                </c:pt>
                <c:pt idx="438">
                  <c:v>62.080001831054602</c:v>
                </c:pt>
                <c:pt idx="439">
                  <c:v>62.990001678466797</c:v>
                </c:pt>
                <c:pt idx="440">
                  <c:v>63.720001220703097</c:v>
                </c:pt>
                <c:pt idx="441">
                  <c:v>65.069999694824205</c:v>
                </c:pt>
                <c:pt idx="442">
                  <c:v>64.610000610351506</c:v>
                </c:pt>
                <c:pt idx="443">
                  <c:v>63.689998626708899</c:v>
                </c:pt>
                <c:pt idx="444">
                  <c:v>65.050003051757798</c:v>
                </c:pt>
                <c:pt idx="445">
                  <c:v>64.069999694824205</c:v>
                </c:pt>
                <c:pt idx="446">
                  <c:v>65.819999694824205</c:v>
                </c:pt>
                <c:pt idx="447">
                  <c:v>65.779998779296804</c:v>
                </c:pt>
                <c:pt idx="448">
                  <c:v>67.050003051757798</c:v>
                </c:pt>
                <c:pt idx="449">
                  <c:v>66.410003662109304</c:v>
                </c:pt>
                <c:pt idx="450">
                  <c:v>66.580001831054602</c:v>
                </c:pt>
                <c:pt idx="451">
                  <c:v>66.169998168945298</c:v>
                </c:pt>
                <c:pt idx="452">
                  <c:v>65.349998474121094</c:v>
                </c:pt>
                <c:pt idx="453">
                  <c:v>65.169998168945298</c:v>
                </c:pt>
                <c:pt idx="454">
                  <c:v>64.290000915527301</c:v>
                </c:pt>
                <c:pt idx="455">
                  <c:v>65.059997558593693</c:v>
                </c:pt>
                <c:pt idx="456">
                  <c:v>64</c:v>
                </c:pt>
                <c:pt idx="457">
                  <c:v>65.25</c:v>
                </c:pt>
                <c:pt idx="458">
                  <c:v>64.330001831054602</c:v>
                </c:pt>
                <c:pt idx="459">
                  <c:v>63.580001831054602</c:v>
                </c:pt>
                <c:pt idx="460">
                  <c:v>63.680000305175703</c:v>
                </c:pt>
                <c:pt idx="461">
                  <c:v>64.110000610351506</c:v>
                </c:pt>
                <c:pt idx="462">
                  <c:v>64.569999694824205</c:v>
                </c:pt>
                <c:pt idx="463">
                  <c:v>64.050003051757798</c:v>
                </c:pt>
                <c:pt idx="464">
                  <c:v>64.510002136230398</c:v>
                </c:pt>
                <c:pt idx="465">
                  <c:v>64.860000610351506</c:v>
                </c:pt>
                <c:pt idx="466">
                  <c:v>68.269996643066406</c:v>
                </c:pt>
                <c:pt idx="467">
                  <c:v>65.360000610351506</c:v>
                </c:pt>
                <c:pt idx="468">
                  <c:v>64.339996337890597</c:v>
                </c:pt>
                <c:pt idx="469">
                  <c:v>65.309997558593693</c:v>
                </c:pt>
                <c:pt idx="470">
                  <c:v>67.839996337890597</c:v>
                </c:pt>
                <c:pt idx="471">
                  <c:v>67.809997558593693</c:v>
                </c:pt>
                <c:pt idx="472">
                  <c:v>67.889999389648395</c:v>
                </c:pt>
                <c:pt idx="473">
                  <c:v>67.5</c:v>
                </c:pt>
                <c:pt idx="474">
                  <c:v>68.059997558593693</c:v>
                </c:pt>
                <c:pt idx="475">
                  <c:v>67.209999084472599</c:v>
                </c:pt>
                <c:pt idx="476">
                  <c:v>69.510002136230398</c:v>
                </c:pt>
                <c:pt idx="477">
                  <c:v>75.190002441406193</c:v>
                </c:pt>
                <c:pt idx="478">
                  <c:v>75</c:v>
                </c:pt>
                <c:pt idx="479">
                  <c:v>73.540000915527301</c:v>
                </c:pt>
                <c:pt idx="480">
                  <c:v>72.900001525878906</c:v>
                </c:pt>
                <c:pt idx="481">
                  <c:v>72.580001831054602</c:v>
                </c:pt>
                <c:pt idx="482">
                  <c:v>73.389999389648395</c:v>
                </c:pt>
                <c:pt idx="483">
                  <c:v>72.120002746582003</c:v>
                </c:pt>
                <c:pt idx="484">
                  <c:v>72.440002441406193</c:v>
                </c:pt>
                <c:pt idx="485">
                  <c:v>69.620002746582003</c:v>
                </c:pt>
                <c:pt idx="486">
                  <c:v>67.919998168945298</c:v>
                </c:pt>
                <c:pt idx="487">
                  <c:v>70.709999084472599</c:v>
                </c:pt>
                <c:pt idx="488">
                  <c:v>70.029998779296804</c:v>
                </c:pt>
                <c:pt idx="489">
                  <c:v>71.440002441406193</c:v>
                </c:pt>
                <c:pt idx="490">
                  <c:v>71.809997558593693</c:v>
                </c:pt>
                <c:pt idx="491">
                  <c:v>71.839996337890597</c:v>
                </c:pt>
                <c:pt idx="492">
                  <c:v>73.510002136230398</c:v>
                </c:pt>
                <c:pt idx="493">
                  <c:v>72.849998474121094</c:v>
                </c:pt>
                <c:pt idx="494">
                  <c:v>74.940002441406193</c:v>
                </c:pt>
                <c:pt idx="495">
                  <c:v>73.580001831054602</c:v>
                </c:pt>
                <c:pt idx="496">
                  <c:v>74.010002136230398</c:v>
                </c:pt>
                <c:pt idx="497">
                  <c:v>73.819999694824205</c:v>
                </c:pt>
                <c:pt idx="498">
                  <c:v>74.860000610351506</c:v>
                </c:pt>
                <c:pt idx="499">
                  <c:v>73.760002136230398</c:v>
                </c:pt>
                <c:pt idx="500">
                  <c:v>72.989997863769503</c:v>
                </c:pt>
                <c:pt idx="501">
                  <c:v>73.459999084472599</c:v>
                </c:pt>
                <c:pt idx="502">
                  <c:v>70.779998779296804</c:v>
                </c:pt>
                <c:pt idx="503">
                  <c:v>71.190002441406193</c:v>
                </c:pt>
                <c:pt idx="504">
                  <c:v>70.720001220703097</c:v>
                </c:pt>
                <c:pt idx="505">
                  <c:v>72.059997558593693</c:v>
                </c:pt>
                <c:pt idx="506">
                  <c:v>70.569999694824205</c:v>
                </c:pt>
                <c:pt idx="507">
                  <c:v>69.199996948242102</c:v>
                </c:pt>
                <c:pt idx="508">
                  <c:v>69.25</c:v>
                </c:pt>
                <c:pt idx="509">
                  <c:v>70.709999084472599</c:v>
                </c:pt>
                <c:pt idx="510">
                  <c:v>71.839996337890597</c:v>
                </c:pt>
                <c:pt idx="511">
                  <c:v>70.959999084472599</c:v>
                </c:pt>
                <c:pt idx="512">
                  <c:v>70.290000915527301</c:v>
                </c:pt>
                <c:pt idx="513">
                  <c:v>70.580001831054602</c:v>
                </c:pt>
                <c:pt idx="514">
                  <c:v>71.550003051757798</c:v>
                </c:pt>
                <c:pt idx="515">
                  <c:v>70.449996948242102</c:v>
                </c:pt>
                <c:pt idx="516">
                  <c:v>69.970001220703097</c:v>
                </c:pt>
                <c:pt idx="517">
                  <c:v>67.209999084472599</c:v>
                </c:pt>
                <c:pt idx="518">
                  <c:v>66.620002746582003</c:v>
                </c:pt>
                <c:pt idx="519">
                  <c:v>68.349998474121094</c:v>
                </c:pt>
                <c:pt idx="520">
                  <c:v>68.160003662109304</c:v>
                </c:pt>
                <c:pt idx="521">
                  <c:v>67.360000610351506</c:v>
                </c:pt>
                <c:pt idx="522">
                  <c:v>65.239997863769503</c:v>
                </c:pt>
                <c:pt idx="523">
                  <c:v>64.120002746582003</c:v>
                </c:pt>
                <c:pt idx="524">
                  <c:v>62.090000152587798</c:v>
                </c:pt>
                <c:pt idx="525">
                  <c:v>62.599998474121001</c:v>
                </c:pt>
                <c:pt idx="526">
                  <c:v>59.5</c:v>
                </c:pt>
                <c:pt idx="527">
                  <c:v>58.830001831054602</c:v>
                </c:pt>
                <c:pt idx="528">
                  <c:v>62.369998931884702</c:v>
                </c:pt>
                <c:pt idx="529">
                  <c:v>60.799999237060497</c:v>
                </c:pt>
                <c:pt idx="530">
                  <c:v>62.439998626708899</c:v>
                </c:pt>
                <c:pt idx="531">
                  <c:v>61.2299995422363</c:v>
                </c:pt>
                <c:pt idx="532">
                  <c:v>60.4799995422363</c:v>
                </c:pt>
                <c:pt idx="533">
                  <c:v>61.290000915527301</c:v>
                </c:pt>
                <c:pt idx="534">
                  <c:v>60.819999694824197</c:v>
                </c:pt>
                <c:pt idx="535">
                  <c:v>60.349998474121001</c:v>
                </c:pt>
                <c:pt idx="536">
                  <c:v>59.939998626708899</c:v>
                </c:pt>
                <c:pt idx="537">
                  <c:v>58.840000152587798</c:v>
                </c:pt>
                <c:pt idx="538">
                  <c:v>59.909999847412102</c:v>
                </c:pt>
                <c:pt idx="539">
                  <c:v>59.840000152587798</c:v>
                </c:pt>
                <c:pt idx="540">
                  <c:v>58.110000610351499</c:v>
                </c:pt>
                <c:pt idx="541">
                  <c:v>61.330001831054602</c:v>
                </c:pt>
                <c:pt idx="542">
                  <c:v>58.799999237060497</c:v>
                </c:pt>
                <c:pt idx="543">
                  <c:v>59.459999084472599</c:v>
                </c:pt>
                <c:pt idx="544">
                  <c:v>61.810001373291001</c:v>
                </c:pt>
                <c:pt idx="545">
                  <c:v>61.25</c:v>
                </c:pt>
                <c:pt idx="546">
                  <c:v>61.619998931884702</c:v>
                </c:pt>
                <c:pt idx="547">
                  <c:v>63.259998321533203</c:v>
                </c:pt>
                <c:pt idx="548">
                  <c:v>62.049999237060497</c:v>
                </c:pt>
                <c:pt idx="549">
                  <c:v>62.299999237060497</c:v>
                </c:pt>
                <c:pt idx="550">
                  <c:v>63.180000305175703</c:v>
                </c:pt>
                <c:pt idx="551">
                  <c:v>66.190002441406193</c:v>
                </c:pt>
                <c:pt idx="552">
                  <c:v>64.739997863769503</c:v>
                </c:pt>
                <c:pt idx="553">
                  <c:v>65.190002441406193</c:v>
                </c:pt>
                <c:pt idx="554">
                  <c:v>62.569999694824197</c:v>
                </c:pt>
                <c:pt idx="555">
                  <c:v>62.450000762939403</c:v>
                </c:pt>
                <c:pt idx="556">
                  <c:v>61.200000762939403</c:v>
                </c:pt>
                <c:pt idx="557">
                  <c:v>60.599998474121001</c:v>
                </c:pt>
                <c:pt idx="558">
                  <c:v>61.159999847412102</c:v>
                </c:pt>
                <c:pt idx="559">
                  <c:v>63.790000915527301</c:v>
                </c:pt>
                <c:pt idx="560">
                  <c:v>64.080001831054602</c:v>
                </c:pt>
                <c:pt idx="561">
                  <c:v>63.959999084472599</c:v>
                </c:pt>
                <c:pt idx="562">
                  <c:v>65.239997863769503</c:v>
                </c:pt>
                <c:pt idx="563">
                  <c:v>62.939998626708899</c:v>
                </c:pt>
                <c:pt idx="564">
                  <c:v>61.310001373291001</c:v>
                </c:pt>
                <c:pt idx="565">
                  <c:v>62.740001678466797</c:v>
                </c:pt>
                <c:pt idx="566">
                  <c:v>60.580001831054602</c:v>
                </c:pt>
                <c:pt idx="567">
                  <c:v>58.819999694824197</c:v>
                </c:pt>
                <c:pt idx="568">
                  <c:v>57.580001831054602</c:v>
                </c:pt>
                <c:pt idx="569">
                  <c:v>57.009998321533203</c:v>
                </c:pt>
                <c:pt idx="570">
                  <c:v>56.599998474121001</c:v>
                </c:pt>
                <c:pt idx="571">
                  <c:v>56.880001068115199</c:v>
                </c:pt>
                <c:pt idx="572">
                  <c:v>57.689998626708899</c:v>
                </c:pt>
                <c:pt idx="573">
                  <c:v>58.520000457763601</c:v>
                </c:pt>
                <c:pt idx="574">
                  <c:v>59.020000457763601</c:v>
                </c:pt>
                <c:pt idx="575">
                  <c:v>55.790000915527301</c:v>
                </c:pt>
                <c:pt idx="576">
                  <c:v>55.970001220703097</c:v>
                </c:pt>
                <c:pt idx="577">
                  <c:v>56.040000915527301</c:v>
                </c:pt>
                <c:pt idx="578">
                  <c:v>56.490001678466797</c:v>
                </c:pt>
                <c:pt idx="579">
                  <c:v>55.689998626708899</c:v>
                </c:pt>
                <c:pt idx="580">
                  <c:v>57.689998626708899</c:v>
                </c:pt>
                <c:pt idx="581">
                  <c:v>56.029998779296797</c:v>
                </c:pt>
                <c:pt idx="582">
                  <c:v>57</c:v>
                </c:pt>
                <c:pt idx="583">
                  <c:v>59.110000610351499</c:v>
                </c:pt>
                <c:pt idx="584">
                  <c:v>57.619998931884702</c:v>
                </c:pt>
                <c:pt idx="585">
                  <c:v>59.049999237060497</c:v>
                </c:pt>
                <c:pt idx="586">
                  <c:v>59.520000457763601</c:v>
                </c:pt>
                <c:pt idx="587">
                  <c:v>63.650001525878899</c:v>
                </c:pt>
                <c:pt idx="588">
                  <c:v>62.740001678466797</c:v>
                </c:pt>
                <c:pt idx="589">
                  <c:v>61.270000457763601</c:v>
                </c:pt>
                <c:pt idx="590">
                  <c:v>62.490001678466797</c:v>
                </c:pt>
                <c:pt idx="591">
                  <c:v>62.369998931884702</c:v>
                </c:pt>
                <c:pt idx="592">
                  <c:v>62.959999084472599</c:v>
                </c:pt>
                <c:pt idx="593">
                  <c:v>67.099998474121094</c:v>
                </c:pt>
                <c:pt idx="594">
                  <c:v>66.690002441406193</c:v>
                </c:pt>
                <c:pt idx="595">
                  <c:v>66.110000610351506</c:v>
                </c:pt>
                <c:pt idx="596">
                  <c:v>63.810001373291001</c:v>
                </c:pt>
                <c:pt idx="597">
                  <c:v>61.560001373291001</c:v>
                </c:pt>
                <c:pt idx="598">
                  <c:v>64.690002441406193</c:v>
                </c:pt>
                <c:pt idx="599">
                  <c:v>64.169998168945298</c:v>
                </c:pt>
                <c:pt idx="600">
                  <c:v>63</c:v>
                </c:pt>
                <c:pt idx="601">
                  <c:v>63.459999084472599</c:v>
                </c:pt>
                <c:pt idx="602">
                  <c:v>64.930000305175696</c:v>
                </c:pt>
                <c:pt idx="603">
                  <c:v>69.620002746582003</c:v>
                </c:pt>
                <c:pt idx="604">
                  <c:v>70.080001831054602</c:v>
                </c:pt>
                <c:pt idx="605">
                  <c:v>75.360000610351506</c:v>
                </c:pt>
                <c:pt idx="606">
                  <c:v>75.080001831054602</c:v>
                </c:pt>
                <c:pt idx="607">
                  <c:v>73.709999084472599</c:v>
                </c:pt>
                <c:pt idx="608">
                  <c:v>75.610000610351506</c:v>
                </c:pt>
                <c:pt idx="609">
                  <c:v>75.769996643066406</c:v>
                </c:pt>
                <c:pt idx="610">
                  <c:v>75.809997558593693</c:v>
                </c:pt>
                <c:pt idx="611">
                  <c:v>74.290000915527301</c:v>
                </c:pt>
                <c:pt idx="612">
                  <c:v>73.529998779296804</c:v>
                </c:pt>
                <c:pt idx="613">
                  <c:v>74.410003662109304</c:v>
                </c:pt>
                <c:pt idx="614">
                  <c:v>74.709999084472599</c:v>
                </c:pt>
                <c:pt idx="615">
                  <c:v>74.209999084472599</c:v>
                </c:pt>
                <c:pt idx="616">
                  <c:v>74.029998779296804</c:v>
                </c:pt>
                <c:pt idx="617">
                  <c:v>74.510002136230398</c:v>
                </c:pt>
                <c:pt idx="618">
                  <c:v>73.529998779296804</c:v>
                </c:pt>
                <c:pt idx="619">
                  <c:v>71.199996948242102</c:v>
                </c:pt>
                <c:pt idx="620">
                  <c:v>73.180000305175696</c:v>
                </c:pt>
                <c:pt idx="621">
                  <c:v>73.209999084472599</c:v>
                </c:pt>
                <c:pt idx="622">
                  <c:v>71.610000610351506</c:v>
                </c:pt>
                <c:pt idx="623">
                  <c:v>71.650001525878906</c:v>
                </c:pt>
                <c:pt idx="624">
                  <c:v>73.860000610351506</c:v>
                </c:pt>
                <c:pt idx="625">
                  <c:v>74.680000305175696</c:v>
                </c:pt>
                <c:pt idx="626">
                  <c:v>71.599998474121094</c:v>
                </c:pt>
                <c:pt idx="627">
                  <c:v>70.339996337890597</c:v>
                </c:pt>
                <c:pt idx="628">
                  <c:v>71.389999389648395</c:v>
                </c:pt>
                <c:pt idx="629">
                  <c:v>69.050003051757798</c:v>
                </c:pt>
                <c:pt idx="630">
                  <c:v>67.690002441406193</c:v>
                </c:pt>
                <c:pt idx="631">
                  <c:v>68.819999694824205</c:v>
                </c:pt>
                <c:pt idx="632">
                  <c:v>66.660003662109304</c:v>
                </c:pt>
                <c:pt idx="633">
                  <c:v>67.160003662109304</c:v>
                </c:pt>
                <c:pt idx="634">
                  <c:v>66.169998168945298</c:v>
                </c:pt>
                <c:pt idx="635">
                  <c:v>67.440002441406193</c:v>
                </c:pt>
                <c:pt idx="636">
                  <c:v>64.830001831054602</c:v>
                </c:pt>
                <c:pt idx="637">
                  <c:v>64.290000915527301</c:v>
                </c:pt>
                <c:pt idx="638">
                  <c:v>65.220001220703097</c:v>
                </c:pt>
                <c:pt idx="639">
                  <c:v>65.150001525878906</c:v>
                </c:pt>
                <c:pt idx="640">
                  <c:v>62.860000610351499</c:v>
                </c:pt>
                <c:pt idx="641">
                  <c:v>64.830001831054602</c:v>
                </c:pt>
                <c:pt idx="642">
                  <c:v>64.940002441406193</c:v>
                </c:pt>
                <c:pt idx="643">
                  <c:v>64.959999084472599</c:v>
                </c:pt>
                <c:pt idx="644">
                  <c:v>65.739997863769503</c:v>
                </c:pt>
                <c:pt idx="645">
                  <c:v>64.599998474121094</c:v>
                </c:pt>
                <c:pt idx="646">
                  <c:v>65.849998474121094</c:v>
                </c:pt>
                <c:pt idx="647">
                  <c:v>72.150001525878906</c:v>
                </c:pt>
                <c:pt idx="648">
                  <c:v>73.180000305175696</c:v>
                </c:pt>
                <c:pt idx="649">
                  <c:v>74.410003662109304</c:v>
                </c:pt>
                <c:pt idx="650">
                  <c:v>76.25</c:v>
                </c:pt>
                <c:pt idx="651">
                  <c:v>78.080001831054602</c:v>
                </c:pt>
                <c:pt idx="652">
                  <c:v>80.370002746582003</c:v>
                </c:pt>
                <c:pt idx="653">
                  <c:v>81.75</c:v>
                </c:pt>
                <c:pt idx="654">
                  <c:v>81.089996337890597</c:v>
                </c:pt>
                <c:pt idx="655">
                  <c:v>79.360000610351506</c:v>
                </c:pt>
                <c:pt idx="656">
                  <c:v>76.809997558593693</c:v>
                </c:pt>
                <c:pt idx="657">
                  <c:v>77.919998168945298</c:v>
                </c:pt>
                <c:pt idx="658">
                  <c:v>78.330001831054602</c:v>
                </c:pt>
                <c:pt idx="659">
                  <c:v>78.480003356933594</c:v>
                </c:pt>
                <c:pt idx="660">
                  <c:v>77.779998779296804</c:v>
                </c:pt>
                <c:pt idx="661">
                  <c:v>78.480003356933594</c:v>
                </c:pt>
                <c:pt idx="662">
                  <c:v>75.790000915527301</c:v>
                </c:pt>
                <c:pt idx="663">
                  <c:v>77.839996337890597</c:v>
                </c:pt>
                <c:pt idx="664">
                  <c:v>77.669998168945298</c:v>
                </c:pt>
                <c:pt idx="665">
                  <c:v>76.190002441406193</c:v>
                </c:pt>
                <c:pt idx="666">
                  <c:v>76.730003356933594</c:v>
                </c:pt>
                <c:pt idx="667">
                  <c:v>73.360000610351506</c:v>
                </c:pt>
                <c:pt idx="668">
                  <c:v>74.839996337890597</c:v>
                </c:pt>
                <c:pt idx="669">
                  <c:v>75.760002136230398</c:v>
                </c:pt>
                <c:pt idx="670">
                  <c:v>74.949996948242102</c:v>
                </c:pt>
                <c:pt idx="671">
                  <c:v>74.139999389648395</c:v>
                </c:pt>
                <c:pt idx="672">
                  <c:v>74.730003356933594</c:v>
                </c:pt>
                <c:pt idx="673">
                  <c:v>75.260002136230398</c:v>
                </c:pt>
                <c:pt idx="674">
                  <c:v>75.980003356933594</c:v>
                </c:pt>
                <c:pt idx="675">
                  <c:v>75.510002136230398</c:v>
                </c:pt>
                <c:pt idx="676">
                  <c:v>74.949996948242102</c:v>
                </c:pt>
                <c:pt idx="677">
                  <c:v>74.5</c:v>
                </c:pt>
                <c:pt idx="678">
                  <c:v>76.790000915527301</c:v>
                </c:pt>
                <c:pt idx="679">
                  <c:v>75.959999084472599</c:v>
                </c:pt>
                <c:pt idx="680">
                  <c:v>77.069999694824205</c:v>
                </c:pt>
                <c:pt idx="681">
                  <c:v>77.309997558593693</c:v>
                </c:pt>
                <c:pt idx="682">
                  <c:v>77.129997253417898</c:v>
                </c:pt>
                <c:pt idx="683">
                  <c:v>76.959999084472599</c:v>
                </c:pt>
                <c:pt idx="684">
                  <c:v>77.610000610351506</c:v>
                </c:pt>
                <c:pt idx="685">
                  <c:v>75.980003356933594</c:v>
                </c:pt>
                <c:pt idx="686">
                  <c:v>77.010002136230398</c:v>
                </c:pt>
                <c:pt idx="687">
                  <c:v>77.489997863769503</c:v>
                </c:pt>
                <c:pt idx="688">
                  <c:v>77.319999694824205</c:v>
                </c:pt>
                <c:pt idx="689">
                  <c:v>77.589996337890597</c:v>
                </c:pt>
                <c:pt idx="690">
                  <c:v>77.419998168945298</c:v>
                </c:pt>
                <c:pt idx="691">
                  <c:v>76.849998474121094</c:v>
                </c:pt>
                <c:pt idx="692">
                  <c:v>77.239997863769503</c:v>
                </c:pt>
                <c:pt idx="693">
                  <c:v>76.989997863769503</c:v>
                </c:pt>
                <c:pt idx="694">
                  <c:v>76.980003356933594</c:v>
                </c:pt>
                <c:pt idx="695">
                  <c:v>77.959999084472599</c:v>
                </c:pt>
                <c:pt idx="696">
                  <c:v>79.949996948242102</c:v>
                </c:pt>
                <c:pt idx="697">
                  <c:v>79.510002136230398</c:v>
                </c:pt>
                <c:pt idx="698">
                  <c:v>81.260002136230398</c:v>
                </c:pt>
                <c:pt idx="699">
                  <c:v>80.699996948242102</c:v>
                </c:pt>
                <c:pt idx="700">
                  <c:v>79.099998474121094</c:v>
                </c:pt>
                <c:pt idx="701">
                  <c:v>80.639999389648395</c:v>
                </c:pt>
                <c:pt idx="702">
                  <c:v>79.529998779296804</c:v>
                </c:pt>
                <c:pt idx="703">
                  <c:v>79.330001831054602</c:v>
                </c:pt>
                <c:pt idx="704">
                  <c:v>79.379997253417898</c:v>
                </c:pt>
                <c:pt idx="705">
                  <c:v>78.389999389648395</c:v>
                </c:pt>
                <c:pt idx="706">
                  <c:v>79.800003051757798</c:v>
                </c:pt>
                <c:pt idx="707">
                  <c:v>79.519996643066406</c:v>
                </c:pt>
                <c:pt idx="708">
                  <c:v>80.949996948242102</c:v>
                </c:pt>
                <c:pt idx="709">
                  <c:v>79.709999084472599</c:v>
                </c:pt>
                <c:pt idx="710">
                  <c:v>80.480003356933594</c:v>
                </c:pt>
                <c:pt idx="711">
                  <c:v>79.830001831054602</c:v>
                </c:pt>
                <c:pt idx="712">
                  <c:v>78.029998779296804</c:v>
                </c:pt>
                <c:pt idx="713">
                  <c:v>77.150001525878906</c:v>
                </c:pt>
                <c:pt idx="714">
                  <c:v>76.150001525878906</c:v>
                </c:pt>
                <c:pt idx="715">
                  <c:v>75.519996643066406</c:v>
                </c:pt>
                <c:pt idx="716">
                  <c:v>76.540000915527301</c:v>
                </c:pt>
                <c:pt idx="717">
                  <c:v>76.010002136230398</c:v>
                </c:pt>
                <c:pt idx="718">
                  <c:v>74.209999084472599</c:v>
                </c:pt>
                <c:pt idx="719">
                  <c:v>72.699996948242102</c:v>
                </c:pt>
                <c:pt idx="720">
                  <c:v>69.330001831054602</c:v>
                </c:pt>
                <c:pt idx="721">
                  <c:v>68.139999389648395</c:v>
                </c:pt>
                <c:pt idx="722">
                  <c:v>67.599998474121094</c:v>
                </c:pt>
                <c:pt idx="723">
                  <c:v>69.459999084472599</c:v>
                </c:pt>
                <c:pt idx="724">
                  <c:v>69.120002746582003</c:v>
                </c:pt>
                <c:pt idx="725">
                  <c:v>67.919998168945298</c:v>
                </c:pt>
                <c:pt idx="726">
                  <c:v>68.760002136230398</c:v>
                </c:pt>
                <c:pt idx="727">
                  <c:v>69.730003356933594</c:v>
                </c:pt>
                <c:pt idx="728">
                  <c:v>74.559997558593693</c:v>
                </c:pt>
                <c:pt idx="729">
                  <c:v>74.540000915527301</c:v>
                </c:pt>
                <c:pt idx="730">
                  <c:v>74.900001525878906</c:v>
                </c:pt>
                <c:pt idx="731">
                  <c:v>75.190002441406193</c:v>
                </c:pt>
                <c:pt idx="732">
                  <c:v>76.309997558593693</c:v>
                </c:pt>
                <c:pt idx="733">
                  <c:v>76.360000610351506</c:v>
                </c:pt>
                <c:pt idx="734">
                  <c:v>76.349998474121094</c:v>
                </c:pt>
                <c:pt idx="735">
                  <c:v>74.529998779296804</c:v>
                </c:pt>
                <c:pt idx="736">
                  <c:v>72.459999084472599</c:v>
                </c:pt>
                <c:pt idx="737">
                  <c:v>71.110000610351506</c:v>
                </c:pt>
                <c:pt idx="738">
                  <c:v>71.010002136230398</c:v>
                </c:pt>
                <c:pt idx="739">
                  <c:v>72.989997863769503</c:v>
                </c:pt>
                <c:pt idx="740">
                  <c:v>74.480003356933594</c:v>
                </c:pt>
                <c:pt idx="741">
                  <c:v>74.169998168945298</c:v>
                </c:pt>
                <c:pt idx="742">
                  <c:v>75.699996948242102</c:v>
                </c:pt>
                <c:pt idx="743">
                  <c:v>74.580001831054602</c:v>
                </c:pt>
                <c:pt idx="744">
                  <c:v>74.980003356933594</c:v>
                </c:pt>
                <c:pt idx="745">
                  <c:v>75.900001525878906</c:v>
                </c:pt>
                <c:pt idx="746">
                  <c:v>75.029998779296804</c:v>
                </c:pt>
                <c:pt idx="747">
                  <c:v>73.629997253417898</c:v>
                </c:pt>
                <c:pt idx="748">
                  <c:v>73.75</c:v>
                </c:pt>
                <c:pt idx="749">
                  <c:v>74.199996948242102</c:v>
                </c:pt>
                <c:pt idx="750">
                  <c:v>74.720001220703097</c:v>
                </c:pt>
                <c:pt idx="751">
                  <c:v>73.190002441406193</c:v>
                </c:pt>
                <c:pt idx="752">
                  <c:v>76.839996337890597</c:v>
                </c:pt>
                <c:pt idx="753">
                  <c:v>74.709999084472599</c:v>
                </c:pt>
                <c:pt idx="754">
                  <c:v>74.809997558593693</c:v>
                </c:pt>
                <c:pt idx="755">
                  <c:v>74.930000305175696</c:v>
                </c:pt>
                <c:pt idx="756">
                  <c:v>76.489997863769503</c:v>
                </c:pt>
                <c:pt idx="757">
                  <c:v>74.779998779296804</c:v>
                </c:pt>
                <c:pt idx="758">
                  <c:v>77.400001525878906</c:v>
                </c:pt>
                <c:pt idx="759">
                  <c:v>76.779998779296804</c:v>
                </c:pt>
                <c:pt idx="760">
                  <c:v>79.160003662109304</c:v>
                </c:pt>
                <c:pt idx="761">
                  <c:v>78.849998474121094</c:v>
                </c:pt>
                <c:pt idx="762">
                  <c:v>79.900001525878906</c:v>
                </c:pt>
                <c:pt idx="763">
                  <c:v>81.690002441406193</c:v>
                </c:pt>
                <c:pt idx="764">
                  <c:v>82.010002136230398</c:v>
                </c:pt>
                <c:pt idx="765">
                  <c:v>85</c:v>
                </c:pt>
                <c:pt idx="766">
                  <c:v>83</c:v>
                </c:pt>
                <c:pt idx="767">
                  <c:v>83.099998474121094</c:v>
                </c:pt>
                <c:pt idx="768">
                  <c:v>81.809997558593693</c:v>
                </c:pt>
                <c:pt idx="769">
                  <c:v>83</c:v>
                </c:pt>
                <c:pt idx="770">
                  <c:v>86</c:v>
                </c:pt>
                <c:pt idx="771">
                  <c:v>87.389999389648395</c:v>
                </c:pt>
                <c:pt idx="772">
                  <c:v>85.639999389648395</c:v>
                </c:pt>
                <c:pt idx="773">
                  <c:v>85.120002746582003</c:v>
                </c:pt>
                <c:pt idx="774">
                  <c:v>85.889999389648395</c:v>
                </c:pt>
                <c:pt idx="775">
                  <c:v>86.879997253417898</c:v>
                </c:pt>
                <c:pt idx="776">
                  <c:v>87.150001525878906</c:v>
                </c:pt>
                <c:pt idx="777">
                  <c:v>85.349998474121094</c:v>
                </c:pt>
                <c:pt idx="778">
                  <c:v>83.360000610351506</c:v>
                </c:pt>
                <c:pt idx="779">
                  <c:v>82.300003051757798</c:v>
                </c:pt>
                <c:pt idx="780">
                  <c:v>82.819999694824205</c:v>
                </c:pt>
                <c:pt idx="781">
                  <c:v>82.589996337890597</c:v>
                </c:pt>
                <c:pt idx="782">
                  <c:v>84.089996337890597</c:v>
                </c:pt>
                <c:pt idx="783">
                  <c:v>86.830001831054602</c:v>
                </c:pt>
                <c:pt idx="784">
                  <c:v>85.970001220703097</c:v>
                </c:pt>
                <c:pt idx="785">
                  <c:v>83</c:v>
                </c:pt>
                <c:pt idx="786">
                  <c:v>82.099998474121094</c:v>
                </c:pt>
                <c:pt idx="787">
                  <c:v>83.989997863769503</c:v>
                </c:pt>
                <c:pt idx="788">
                  <c:v>84.739997863769503</c:v>
                </c:pt>
                <c:pt idx="789">
                  <c:v>84.430000305175696</c:v>
                </c:pt>
                <c:pt idx="790">
                  <c:v>87.879997253417898</c:v>
                </c:pt>
                <c:pt idx="791">
                  <c:v>86.379997253417898</c:v>
                </c:pt>
                <c:pt idx="792">
                  <c:v>84.209999084472599</c:v>
                </c:pt>
                <c:pt idx="793">
                  <c:v>84.529998779296804</c:v>
                </c:pt>
                <c:pt idx="794">
                  <c:v>86.370002746582003</c:v>
                </c:pt>
                <c:pt idx="795">
                  <c:v>86.050003051757798</c:v>
                </c:pt>
                <c:pt idx="796">
                  <c:v>87.220001220703097</c:v>
                </c:pt>
                <c:pt idx="797">
                  <c:v>85.019996643066406</c:v>
                </c:pt>
                <c:pt idx="798">
                  <c:v>87.660003662109304</c:v>
                </c:pt>
                <c:pt idx="799">
                  <c:v>86.139999389648395</c:v>
                </c:pt>
                <c:pt idx="800">
                  <c:v>87</c:v>
                </c:pt>
                <c:pt idx="801">
                  <c:v>84.360000610351506</c:v>
                </c:pt>
                <c:pt idx="802">
                  <c:v>84.160003662109304</c:v>
                </c:pt>
                <c:pt idx="803">
                  <c:v>82.019996643066406</c:v>
                </c:pt>
                <c:pt idx="804">
                  <c:v>84.830001831054602</c:v>
                </c:pt>
                <c:pt idx="805">
                  <c:v>84.419998168945298</c:v>
                </c:pt>
                <c:pt idx="806">
                  <c:v>83.559997558593693</c:v>
                </c:pt>
                <c:pt idx="807">
                  <c:v>86.330001831054602</c:v>
                </c:pt>
                <c:pt idx="808">
                  <c:v>89.980003356933594</c:v>
                </c:pt>
                <c:pt idx="809">
                  <c:v>89.239997863769503</c:v>
                </c:pt>
                <c:pt idx="810">
                  <c:v>87.360000610351506</c:v>
                </c:pt>
                <c:pt idx="811">
                  <c:v>89.129997253417898</c:v>
                </c:pt>
                <c:pt idx="812">
                  <c:v>89.669998168945298</c:v>
                </c:pt>
                <c:pt idx="813">
                  <c:v>91.400001525878906</c:v>
                </c:pt>
                <c:pt idx="814">
                  <c:v>92.800003051757798</c:v>
                </c:pt>
                <c:pt idx="815">
                  <c:v>90.349998474121094</c:v>
                </c:pt>
                <c:pt idx="816">
                  <c:v>92.150001525878906</c:v>
                </c:pt>
                <c:pt idx="817">
                  <c:v>92.050003051757798</c:v>
                </c:pt>
                <c:pt idx="818">
                  <c:v>92.720001220703097</c:v>
                </c:pt>
                <c:pt idx="819">
                  <c:v>94.970001220703097</c:v>
                </c:pt>
                <c:pt idx="820">
                  <c:v>94.889999389648395</c:v>
                </c:pt>
                <c:pt idx="821">
                  <c:v>96.620002746582003</c:v>
                </c:pt>
                <c:pt idx="822">
                  <c:v>97</c:v>
                </c:pt>
                <c:pt idx="823">
                  <c:v>97</c:v>
                </c:pt>
                <c:pt idx="824">
                  <c:v>95.5</c:v>
                </c:pt>
                <c:pt idx="825">
                  <c:v>94.5</c:v>
                </c:pt>
                <c:pt idx="826">
                  <c:v>95.5</c:v>
                </c:pt>
                <c:pt idx="827">
                  <c:v>95.169998168945298</c:v>
                </c:pt>
                <c:pt idx="828">
                  <c:v>96.949996948242102</c:v>
                </c:pt>
                <c:pt idx="829">
                  <c:v>95.349998474121094</c:v>
                </c:pt>
                <c:pt idx="830">
                  <c:v>93.080001831054602</c:v>
                </c:pt>
                <c:pt idx="831">
                  <c:v>93.529998779296804</c:v>
                </c:pt>
                <c:pt idx="832">
                  <c:v>93.319999694824205</c:v>
                </c:pt>
                <c:pt idx="833">
                  <c:v>92.980003356933594</c:v>
                </c:pt>
                <c:pt idx="834">
                  <c:v>89.569999694824205</c:v>
                </c:pt>
                <c:pt idx="835">
                  <c:v>90.709999084472599</c:v>
                </c:pt>
                <c:pt idx="836">
                  <c:v>90.940002441406193</c:v>
                </c:pt>
                <c:pt idx="837">
                  <c:v>89.900001525878906</c:v>
                </c:pt>
                <c:pt idx="838">
                  <c:v>90.290000915527301</c:v>
                </c:pt>
                <c:pt idx="839">
                  <c:v>87.769996643066406</c:v>
                </c:pt>
                <c:pt idx="840">
                  <c:v>88.559997558593693</c:v>
                </c:pt>
                <c:pt idx="841">
                  <c:v>87.610000610351506</c:v>
                </c:pt>
                <c:pt idx="842">
                  <c:v>86.339996337890597</c:v>
                </c:pt>
                <c:pt idx="843">
                  <c:v>87.300003051757798</c:v>
                </c:pt>
                <c:pt idx="844">
                  <c:v>87.709999084472599</c:v>
                </c:pt>
                <c:pt idx="845">
                  <c:v>88.540000915527301</c:v>
                </c:pt>
                <c:pt idx="846">
                  <c:v>88.949996948242102</c:v>
                </c:pt>
                <c:pt idx="847">
                  <c:v>90.870002746582003</c:v>
                </c:pt>
                <c:pt idx="848">
                  <c:v>90.319999694824205</c:v>
                </c:pt>
                <c:pt idx="849">
                  <c:v>87.519996643066406</c:v>
                </c:pt>
                <c:pt idx="850">
                  <c:v>87.419998168945298</c:v>
                </c:pt>
                <c:pt idx="851">
                  <c:v>87.400001525878906</c:v>
                </c:pt>
                <c:pt idx="852">
                  <c:v>88.139999389648395</c:v>
                </c:pt>
                <c:pt idx="853">
                  <c:v>86.870002746582003</c:v>
                </c:pt>
                <c:pt idx="854">
                  <c:v>87.040000915527301</c:v>
                </c:pt>
                <c:pt idx="855">
                  <c:v>86.949996948242102</c:v>
                </c:pt>
                <c:pt idx="856">
                  <c:v>84.419998168945298</c:v>
                </c:pt>
                <c:pt idx="857">
                  <c:v>84.760002136230398</c:v>
                </c:pt>
                <c:pt idx="858">
                  <c:v>84.790000915527301</c:v>
                </c:pt>
                <c:pt idx="859">
                  <c:v>84.919998168945298</c:v>
                </c:pt>
                <c:pt idx="860">
                  <c:v>84.190002441406193</c:v>
                </c:pt>
                <c:pt idx="861">
                  <c:v>86.199996948242102</c:v>
                </c:pt>
                <c:pt idx="862">
                  <c:v>85.610000610351506</c:v>
                </c:pt>
                <c:pt idx="863">
                  <c:v>84.569999694824205</c:v>
                </c:pt>
                <c:pt idx="864">
                  <c:v>89.160003662109304</c:v>
                </c:pt>
                <c:pt idx="865">
                  <c:v>91.379997253417898</c:v>
                </c:pt>
                <c:pt idx="866">
                  <c:v>89.620002746582003</c:v>
                </c:pt>
                <c:pt idx="867">
                  <c:v>89.730003356933594</c:v>
                </c:pt>
                <c:pt idx="868">
                  <c:v>91.089996337890597</c:v>
                </c:pt>
                <c:pt idx="869">
                  <c:v>88.480003356933594</c:v>
                </c:pt>
                <c:pt idx="870">
                  <c:v>92.629997253417898</c:v>
                </c:pt>
                <c:pt idx="871">
                  <c:v>94.239997863769503</c:v>
                </c:pt>
                <c:pt idx="872">
                  <c:v>96.650001525878906</c:v>
                </c:pt>
                <c:pt idx="873">
                  <c:v>98.360000610351506</c:v>
                </c:pt>
                <c:pt idx="874">
                  <c:v>95.819999694824205</c:v>
                </c:pt>
                <c:pt idx="875">
                  <c:v>98.160003662109304</c:v>
                </c:pt>
                <c:pt idx="876">
                  <c:v>96.910003662109304</c:v>
                </c:pt>
                <c:pt idx="877">
                  <c:v>96.989997863769503</c:v>
                </c:pt>
                <c:pt idx="878">
                  <c:v>99.819999694824205</c:v>
                </c:pt>
                <c:pt idx="879">
                  <c:v>103.180000305175</c:v>
                </c:pt>
                <c:pt idx="880">
                  <c:v>101</c:v>
                </c:pt>
                <c:pt idx="881">
                  <c:v>100.08000183105401</c:v>
                </c:pt>
                <c:pt idx="882">
                  <c:v>100.230003356933</c:v>
                </c:pt>
                <c:pt idx="883">
                  <c:v>99.180000305175696</c:v>
                </c:pt>
                <c:pt idx="884">
                  <c:v>102.059997558593</c:v>
                </c:pt>
                <c:pt idx="885">
                  <c:v>99.449996948242102</c:v>
                </c:pt>
                <c:pt idx="886">
                  <c:v>101.02999877929599</c:v>
                </c:pt>
                <c:pt idx="887">
                  <c:v>100</c:v>
                </c:pt>
                <c:pt idx="888">
                  <c:v>99.839996337890597</c:v>
                </c:pt>
                <c:pt idx="889">
                  <c:v>100.620002746582</c:v>
                </c:pt>
                <c:pt idx="890">
                  <c:v>101.01999664306599</c:v>
                </c:pt>
                <c:pt idx="891">
                  <c:v>103.5</c:v>
                </c:pt>
                <c:pt idx="892">
                  <c:v>103</c:v>
                </c:pt>
                <c:pt idx="893">
                  <c:v>103.169998168945</c:v>
                </c:pt>
                <c:pt idx="894">
                  <c:v>102.59999847412099</c:v>
                </c:pt>
                <c:pt idx="895">
                  <c:v>103.69000244140599</c:v>
                </c:pt>
                <c:pt idx="896">
                  <c:v>103.34999847412099</c:v>
                </c:pt>
                <c:pt idx="897">
                  <c:v>104.01999664306599</c:v>
                </c:pt>
                <c:pt idx="898">
                  <c:v>104.41000366210901</c:v>
                </c:pt>
                <c:pt idx="899">
                  <c:v>103.040000915527</c:v>
                </c:pt>
                <c:pt idx="900">
                  <c:v>102.290000915527</c:v>
                </c:pt>
                <c:pt idx="901">
                  <c:v>101.09999847412099</c:v>
                </c:pt>
                <c:pt idx="902">
                  <c:v>101.620002746582</c:v>
                </c:pt>
                <c:pt idx="903">
                  <c:v>104.959999084472</c:v>
                </c:pt>
                <c:pt idx="904">
                  <c:v>110.59999847412099</c:v>
                </c:pt>
                <c:pt idx="905">
                  <c:v>111.33999633789</c:v>
                </c:pt>
                <c:pt idx="906">
                  <c:v>103.01999664306599</c:v>
                </c:pt>
                <c:pt idx="907">
                  <c:v>107.27999877929599</c:v>
                </c:pt>
                <c:pt idx="908">
                  <c:v>113.08000183105401</c:v>
                </c:pt>
                <c:pt idx="909">
                  <c:v>112.11000061035099</c:v>
                </c:pt>
                <c:pt idx="910">
                  <c:v>114.91000366210901</c:v>
                </c:pt>
                <c:pt idx="911">
                  <c:v>113.84999847412099</c:v>
                </c:pt>
                <c:pt idx="912">
                  <c:v>115.59999847412099</c:v>
                </c:pt>
                <c:pt idx="913">
                  <c:v>115.870002746582</c:v>
                </c:pt>
                <c:pt idx="914">
                  <c:v>116.34999847412099</c:v>
                </c:pt>
                <c:pt idx="915">
                  <c:v>117.629997253417</c:v>
                </c:pt>
                <c:pt idx="916">
                  <c:v>119.25</c:v>
                </c:pt>
                <c:pt idx="917">
                  <c:v>119.790000915527</c:v>
                </c:pt>
                <c:pt idx="918">
                  <c:v>118.800003051757</c:v>
                </c:pt>
                <c:pt idx="919">
                  <c:v>118.91000366210901</c:v>
                </c:pt>
                <c:pt idx="920">
                  <c:v>120.870002746582</c:v>
                </c:pt>
                <c:pt idx="921">
                  <c:v>120.5</c:v>
                </c:pt>
                <c:pt idx="922">
                  <c:v>119.889999389648</c:v>
                </c:pt>
                <c:pt idx="923">
                  <c:v>120.419998168945</c:v>
                </c:pt>
                <c:pt idx="924">
                  <c:v>120.300003051757</c:v>
                </c:pt>
                <c:pt idx="925">
                  <c:v>121.959999084472</c:v>
                </c:pt>
                <c:pt idx="926">
                  <c:v>120.169998168945</c:v>
                </c:pt>
                <c:pt idx="927">
                  <c:v>121.5</c:v>
                </c:pt>
                <c:pt idx="928">
                  <c:v>123.699996948242</c:v>
                </c:pt>
                <c:pt idx="929">
                  <c:v>125.51999664306599</c:v>
                </c:pt>
                <c:pt idx="930">
                  <c:v>123.84999847412099</c:v>
                </c:pt>
                <c:pt idx="931">
                  <c:v>124.08000183105401</c:v>
                </c:pt>
                <c:pt idx="932">
                  <c:v>124.56999969482401</c:v>
                </c:pt>
                <c:pt idx="933">
                  <c:v>123.19000244140599</c:v>
                </c:pt>
                <c:pt idx="934">
                  <c:v>122.139999389648</c:v>
                </c:pt>
                <c:pt idx="935">
                  <c:v>123.959999084472</c:v>
                </c:pt>
                <c:pt idx="936">
                  <c:v>124.720001220703</c:v>
                </c:pt>
                <c:pt idx="937">
                  <c:v>127.400001525878</c:v>
                </c:pt>
                <c:pt idx="938">
                  <c:v>125.900001525878</c:v>
                </c:pt>
                <c:pt idx="939">
                  <c:v>126.44000244140599</c:v>
                </c:pt>
                <c:pt idx="940">
                  <c:v>129.47999572753901</c:v>
                </c:pt>
                <c:pt idx="941">
                  <c:v>128.80000305175699</c:v>
                </c:pt>
                <c:pt idx="942">
                  <c:v>128.14999389648401</c:v>
                </c:pt>
                <c:pt idx="943">
                  <c:v>128.11000061035099</c:v>
                </c:pt>
                <c:pt idx="944">
                  <c:v>129.97000122070301</c:v>
                </c:pt>
                <c:pt idx="945">
                  <c:v>130.69999694824199</c:v>
                </c:pt>
                <c:pt idx="946">
                  <c:v>132</c:v>
                </c:pt>
                <c:pt idx="947">
                  <c:v>132.08999633789</c:v>
                </c:pt>
                <c:pt idx="948">
                  <c:v>133</c:v>
                </c:pt>
                <c:pt idx="949">
                  <c:v>133.19000244140599</c:v>
                </c:pt>
                <c:pt idx="950">
                  <c:v>129.42999267578099</c:v>
                </c:pt>
                <c:pt idx="951">
                  <c:v>125.900001525878</c:v>
                </c:pt>
                <c:pt idx="952">
                  <c:v>129.02000427246</c:v>
                </c:pt>
                <c:pt idx="953">
                  <c:v>132.49000549316401</c:v>
                </c:pt>
                <c:pt idx="954">
                  <c:v>128.52000427246</c:v>
                </c:pt>
                <c:pt idx="955">
                  <c:v>127.889999389648</c:v>
                </c:pt>
                <c:pt idx="956">
                  <c:v>129.02999877929599</c:v>
                </c:pt>
                <c:pt idx="957">
                  <c:v>129.66000366210901</c:v>
                </c:pt>
                <c:pt idx="958">
                  <c:v>127.930000305175</c:v>
                </c:pt>
                <c:pt idx="959">
                  <c:v>128.44000244140599</c:v>
                </c:pt>
                <c:pt idx="960">
                  <c:v>132.08999633789</c:v>
                </c:pt>
                <c:pt idx="961">
                  <c:v>134.58999633789</c:v>
                </c:pt>
                <c:pt idx="962">
                  <c:v>132.89999389648401</c:v>
                </c:pt>
                <c:pt idx="963">
                  <c:v>133.94000244140599</c:v>
                </c:pt>
                <c:pt idx="964">
                  <c:v>129.72999572753901</c:v>
                </c:pt>
                <c:pt idx="965">
                  <c:v>130</c:v>
                </c:pt>
                <c:pt idx="966">
                  <c:v>135.5</c:v>
                </c:pt>
                <c:pt idx="967">
                  <c:v>132.88999938964801</c:v>
                </c:pt>
                <c:pt idx="968">
                  <c:v>137.38999938964801</c:v>
                </c:pt>
                <c:pt idx="969">
                  <c:v>137.49000549316401</c:v>
                </c:pt>
                <c:pt idx="970">
                  <c:v>138.08999633789</c:v>
                </c:pt>
                <c:pt idx="971">
                  <c:v>140.14999389648401</c:v>
                </c:pt>
                <c:pt idx="972">
                  <c:v>134.77999877929599</c:v>
                </c:pt>
                <c:pt idx="973">
                  <c:v>132.009994506835</c:v>
                </c:pt>
                <c:pt idx="974">
                  <c:v>135.919998168945</c:v>
                </c:pt>
                <c:pt idx="975">
                  <c:v>136.509994506835</c:v>
                </c:pt>
                <c:pt idx="976">
                  <c:v>133.72000122070301</c:v>
                </c:pt>
                <c:pt idx="977">
                  <c:v>137.38999938964801</c:v>
                </c:pt>
                <c:pt idx="978">
                  <c:v>136.72999572753901</c:v>
                </c:pt>
                <c:pt idx="979">
                  <c:v>136.86000061035099</c:v>
                </c:pt>
                <c:pt idx="980">
                  <c:v>138.89999389648401</c:v>
                </c:pt>
                <c:pt idx="981">
                  <c:v>136.88000488281199</c:v>
                </c:pt>
                <c:pt idx="982">
                  <c:v>137.759994506835</c:v>
                </c:pt>
                <c:pt idx="983">
                  <c:v>145</c:v>
                </c:pt>
                <c:pt idx="984">
                  <c:v>138.19000244140599</c:v>
                </c:pt>
                <c:pt idx="985">
                  <c:v>140.67999267578099</c:v>
                </c:pt>
                <c:pt idx="986">
                  <c:v>143.5</c:v>
                </c:pt>
                <c:pt idx="987">
                  <c:v>138.16000366210901</c:v>
                </c:pt>
                <c:pt idx="988">
                  <c:v>137.05000305175699</c:v>
                </c:pt>
                <c:pt idx="989">
                  <c:v>130.02999877929599</c:v>
                </c:pt>
                <c:pt idx="990">
                  <c:v>129.72999572753901</c:v>
                </c:pt>
                <c:pt idx="991">
                  <c:v>129.80999755859301</c:v>
                </c:pt>
                <c:pt idx="992">
                  <c:v>129.16000366210901</c:v>
                </c:pt>
                <c:pt idx="993">
                  <c:v>126.52999877929599</c:v>
                </c:pt>
                <c:pt idx="994">
                  <c:v>125.56999969482401</c:v>
                </c:pt>
                <c:pt idx="995">
                  <c:v>126.129997253417</c:v>
                </c:pt>
                <c:pt idx="996">
                  <c:v>123.669998168945</c:v>
                </c:pt>
                <c:pt idx="997">
                  <c:v>128.71000671386699</c:v>
                </c:pt>
                <c:pt idx="998">
                  <c:v>129.169998168945</c:v>
                </c:pt>
                <c:pt idx="999">
                  <c:v>129.91000366210901</c:v>
                </c:pt>
                <c:pt idx="1000">
                  <c:v>133.33999633789</c:v>
                </c:pt>
                <c:pt idx="1001">
                  <c:v>133.55000305175699</c:v>
                </c:pt>
                <c:pt idx="1002">
                  <c:v>133.02999877929599</c:v>
                </c:pt>
                <c:pt idx="1003">
                  <c:v>127.059997558593</c:v>
                </c:pt>
                <c:pt idx="1004">
                  <c:v>129.80999755859301</c:v>
                </c:pt>
                <c:pt idx="1005">
                  <c:v>128.21000671386699</c:v>
                </c:pt>
                <c:pt idx="1006">
                  <c:v>131.41000366210901</c:v>
                </c:pt>
                <c:pt idx="1007">
                  <c:v>128.39999389648401</c:v>
                </c:pt>
                <c:pt idx="1008">
                  <c:v>129.21000671386699</c:v>
                </c:pt>
                <c:pt idx="1009">
                  <c:v>124.559997558593</c:v>
                </c:pt>
                <c:pt idx="1010">
                  <c:v>120.309997558593</c:v>
                </c:pt>
                <c:pt idx="1011">
                  <c:v>119.980003356933</c:v>
                </c:pt>
                <c:pt idx="1012">
                  <c:v>120.56999969482401</c:v>
                </c:pt>
                <c:pt idx="1013">
                  <c:v>119.73999786376901</c:v>
                </c:pt>
                <c:pt idx="1014">
                  <c:v>116.77999877929599</c:v>
                </c:pt>
                <c:pt idx="1015">
                  <c:v>115.559997558593</c:v>
                </c:pt>
                <c:pt idx="1016">
                  <c:v>116.98999786376901</c:v>
                </c:pt>
                <c:pt idx="1017">
                  <c:v>127.889999389648</c:v>
                </c:pt>
                <c:pt idx="1018">
                  <c:v>133.47999572753901</c:v>
                </c:pt>
                <c:pt idx="1019">
                  <c:v>127.98999786376901</c:v>
                </c:pt>
                <c:pt idx="1020">
                  <c:v>127.970001220703</c:v>
                </c:pt>
                <c:pt idx="1021">
                  <c:v>125.51000213623</c:v>
                </c:pt>
                <c:pt idx="1022">
                  <c:v>124.59999847412099</c:v>
                </c:pt>
                <c:pt idx="1023">
                  <c:v>127.150001525878</c:v>
                </c:pt>
                <c:pt idx="1024">
                  <c:v>132.97999572753901</c:v>
                </c:pt>
                <c:pt idx="1025">
                  <c:v>134.5</c:v>
                </c:pt>
                <c:pt idx="1026">
                  <c:v>137.82000732421801</c:v>
                </c:pt>
                <c:pt idx="1027">
                  <c:v>136.850006103515</c:v>
                </c:pt>
                <c:pt idx="1028">
                  <c:v>137.41000366210901</c:v>
                </c:pt>
                <c:pt idx="1029">
                  <c:v>136.22000122070301</c:v>
                </c:pt>
                <c:pt idx="1030">
                  <c:v>138.36999511718699</c:v>
                </c:pt>
                <c:pt idx="1031">
                  <c:v>137.71000671386699</c:v>
                </c:pt>
                <c:pt idx="1032">
                  <c:v>140.11000061035099</c:v>
                </c:pt>
                <c:pt idx="1033">
                  <c:v>141.11000061035099</c:v>
                </c:pt>
                <c:pt idx="1034">
                  <c:v>149.02000427246</c:v>
                </c:pt>
                <c:pt idx="1035">
                  <c:v>157.53999328613199</c:v>
                </c:pt>
                <c:pt idx="1036">
                  <c:v>157.02000427246</c:v>
                </c:pt>
                <c:pt idx="1037">
                  <c:v>157.47999572753901</c:v>
                </c:pt>
                <c:pt idx="1038">
                  <c:v>163.17999267578099</c:v>
                </c:pt>
                <c:pt idx="1039">
                  <c:v>160.82000732421801</c:v>
                </c:pt>
                <c:pt idx="1040">
                  <c:v>164.74000549316401</c:v>
                </c:pt>
                <c:pt idx="1041">
                  <c:v>160.55999755859301</c:v>
                </c:pt>
                <c:pt idx="1042">
                  <c:v>163.30000305175699</c:v>
                </c:pt>
                <c:pt idx="1043">
                  <c:v>166.919998168945</c:v>
                </c:pt>
                <c:pt idx="1044">
                  <c:v>170.17999267578099</c:v>
                </c:pt>
                <c:pt idx="1045">
                  <c:v>180.92999267578099</c:v>
                </c:pt>
                <c:pt idx="1046">
                  <c:v>178.96000671386699</c:v>
                </c:pt>
                <c:pt idx="1047">
                  <c:v>178.99000549316401</c:v>
                </c:pt>
                <c:pt idx="1048">
                  <c:v>176.16000366210901</c:v>
                </c:pt>
                <c:pt idx="1049">
                  <c:v>180.509994506835</c:v>
                </c:pt>
                <c:pt idx="1050">
                  <c:v>181.11999511718699</c:v>
                </c:pt>
                <c:pt idx="1051">
                  <c:v>183.46000671386699</c:v>
                </c:pt>
                <c:pt idx="1052">
                  <c:v>183.72000122070301</c:v>
                </c:pt>
                <c:pt idx="1053">
                  <c:v>188.27000427246</c:v>
                </c:pt>
                <c:pt idx="1054">
                  <c:v>189.22000122070301</c:v>
                </c:pt>
                <c:pt idx="1055">
                  <c:v>186.509994506835</c:v>
                </c:pt>
                <c:pt idx="1056">
                  <c:v>179.86999511718699</c:v>
                </c:pt>
                <c:pt idx="1057">
                  <c:v>178.19000244140599</c:v>
                </c:pt>
                <c:pt idx="1058">
                  <c:v>182.80000305175699</c:v>
                </c:pt>
                <c:pt idx="1059">
                  <c:v>183.55999755859301</c:v>
                </c:pt>
                <c:pt idx="1060">
                  <c:v>174.52000427246</c:v>
                </c:pt>
                <c:pt idx="1061">
                  <c:v>176.17999267578099</c:v>
                </c:pt>
                <c:pt idx="1062">
                  <c:v>176.13999938964801</c:v>
                </c:pt>
                <c:pt idx="1063">
                  <c:v>173.61000061035099</c:v>
                </c:pt>
                <c:pt idx="1064">
                  <c:v>169.39999389648401</c:v>
                </c:pt>
                <c:pt idx="1065">
                  <c:v>167.86000061035099</c:v>
                </c:pt>
                <c:pt idx="1066">
                  <c:v>162.27000427246</c:v>
                </c:pt>
                <c:pt idx="1067">
                  <c:v>153.28999328613199</c:v>
                </c:pt>
                <c:pt idx="1068">
                  <c:v>158.74000549316401</c:v>
                </c:pt>
                <c:pt idx="1069">
                  <c:v>153.36999511718699</c:v>
                </c:pt>
                <c:pt idx="1070">
                  <c:v>158.92999267578099</c:v>
                </c:pt>
                <c:pt idx="1071">
                  <c:v>163.02999877929599</c:v>
                </c:pt>
                <c:pt idx="1072">
                  <c:v>161.47000122070301</c:v>
                </c:pt>
                <c:pt idx="1073">
                  <c:v>165.55000305175699</c:v>
                </c:pt>
                <c:pt idx="1074">
                  <c:v>168.07000732421801</c:v>
                </c:pt>
                <c:pt idx="1075">
                  <c:v>165.99000549316401</c:v>
                </c:pt>
                <c:pt idx="1076">
                  <c:v>161.17999267578099</c:v>
                </c:pt>
                <c:pt idx="1077">
                  <c:v>155.02000427246</c:v>
                </c:pt>
                <c:pt idx="1078">
                  <c:v>155.22999572753901</c:v>
                </c:pt>
                <c:pt idx="1079">
                  <c:v>161.30000305175699</c:v>
                </c:pt>
                <c:pt idx="1080">
                  <c:v>153.41000366210901</c:v>
                </c:pt>
                <c:pt idx="1081">
                  <c:v>153.80000305175699</c:v>
                </c:pt>
                <c:pt idx="1082">
                  <c:v>151.08000183105401</c:v>
                </c:pt>
                <c:pt idx="1083">
                  <c:v>151.99000549316401</c:v>
                </c:pt>
                <c:pt idx="1084">
                  <c:v>149.52999877929599</c:v>
                </c:pt>
                <c:pt idx="1085">
                  <c:v>153.91000366210901</c:v>
                </c:pt>
                <c:pt idx="1086">
                  <c:v>149.71000671386699</c:v>
                </c:pt>
                <c:pt idx="1087">
                  <c:v>149.669998168945</c:v>
                </c:pt>
                <c:pt idx="1088">
                  <c:v>152.61999511718699</c:v>
                </c:pt>
                <c:pt idx="1089">
                  <c:v>154.33000183105401</c:v>
                </c:pt>
                <c:pt idx="1090">
                  <c:v>147.69999694824199</c:v>
                </c:pt>
                <c:pt idx="1091">
                  <c:v>147.97999572753901</c:v>
                </c:pt>
                <c:pt idx="1092">
                  <c:v>147.600006103515</c:v>
                </c:pt>
                <c:pt idx="1093">
                  <c:v>147.27000427246</c:v>
                </c:pt>
                <c:pt idx="1094">
                  <c:v>151.009994506835</c:v>
                </c:pt>
                <c:pt idx="1095">
                  <c:v>147.22999572753901</c:v>
                </c:pt>
                <c:pt idx="1096">
                  <c:v>147.63000488281199</c:v>
                </c:pt>
                <c:pt idx="1097">
                  <c:v>147.100006103515</c:v>
                </c:pt>
                <c:pt idx="1098">
                  <c:v>146.02999877929599</c:v>
                </c:pt>
                <c:pt idx="1099">
                  <c:v>147.91000366210901</c:v>
                </c:pt>
                <c:pt idx="1100">
                  <c:v>147.99000549316401</c:v>
                </c:pt>
                <c:pt idx="1101">
                  <c:v>143.47999572753901</c:v>
                </c:pt>
                <c:pt idx="1102">
                  <c:v>139.49000549316401</c:v>
                </c:pt>
                <c:pt idx="1103">
                  <c:v>142.509994506835</c:v>
                </c:pt>
                <c:pt idx="1104">
                  <c:v>143.33999633789</c:v>
                </c:pt>
                <c:pt idx="1105">
                  <c:v>146.509994506835</c:v>
                </c:pt>
                <c:pt idx="1106">
                  <c:v>150.05999755859301</c:v>
                </c:pt>
                <c:pt idx="1107">
                  <c:v>143</c:v>
                </c:pt>
                <c:pt idx="1108">
                  <c:v>143.64999389648401</c:v>
                </c:pt>
                <c:pt idx="1109">
                  <c:v>150.669998168945</c:v>
                </c:pt>
                <c:pt idx="1110">
                  <c:v>147.24000549316401</c:v>
                </c:pt>
                <c:pt idx="1111">
                  <c:v>144.77000427246</c:v>
                </c:pt>
                <c:pt idx="1112">
                  <c:v>144.509994506835</c:v>
                </c:pt>
                <c:pt idx="1113">
                  <c:v>144.80999755859301</c:v>
                </c:pt>
                <c:pt idx="1114">
                  <c:v>149.17999267578099</c:v>
                </c:pt>
                <c:pt idx="1115">
                  <c:v>147.91000366210901</c:v>
                </c:pt>
                <c:pt idx="1116">
                  <c:v>147.05999755859301</c:v>
                </c:pt>
                <c:pt idx="1117">
                  <c:v>144.5</c:v>
                </c:pt>
                <c:pt idx="1118">
                  <c:v>144.5</c:v>
                </c:pt>
                <c:pt idx="1119">
                  <c:v>147.83000183105401</c:v>
                </c:pt>
                <c:pt idx="1120">
                  <c:v>146.44999694824199</c:v>
                </c:pt>
                <c:pt idx="1121">
                  <c:v>145.02000427246</c:v>
                </c:pt>
                <c:pt idx="1122">
                  <c:v>138.33999633789</c:v>
                </c:pt>
                <c:pt idx="1123">
                  <c:v>141.13000488281199</c:v>
                </c:pt>
                <c:pt idx="1124">
                  <c:v>143.64999389648401</c:v>
                </c:pt>
                <c:pt idx="1125">
                  <c:v>137.850006103515</c:v>
                </c:pt>
                <c:pt idx="1126">
                  <c:v>137.009994506835</c:v>
                </c:pt>
                <c:pt idx="1127">
                  <c:v>136.759994506835</c:v>
                </c:pt>
                <c:pt idx="1128">
                  <c:v>139.24000549316401</c:v>
                </c:pt>
                <c:pt idx="1129">
                  <c:v>138.89999389648401</c:v>
                </c:pt>
                <c:pt idx="1130">
                  <c:v>140.92999267578099</c:v>
                </c:pt>
                <c:pt idx="1131">
                  <c:v>141.17999267578099</c:v>
                </c:pt>
                <c:pt idx="1132">
                  <c:v>134.44000244140599</c:v>
                </c:pt>
                <c:pt idx="1133">
                  <c:v>131.669998168945</c:v>
                </c:pt>
                <c:pt idx="1134">
                  <c:v>138.99000549316401</c:v>
                </c:pt>
                <c:pt idx="1135">
                  <c:v>139.99000549316401</c:v>
                </c:pt>
                <c:pt idx="1136">
                  <c:v>134</c:v>
                </c:pt>
                <c:pt idx="1137">
                  <c:v>141.02000427246</c:v>
                </c:pt>
                <c:pt idx="1138">
                  <c:v>142.009994506835</c:v>
                </c:pt>
                <c:pt idx="1139">
                  <c:v>145.72000122070301</c:v>
                </c:pt>
                <c:pt idx="1140">
                  <c:v>146.16000366210901</c:v>
                </c:pt>
                <c:pt idx="1141">
                  <c:v>146.419998168945</c:v>
                </c:pt>
                <c:pt idx="1142">
                  <c:v>149.58000183105401</c:v>
                </c:pt>
                <c:pt idx="1143">
                  <c:v>149.350006103515</c:v>
                </c:pt>
                <c:pt idx="1144">
                  <c:v>148.100006103515</c:v>
                </c:pt>
                <c:pt idx="1145">
                  <c:v>143.61000061035099</c:v>
                </c:pt>
                <c:pt idx="1146">
                  <c:v>150.61999511718699</c:v>
                </c:pt>
                <c:pt idx="1147">
                  <c:v>148.88000488281199</c:v>
                </c:pt>
                <c:pt idx="1148">
                  <c:v>149.71000671386699</c:v>
                </c:pt>
                <c:pt idx="1149">
                  <c:v>143.63000488281199</c:v>
                </c:pt>
                <c:pt idx="1150">
                  <c:v>138.009994506835</c:v>
                </c:pt>
                <c:pt idx="1151">
                  <c:v>141.58999633789</c:v>
                </c:pt>
                <c:pt idx="1152">
                  <c:v>142.33999633789</c:v>
                </c:pt>
                <c:pt idx="1153">
                  <c:v>137.509994506835</c:v>
                </c:pt>
                <c:pt idx="1154">
                  <c:v>135</c:v>
                </c:pt>
                <c:pt idx="1155">
                  <c:v>136.88000488281199</c:v>
                </c:pt>
                <c:pt idx="1156">
                  <c:v>135</c:v>
                </c:pt>
                <c:pt idx="1157">
                  <c:v>138.55999755859301</c:v>
                </c:pt>
                <c:pt idx="1158">
                  <c:v>130.88000488281199</c:v>
                </c:pt>
                <c:pt idx="1159">
                  <c:v>126.180000305175</c:v>
                </c:pt>
                <c:pt idx="1160">
                  <c:v>132.92999267578099</c:v>
                </c:pt>
                <c:pt idx="1161">
                  <c:v>139.80000305175699</c:v>
                </c:pt>
                <c:pt idx="1162">
                  <c:v>139.86000061035099</c:v>
                </c:pt>
                <c:pt idx="1163">
                  <c:v>133.509994506835</c:v>
                </c:pt>
                <c:pt idx="1164">
                  <c:v>139.61000061035099</c:v>
                </c:pt>
                <c:pt idx="1165">
                  <c:v>145.46000671386699</c:v>
                </c:pt>
                <c:pt idx="1166">
                  <c:v>141.44999694824199</c:v>
                </c:pt>
                <c:pt idx="1167">
                  <c:v>135.69999694824199</c:v>
                </c:pt>
                <c:pt idx="1168">
                  <c:v>133.509994506835</c:v>
                </c:pt>
                <c:pt idx="1169">
                  <c:v>129.38999938964801</c:v>
                </c:pt>
                <c:pt idx="1170">
                  <c:v>134.77000427246</c:v>
                </c:pt>
                <c:pt idx="1171">
                  <c:v>135.89999389648401</c:v>
                </c:pt>
                <c:pt idx="1172">
                  <c:v>137.99000549316401</c:v>
                </c:pt>
                <c:pt idx="1173">
                  <c:v>133.350006103515</c:v>
                </c:pt>
                <c:pt idx="1174">
                  <c:v>133.30000305175699</c:v>
                </c:pt>
                <c:pt idx="1175">
                  <c:v>132.86000061035099</c:v>
                </c:pt>
                <c:pt idx="1176">
                  <c:v>130.94999694824199</c:v>
                </c:pt>
                <c:pt idx="1177">
                  <c:v>128.96000671386699</c:v>
                </c:pt>
                <c:pt idx="1178">
                  <c:v>125.809997558593</c:v>
                </c:pt>
                <c:pt idx="1179">
                  <c:v>131.02000427246</c:v>
                </c:pt>
                <c:pt idx="1180">
                  <c:v>126.129997253417</c:v>
                </c:pt>
                <c:pt idx="1181">
                  <c:v>130.30000305175699</c:v>
                </c:pt>
                <c:pt idx="1182">
                  <c:v>131.16000366210901</c:v>
                </c:pt>
                <c:pt idx="1183">
                  <c:v>127.870002746582</c:v>
                </c:pt>
                <c:pt idx="1184">
                  <c:v>131.61999511718699</c:v>
                </c:pt>
                <c:pt idx="1185">
                  <c:v>131.759994506835</c:v>
                </c:pt>
                <c:pt idx="1186">
                  <c:v>135.19000244140599</c:v>
                </c:pt>
                <c:pt idx="1187">
                  <c:v>128.21000671386699</c:v>
                </c:pt>
                <c:pt idx="1188">
                  <c:v>134.08000183105401</c:v>
                </c:pt>
                <c:pt idx="1189">
                  <c:v>131.25</c:v>
                </c:pt>
                <c:pt idx="1190">
                  <c:v>131.75</c:v>
                </c:pt>
                <c:pt idx="1191">
                  <c:v>127</c:v>
                </c:pt>
                <c:pt idx="1192">
                  <c:v>126.06999969482401</c:v>
                </c:pt>
                <c:pt idx="1193">
                  <c:v>128.27999877929599</c:v>
                </c:pt>
                <c:pt idx="1194">
                  <c:v>130.009994506835</c:v>
                </c:pt>
                <c:pt idx="1195">
                  <c:v>126.550003051757</c:v>
                </c:pt>
                <c:pt idx="1196">
                  <c:v>126.300003051757</c:v>
                </c:pt>
                <c:pt idx="1197">
                  <c:v>122.01000213623</c:v>
                </c:pt>
                <c:pt idx="1198">
                  <c:v>120.540000915527</c:v>
                </c:pt>
                <c:pt idx="1199">
                  <c:v>118.230003356933</c:v>
                </c:pt>
                <c:pt idx="1200">
                  <c:v>118.08000183105401</c:v>
                </c:pt>
                <c:pt idx="1201">
                  <c:v>120.699996948242</c:v>
                </c:pt>
                <c:pt idx="1202">
                  <c:v>119.379997253417</c:v>
                </c:pt>
                <c:pt idx="1203">
                  <c:v>119.76000213623</c:v>
                </c:pt>
                <c:pt idx="1204">
                  <c:v>116.050003051757</c:v>
                </c:pt>
                <c:pt idx="1205">
                  <c:v>118.31999969482401</c:v>
                </c:pt>
                <c:pt idx="1206">
                  <c:v>115.699996948242</c:v>
                </c:pt>
                <c:pt idx="1207">
                  <c:v>118.550003051757</c:v>
                </c:pt>
                <c:pt idx="1208">
                  <c:v>119.040000915527</c:v>
                </c:pt>
                <c:pt idx="1209">
                  <c:v>118.699996948242</c:v>
                </c:pt>
                <c:pt idx="1210">
                  <c:v>120.83999633789</c:v>
                </c:pt>
                <c:pt idx="1211">
                  <c:v>117.5</c:v>
                </c:pt>
                <c:pt idx="1212">
                  <c:v>120.790000915527</c:v>
                </c:pt>
                <c:pt idx="1213">
                  <c:v>120.199996948242</c:v>
                </c:pt>
                <c:pt idx="1214">
                  <c:v>120.75</c:v>
                </c:pt>
                <c:pt idx="1215">
                  <c:v>121</c:v>
                </c:pt>
                <c:pt idx="1216">
                  <c:v>119.139999389648</c:v>
                </c:pt>
                <c:pt idx="1217">
                  <c:v>118.73999786376901</c:v>
                </c:pt>
                <c:pt idx="1218">
                  <c:v>121.669998168945</c:v>
                </c:pt>
                <c:pt idx="1219">
                  <c:v>120.19000244140599</c:v>
                </c:pt>
                <c:pt idx="1220">
                  <c:v>116.51999664306599</c:v>
                </c:pt>
                <c:pt idx="1221">
                  <c:v>116.300003051757</c:v>
                </c:pt>
                <c:pt idx="1222">
                  <c:v>117.16000366210901</c:v>
                </c:pt>
                <c:pt idx="1223">
                  <c:v>120.66000366210901</c:v>
                </c:pt>
                <c:pt idx="1224">
                  <c:v>117.980003356933</c:v>
                </c:pt>
                <c:pt idx="1225">
                  <c:v>116</c:v>
                </c:pt>
                <c:pt idx="1226">
                  <c:v>117.56999969482401</c:v>
                </c:pt>
                <c:pt idx="1227">
                  <c:v>116.480003356933</c:v>
                </c:pt>
                <c:pt idx="1228">
                  <c:v>115.5</c:v>
                </c:pt>
                <c:pt idx="1229">
                  <c:v>114.949996948242</c:v>
                </c:pt>
                <c:pt idx="1230">
                  <c:v>115.949996948242</c:v>
                </c:pt>
                <c:pt idx="1231">
                  <c:v>115.27999877929599</c:v>
                </c:pt>
                <c:pt idx="1232">
                  <c:v>117.84999847412099</c:v>
                </c:pt>
                <c:pt idx="1233">
                  <c:v>116.81999969482401</c:v>
                </c:pt>
                <c:pt idx="1234">
                  <c:v>119.01000213623</c:v>
                </c:pt>
                <c:pt idx="1235">
                  <c:v>118.889999389648</c:v>
                </c:pt>
                <c:pt idx="1236">
                  <c:v>121.75</c:v>
                </c:pt>
                <c:pt idx="1237">
                  <c:v>118.48999786376901</c:v>
                </c:pt>
                <c:pt idx="1238">
                  <c:v>116.69000244140599</c:v>
                </c:pt>
                <c:pt idx="1239">
                  <c:v>123.08000183105401</c:v>
                </c:pt>
                <c:pt idx="1240">
                  <c:v>122.059997558593</c:v>
                </c:pt>
                <c:pt idx="1241">
                  <c:v>125.480003356933</c:v>
                </c:pt>
                <c:pt idx="1242">
                  <c:v>121.94000244140599</c:v>
                </c:pt>
                <c:pt idx="1243">
                  <c:v>121.540000915527</c:v>
                </c:pt>
                <c:pt idx="1244">
                  <c:v>122.550003051757</c:v>
                </c:pt>
                <c:pt idx="1245">
                  <c:v>118.720001220703</c:v>
                </c:pt>
                <c:pt idx="1246">
                  <c:v>123.58000183105401</c:v>
                </c:pt>
                <c:pt idx="1247">
                  <c:v>123.09999847412099</c:v>
                </c:pt>
                <c:pt idx="1248">
                  <c:v>121.58999633789</c:v>
                </c:pt>
                <c:pt idx="1249">
                  <c:v>122.16000366210901</c:v>
                </c:pt>
                <c:pt idx="1250">
                  <c:v>124.199996948242</c:v>
                </c:pt>
                <c:pt idx="1251">
                  <c:v>124.76999664306599</c:v>
                </c:pt>
                <c:pt idx="1252">
                  <c:v>123.879997253417</c:v>
                </c:pt>
                <c:pt idx="1253">
                  <c:v>122.91000366210901</c:v>
                </c:pt>
                <c:pt idx="1254">
                  <c:v>121.889999389648</c:v>
                </c:pt>
                <c:pt idx="1255">
                  <c:v>121.09999847412099</c:v>
                </c:pt>
                <c:pt idx="1256">
                  <c:v>121.77999877929599</c:v>
                </c:pt>
                <c:pt idx="1257">
                  <c:v>121.08000183105401</c:v>
                </c:pt>
                <c:pt idx="1258">
                  <c:v>118.800003051757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A-4119-9AFF-F92B7F756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230634"/>
        <c:axId val="277651741"/>
      </c:lineChart>
      <c:catAx>
        <c:axId val="423230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277651741"/>
        <c:crosses val="autoZero"/>
        <c:auto val="1"/>
        <c:lblAlgn val="ctr"/>
        <c:lblOffset val="100"/>
        <c:noMultiLvlLbl val="1"/>
      </c:catAx>
      <c:valAx>
        <c:axId val="277651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GCARSOA1.MX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4232306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GMEXICOB.MX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GrupoMexico!$B$1</c:f>
              <c:strCache>
                <c:ptCount val="1"/>
                <c:pt idx="0">
                  <c:v>GMEXICOB.MX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GrupoMexico!$A$2:$A$1260</c:f>
              <c:numCache>
                <c:formatCode>General</c:formatCode>
                <c:ptCount val="1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</c:numCache>
            </c:numRef>
          </c:cat>
          <c:val>
            <c:numRef>
              <c:f>GrupoMexico!$B$2:$B$1260</c:f>
              <c:numCache>
                <c:formatCode>General</c:formatCode>
                <c:ptCount val="1259"/>
                <c:pt idx="0">
                  <c:v>48.509998321533203</c:v>
                </c:pt>
                <c:pt idx="1">
                  <c:v>48.5</c:v>
                </c:pt>
                <c:pt idx="2">
                  <c:v>49.849998474121001</c:v>
                </c:pt>
                <c:pt idx="3">
                  <c:v>50.150001525878899</c:v>
                </c:pt>
                <c:pt idx="4">
                  <c:v>51.340000152587798</c:v>
                </c:pt>
                <c:pt idx="5">
                  <c:v>51.259998321533203</c:v>
                </c:pt>
                <c:pt idx="6">
                  <c:v>50.669998168945298</c:v>
                </c:pt>
                <c:pt idx="7">
                  <c:v>50.9799995422363</c:v>
                </c:pt>
                <c:pt idx="8">
                  <c:v>52.540000915527301</c:v>
                </c:pt>
                <c:pt idx="9">
                  <c:v>52.840000152587798</c:v>
                </c:pt>
                <c:pt idx="10">
                  <c:v>52.650001525878899</c:v>
                </c:pt>
                <c:pt idx="11">
                  <c:v>53.159999847412102</c:v>
                </c:pt>
                <c:pt idx="12">
                  <c:v>52.819999694824197</c:v>
                </c:pt>
                <c:pt idx="13">
                  <c:v>52.580001831054602</c:v>
                </c:pt>
                <c:pt idx="14">
                  <c:v>52.610000610351499</c:v>
                </c:pt>
                <c:pt idx="15">
                  <c:v>52.520000457763601</c:v>
                </c:pt>
                <c:pt idx="16">
                  <c:v>52.380001068115199</c:v>
                </c:pt>
                <c:pt idx="17">
                  <c:v>53.069999694824197</c:v>
                </c:pt>
                <c:pt idx="18">
                  <c:v>53.529998779296797</c:v>
                </c:pt>
                <c:pt idx="19">
                  <c:v>52.860000610351499</c:v>
                </c:pt>
                <c:pt idx="20">
                  <c:v>52.090000152587798</c:v>
                </c:pt>
                <c:pt idx="21">
                  <c:v>52.299999237060497</c:v>
                </c:pt>
                <c:pt idx="22">
                  <c:v>51.569999694824197</c:v>
                </c:pt>
                <c:pt idx="23">
                  <c:v>52.090000152587798</c:v>
                </c:pt>
                <c:pt idx="24">
                  <c:v>51.650001525878899</c:v>
                </c:pt>
                <c:pt idx="25">
                  <c:v>51.830001831054602</c:v>
                </c:pt>
                <c:pt idx="26">
                  <c:v>51.080001831054602</c:v>
                </c:pt>
                <c:pt idx="27">
                  <c:v>52.209999084472599</c:v>
                </c:pt>
                <c:pt idx="28">
                  <c:v>50.779998779296797</c:v>
                </c:pt>
                <c:pt idx="29">
                  <c:v>49.529998779296797</c:v>
                </c:pt>
                <c:pt idx="30">
                  <c:v>50.639999389648402</c:v>
                </c:pt>
                <c:pt idx="31">
                  <c:v>49.880001068115199</c:v>
                </c:pt>
                <c:pt idx="32">
                  <c:v>49.450000762939403</c:v>
                </c:pt>
                <c:pt idx="33">
                  <c:v>50.360000610351499</c:v>
                </c:pt>
                <c:pt idx="34">
                  <c:v>51.340000152587798</c:v>
                </c:pt>
                <c:pt idx="35">
                  <c:v>54.080001831054602</c:v>
                </c:pt>
                <c:pt idx="36">
                  <c:v>54.770000457763601</c:v>
                </c:pt>
                <c:pt idx="37">
                  <c:v>54.770000457763601</c:v>
                </c:pt>
                <c:pt idx="38">
                  <c:v>57.069999694824197</c:v>
                </c:pt>
                <c:pt idx="39">
                  <c:v>56.450000762939403</c:v>
                </c:pt>
                <c:pt idx="40">
                  <c:v>55.939998626708899</c:v>
                </c:pt>
                <c:pt idx="41">
                  <c:v>54.299999237060497</c:v>
                </c:pt>
                <c:pt idx="42">
                  <c:v>53.400001525878899</c:v>
                </c:pt>
                <c:pt idx="43">
                  <c:v>54.209999084472599</c:v>
                </c:pt>
                <c:pt idx="44">
                  <c:v>53.779998779296797</c:v>
                </c:pt>
                <c:pt idx="45">
                  <c:v>51.889999389648402</c:v>
                </c:pt>
                <c:pt idx="46">
                  <c:v>51.889999389648402</c:v>
                </c:pt>
                <c:pt idx="47">
                  <c:v>53.970001220703097</c:v>
                </c:pt>
                <c:pt idx="48">
                  <c:v>54.099998474121001</c:v>
                </c:pt>
                <c:pt idx="49">
                  <c:v>52.825000762939403</c:v>
                </c:pt>
                <c:pt idx="50">
                  <c:v>52.939998626708899</c:v>
                </c:pt>
                <c:pt idx="51">
                  <c:v>54.360000610351499</c:v>
                </c:pt>
                <c:pt idx="52">
                  <c:v>54.299999237060497</c:v>
                </c:pt>
                <c:pt idx="53">
                  <c:v>55.430000305175703</c:v>
                </c:pt>
                <c:pt idx="54">
                  <c:v>56.919998168945298</c:v>
                </c:pt>
                <c:pt idx="55">
                  <c:v>56.840000152587798</c:v>
                </c:pt>
                <c:pt idx="56">
                  <c:v>54.970001220703097</c:v>
                </c:pt>
                <c:pt idx="57">
                  <c:v>56.720001220703097</c:v>
                </c:pt>
                <c:pt idx="58">
                  <c:v>58.700000762939403</c:v>
                </c:pt>
                <c:pt idx="59">
                  <c:v>58.020000457763601</c:v>
                </c:pt>
                <c:pt idx="60">
                  <c:v>57.220001220703097</c:v>
                </c:pt>
                <c:pt idx="61">
                  <c:v>56.939998626708899</c:v>
                </c:pt>
                <c:pt idx="62">
                  <c:v>53.880001068115199</c:v>
                </c:pt>
                <c:pt idx="63">
                  <c:v>52.689998626708899</c:v>
                </c:pt>
                <c:pt idx="64">
                  <c:v>51.220001220703097</c:v>
                </c:pt>
                <c:pt idx="65">
                  <c:v>51.950000762939403</c:v>
                </c:pt>
                <c:pt idx="66">
                  <c:v>53.25</c:v>
                </c:pt>
                <c:pt idx="67">
                  <c:v>51.810001373291001</c:v>
                </c:pt>
                <c:pt idx="68">
                  <c:v>50.215000152587798</c:v>
                </c:pt>
                <c:pt idx="69">
                  <c:v>54.080001831054602</c:v>
                </c:pt>
                <c:pt idx="70">
                  <c:v>53.330001831054602</c:v>
                </c:pt>
                <c:pt idx="71">
                  <c:v>52.400001525878899</c:v>
                </c:pt>
                <c:pt idx="72">
                  <c:v>51.840000152587798</c:v>
                </c:pt>
                <c:pt idx="73">
                  <c:v>52.075000762939403</c:v>
                </c:pt>
                <c:pt idx="74">
                  <c:v>52.509998321533203</c:v>
                </c:pt>
                <c:pt idx="75">
                  <c:v>51.389999389648402</c:v>
                </c:pt>
                <c:pt idx="76">
                  <c:v>51.490001678466797</c:v>
                </c:pt>
                <c:pt idx="77">
                  <c:v>52.130001068115199</c:v>
                </c:pt>
                <c:pt idx="78">
                  <c:v>52.310001373291001</c:v>
                </c:pt>
                <c:pt idx="79">
                  <c:v>52.389999389648402</c:v>
                </c:pt>
                <c:pt idx="80">
                  <c:v>51.159999847412102</c:v>
                </c:pt>
                <c:pt idx="81">
                  <c:v>50.299999237060497</c:v>
                </c:pt>
                <c:pt idx="82">
                  <c:v>49.939998626708899</c:v>
                </c:pt>
                <c:pt idx="83">
                  <c:v>49.119998931884702</c:v>
                </c:pt>
                <c:pt idx="84">
                  <c:v>47.610000610351499</c:v>
                </c:pt>
                <c:pt idx="85">
                  <c:v>45.7299995422363</c:v>
                </c:pt>
                <c:pt idx="86">
                  <c:v>44.810001373291001</c:v>
                </c:pt>
                <c:pt idx="87">
                  <c:v>46.419998168945298</c:v>
                </c:pt>
                <c:pt idx="88">
                  <c:v>47.310001373291001</c:v>
                </c:pt>
                <c:pt idx="89">
                  <c:v>49.380001068115199</c:v>
                </c:pt>
                <c:pt idx="90">
                  <c:v>49.560001373291001</c:v>
                </c:pt>
                <c:pt idx="91">
                  <c:v>48.959999084472599</c:v>
                </c:pt>
                <c:pt idx="92">
                  <c:v>48.099998474121001</c:v>
                </c:pt>
                <c:pt idx="93">
                  <c:v>43.959999084472599</c:v>
                </c:pt>
                <c:pt idx="94">
                  <c:v>45.509998321533203</c:v>
                </c:pt>
                <c:pt idx="95">
                  <c:v>44.990001678466797</c:v>
                </c:pt>
                <c:pt idx="96">
                  <c:v>44.060001373291001</c:v>
                </c:pt>
                <c:pt idx="97">
                  <c:v>43.200000762939403</c:v>
                </c:pt>
                <c:pt idx="98">
                  <c:v>42.090000152587798</c:v>
                </c:pt>
                <c:pt idx="99">
                  <c:v>40.889999389648402</c:v>
                </c:pt>
                <c:pt idx="100">
                  <c:v>42.419998168945298</c:v>
                </c:pt>
                <c:pt idx="101">
                  <c:v>40.020000457763601</c:v>
                </c:pt>
                <c:pt idx="102">
                  <c:v>37.509998321533203</c:v>
                </c:pt>
                <c:pt idx="103">
                  <c:v>39.650001525878899</c:v>
                </c:pt>
                <c:pt idx="104">
                  <c:v>43.299999237060497</c:v>
                </c:pt>
                <c:pt idx="105">
                  <c:v>44.290000915527301</c:v>
                </c:pt>
                <c:pt idx="106">
                  <c:v>40.650001525878899</c:v>
                </c:pt>
                <c:pt idx="107">
                  <c:v>40.740001678466797</c:v>
                </c:pt>
                <c:pt idx="108">
                  <c:v>43.740001678466797</c:v>
                </c:pt>
                <c:pt idx="109">
                  <c:v>40.970001220703097</c:v>
                </c:pt>
                <c:pt idx="110">
                  <c:v>40.2299995422363</c:v>
                </c:pt>
                <c:pt idx="111">
                  <c:v>41.290000915527301</c:v>
                </c:pt>
                <c:pt idx="112">
                  <c:v>43.069999694824197</c:v>
                </c:pt>
                <c:pt idx="113">
                  <c:v>43.270000457763601</c:v>
                </c:pt>
                <c:pt idx="114">
                  <c:v>42.400001525878899</c:v>
                </c:pt>
                <c:pt idx="115">
                  <c:v>44.669998168945298</c:v>
                </c:pt>
                <c:pt idx="116">
                  <c:v>46.220001220703097</c:v>
                </c:pt>
                <c:pt idx="117">
                  <c:v>43.990001678466797</c:v>
                </c:pt>
                <c:pt idx="118">
                  <c:v>44</c:v>
                </c:pt>
                <c:pt idx="119">
                  <c:v>44.659999847412102</c:v>
                </c:pt>
                <c:pt idx="120">
                  <c:v>44.990001678466797</c:v>
                </c:pt>
                <c:pt idx="121">
                  <c:v>44.790000915527301</c:v>
                </c:pt>
                <c:pt idx="122">
                  <c:v>45.549999237060497</c:v>
                </c:pt>
                <c:pt idx="123">
                  <c:v>47.889999389648402</c:v>
                </c:pt>
                <c:pt idx="124">
                  <c:v>47.220001220703097</c:v>
                </c:pt>
                <c:pt idx="125">
                  <c:v>48.680000305175703</c:v>
                </c:pt>
                <c:pt idx="126">
                  <c:v>49.990001678466797</c:v>
                </c:pt>
                <c:pt idx="127">
                  <c:v>51.930000305175703</c:v>
                </c:pt>
                <c:pt idx="128">
                  <c:v>51.400001525878899</c:v>
                </c:pt>
                <c:pt idx="129">
                  <c:v>50.959999084472599</c:v>
                </c:pt>
                <c:pt idx="130">
                  <c:v>51.040000915527301</c:v>
                </c:pt>
                <c:pt idx="131">
                  <c:v>51.990001678466797</c:v>
                </c:pt>
                <c:pt idx="132">
                  <c:v>52</c:v>
                </c:pt>
                <c:pt idx="133">
                  <c:v>52.909999847412102</c:v>
                </c:pt>
                <c:pt idx="134">
                  <c:v>52.180000305175703</c:v>
                </c:pt>
                <c:pt idx="135">
                  <c:v>51.779998779296797</c:v>
                </c:pt>
                <c:pt idx="136">
                  <c:v>48.970001220703097</c:v>
                </c:pt>
                <c:pt idx="137">
                  <c:v>48.520000457763601</c:v>
                </c:pt>
                <c:pt idx="138">
                  <c:v>48.380001068115199</c:v>
                </c:pt>
                <c:pt idx="139">
                  <c:v>50.400001525878899</c:v>
                </c:pt>
                <c:pt idx="140">
                  <c:v>49.7299995422363</c:v>
                </c:pt>
                <c:pt idx="141">
                  <c:v>50.650001525878899</c:v>
                </c:pt>
                <c:pt idx="142">
                  <c:v>50.680000305175703</c:v>
                </c:pt>
                <c:pt idx="143">
                  <c:v>50.509998321533203</c:v>
                </c:pt>
                <c:pt idx="144">
                  <c:v>49.790000915527301</c:v>
                </c:pt>
                <c:pt idx="145">
                  <c:v>49</c:v>
                </c:pt>
                <c:pt idx="146">
                  <c:v>49.5</c:v>
                </c:pt>
                <c:pt idx="147">
                  <c:v>49.130001068115199</c:v>
                </c:pt>
                <c:pt idx="148">
                  <c:v>47.4799995422363</c:v>
                </c:pt>
                <c:pt idx="149">
                  <c:v>49.840000152587798</c:v>
                </c:pt>
                <c:pt idx="150">
                  <c:v>51.209999084472599</c:v>
                </c:pt>
                <c:pt idx="151">
                  <c:v>50.790000915527301</c:v>
                </c:pt>
                <c:pt idx="152">
                  <c:v>50.529998779296797</c:v>
                </c:pt>
                <c:pt idx="153">
                  <c:v>52.689998626708899</c:v>
                </c:pt>
                <c:pt idx="154">
                  <c:v>53.470001220703097</c:v>
                </c:pt>
                <c:pt idx="155">
                  <c:v>52.869998931884702</c:v>
                </c:pt>
                <c:pt idx="156">
                  <c:v>52.830001831054602</c:v>
                </c:pt>
                <c:pt idx="157">
                  <c:v>52.139999389648402</c:v>
                </c:pt>
                <c:pt idx="158">
                  <c:v>53.209999084472599</c:v>
                </c:pt>
                <c:pt idx="159">
                  <c:v>50.529998779296797</c:v>
                </c:pt>
                <c:pt idx="160">
                  <c:v>52.189998626708899</c:v>
                </c:pt>
                <c:pt idx="161">
                  <c:v>51.439998626708899</c:v>
                </c:pt>
                <c:pt idx="162">
                  <c:v>50.240001678466797</c:v>
                </c:pt>
                <c:pt idx="163">
                  <c:v>53.2299995422363</c:v>
                </c:pt>
                <c:pt idx="164">
                  <c:v>52.740001678466797</c:v>
                </c:pt>
                <c:pt idx="165">
                  <c:v>52.900001525878899</c:v>
                </c:pt>
                <c:pt idx="166">
                  <c:v>52.610000610351499</c:v>
                </c:pt>
                <c:pt idx="167">
                  <c:v>52.569999694824197</c:v>
                </c:pt>
                <c:pt idx="168">
                  <c:v>52.450000762939403</c:v>
                </c:pt>
                <c:pt idx="169">
                  <c:v>52.830001831054602</c:v>
                </c:pt>
                <c:pt idx="170">
                  <c:v>53.430000305175703</c:v>
                </c:pt>
                <c:pt idx="171">
                  <c:v>53.150001525878899</c:v>
                </c:pt>
                <c:pt idx="172">
                  <c:v>54.630001068115199</c:v>
                </c:pt>
                <c:pt idx="173">
                  <c:v>54.159999847412102</c:v>
                </c:pt>
                <c:pt idx="174">
                  <c:v>54.689998626708899</c:v>
                </c:pt>
                <c:pt idx="175">
                  <c:v>55.060001373291001</c:v>
                </c:pt>
                <c:pt idx="176">
                  <c:v>55.409999847412102</c:v>
                </c:pt>
                <c:pt idx="177">
                  <c:v>55.569999694824197</c:v>
                </c:pt>
                <c:pt idx="178">
                  <c:v>54.659999847412102</c:v>
                </c:pt>
                <c:pt idx="179">
                  <c:v>57.119998931884702</c:v>
                </c:pt>
                <c:pt idx="180">
                  <c:v>55.880001068115199</c:v>
                </c:pt>
                <c:pt idx="181">
                  <c:v>55.900001525878899</c:v>
                </c:pt>
                <c:pt idx="182">
                  <c:v>55.090000152587798</c:v>
                </c:pt>
                <c:pt idx="183">
                  <c:v>54.540000915527301</c:v>
                </c:pt>
                <c:pt idx="184">
                  <c:v>54.740001678466797</c:v>
                </c:pt>
                <c:pt idx="185">
                  <c:v>54.319999694824197</c:v>
                </c:pt>
                <c:pt idx="186">
                  <c:v>57.080001831054602</c:v>
                </c:pt>
                <c:pt idx="187">
                  <c:v>58.020000457763601</c:v>
                </c:pt>
                <c:pt idx="188">
                  <c:v>58.9799995422363</c:v>
                </c:pt>
                <c:pt idx="189">
                  <c:v>59.470001220703097</c:v>
                </c:pt>
                <c:pt idx="190">
                  <c:v>61.4799995422363</c:v>
                </c:pt>
                <c:pt idx="191">
                  <c:v>59.75</c:v>
                </c:pt>
                <c:pt idx="192">
                  <c:v>56.720001220703097</c:v>
                </c:pt>
                <c:pt idx="193">
                  <c:v>56.209999084472599</c:v>
                </c:pt>
                <c:pt idx="194">
                  <c:v>57.009998321533203</c:v>
                </c:pt>
                <c:pt idx="195">
                  <c:v>57.9799995422363</c:v>
                </c:pt>
                <c:pt idx="196">
                  <c:v>61.619998931884702</c:v>
                </c:pt>
                <c:pt idx="197">
                  <c:v>61.779998779296797</c:v>
                </c:pt>
                <c:pt idx="198">
                  <c:v>59.360000610351499</c:v>
                </c:pt>
                <c:pt idx="199">
                  <c:v>59.069999694824197</c:v>
                </c:pt>
                <c:pt idx="200">
                  <c:v>58.569999694824197</c:v>
                </c:pt>
                <c:pt idx="201">
                  <c:v>58.299999237060497</c:v>
                </c:pt>
                <c:pt idx="202">
                  <c:v>58.819999694824197</c:v>
                </c:pt>
                <c:pt idx="203">
                  <c:v>59.25</c:v>
                </c:pt>
                <c:pt idx="204">
                  <c:v>58.770000457763601</c:v>
                </c:pt>
                <c:pt idx="205">
                  <c:v>59</c:v>
                </c:pt>
                <c:pt idx="206">
                  <c:v>61.200000762939403</c:v>
                </c:pt>
                <c:pt idx="207">
                  <c:v>59.819999694824197</c:v>
                </c:pt>
                <c:pt idx="208">
                  <c:v>58.419998168945298</c:v>
                </c:pt>
                <c:pt idx="209">
                  <c:v>58.819999694824197</c:v>
                </c:pt>
                <c:pt idx="210">
                  <c:v>58.540000915527301</c:v>
                </c:pt>
                <c:pt idx="211">
                  <c:v>59</c:v>
                </c:pt>
                <c:pt idx="212">
                  <c:v>57.520000457763601</c:v>
                </c:pt>
                <c:pt idx="213">
                  <c:v>58.75</c:v>
                </c:pt>
                <c:pt idx="214">
                  <c:v>58.400001525878899</c:v>
                </c:pt>
                <c:pt idx="215">
                  <c:v>60.200000762939403</c:v>
                </c:pt>
                <c:pt idx="216">
                  <c:v>60.419998168945298</c:v>
                </c:pt>
                <c:pt idx="217">
                  <c:v>59.009998321533203</c:v>
                </c:pt>
                <c:pt idx="218">
                  <c:v>59.4799995422363</c:v>
                </c:pt>
                <c:pt idx="219">
                  <c:v>59.389999389648402</c:v>
                </c:pt>
                <c:pt idx="220">
                  <c:v>57.630001068115199</c:v>
                </c:pt>
                <c:pt idx="221">
                  <c:v>58.540000915527301</c:v>
                </c:pt>
                <c:pt idx="222">
                  <c:v>58.619998931884702</c:v>
                </c:pt>
                <c:pt idx="223">
                  <c:v>59.419998168945298</c:v>
                </c:pt>
                <c:pt idx="224">
                  <c:v>58.689998626708899</c:v>
                </c:pt>
                <c:pt idx="225">
                  <c:v>58.290000915527301</c:v>
                </c:pt>
                <c:pt idx="226">
                  <c:v>58.159999847412102</c:v>
                </c:pt>
                <c:pt idx="227">
                  <c:v>56.290000915527301</c:v>
                </c:pt>
                <c:pt idx="228">
                  <c:v>55.139999389648402</c:v>
                </c:pt>
                <c:pt idx="229">
                  <c:v>55.919998168945298</c:v>
                </c:pt>
                <c:pt idx="230">
                  <c:v>54.369998931884702</c:v>
                </c:pt>
                <c:pt idx="231">
                  <c:v>55.020000457763601</c:v>
                </c:pt>
                <c:pt idx="232">
                  <c:v>55.040000915527301</c:v>
                </c:pt>
                <c:pt idx="233">
                  <c:v>55.049999237060497</c:v>
                </c:pt>
                <c:pt idx="234">
                  <c:v>54.9799995422363</c:v>
                </c:pt>
                <c:pt idx="235">
                  <c:v>56.25</c:v>
                </c:pt>
                <c:pt idx="236">
                  <c:v>54.209999084472599</c:v>
                </c:pt>
                <c:pt idx="237">
                  <c:v>54.340000152587798</c:v>
                </c:pt>
                <c:pt idx="238">
                  <c:v>54.580001831054602</c:v>
                </c:pt>
                <c:pt idx="239">
                  <c:v>55.069999694824197</c:v>
                </c:pt>
                <c:pt idx="240">
                  <c:v>57.25</c:v>
                </c:pt>
                <c:pt idx="241">
                  <c:v>58.959999084472599</c:v>
                </c:pt>
                <c:pt idx="242">
                  <c:v>58.959999084472599</c:v>
                </c:pt>
                <c:pt idx="243">
                  <c:v>58</c:v>
                </c:pt>
                <c:pt idx="244">
                  <c:v>58.900001525878899</c:v>
                </c:pt>
                <c:pt idx="245">
                  <c:v>58.569999694824197</c:v>
                </c:pt>
                <c:pt idx="246">
                  <c:v>58.569999694824197</c:v>
                </c:pt>
                <c:pt idx="247">
                  <c:v>58.700000762939403</c:v>
                </c:pt>
                <c:pt idx="248">
                  <c:v>58.700000762939403</c:v>
                </c:pt>
                <c:pt idx="249">
                  <c:v>60.090000152587798</c:v>
                </c:pt>
                <c:pt idx="250">
                  <c:v>61.790000915527301</c:v>
                </c:pt>
                <c:pt idx="251">
                  <c:v>61.880001068115199</c:v>
                </c:pt>
                <c:pt idx="252">
                  <c:v>62.959999084472599</c:v>
                </c:pt>
                <c:pt idx="253">
                  <c:v>61.25</c:v>
                </c:pt>
                <c:pt idx="254">
                  <c:v>62.689998626708899</c:v>
                </c:pt>
                <c:pt idx="255">
                  <c:v>61.200000762939403</c:v>
                </c:pt>
                <c:pt idx="256">
                  <c:v>60.590000152587798</c:v>
                </c:pt>
                <c:pt idx="257">
                  <c:v>60.25</c:v>
                </c:pt>
                <c:pt idx="258">
                  <c:v>61.680000305175703</c:v>
                </c:pt>
                <c:pt idx="259">
                  <c:v>61.110000610351499</c:v>
                </c:pt>
                <c:pt idx="260">
                  <c:v>62.040000915527301</c:v>
                </c:pt>
                <c:pt idx="261">
                  <c:v>62.419998168945298</c:v>
                </c:pt>
                <c:pt idx="262">
                  <c:v>63.430000305175703</c:v>
                </c:pt>
                <c:pt idx="263">
                  <c:v>64.370002746582003</c:v>
                </c:pt>
                <c:pt idx="264">
                  <c:v>63.990001678466797</c:v>
                </c:pt>
                <c:pt idx="265">
                  <c:v>64.019996643066406</c:v>
                </c:pt>
                <c:pt idx="266">
                  <c:v>65.190002441406193</c:v>
                </c:pt>
                <c:pt idx="267">
                  <c:v>67.180000305175696</c:v>
                </c:pt>
                <c:pt idx="268">
                  <c:v>67.160003662109304</c:v>
                </c:pt>
                <c:pt idx="269">
                  <c:v>65.839996337890597</c:v>
                </c:pt>
                <c:pt idx="270">
                  <c:v>66.400001525878906</c:v>
                </c:pt>
                <c:pt idx="271">
                  <c:v>67.879997253417898</c:v>
                </c:pt>
                <c:pt idx="272">
                  <c:v>69.730003356933594</c:v>
                </c:pt>
                <c:pt idx="273">
                  <c:v>71.110000610351506</c:v>
                </c:pt>
                <c:pt idx="274">
                  <c:v>73.629997253417898</c:v>
                </c:pt>
                <c:pt idx="275">
                  <c:v>71.319999694824205</c:v>
                </c:pt>
                <c:pt idx="276">
                  <c:v>73.339996337890597</c:v>
                </c:pt>
                <c:pt idx="277">
                  <c:v>75.010002136230398</c:v>
                </c:pt>
                <c:pt idx="278">
                  <c:v>78.779998779296804</c:v>
                </c:pt>
                <c:pt idx="279">
                  <c:v>81.129997253417898</c:v>
                </c:pt>
                <c:pt idx="280">
                  <c:v>80.279998779296804</c:v>
                </c:pt>
                <c:pt idx="281">
                  <c:v>78.589996337890597</c:v>
                </c:pt>
                <c:pt idx="282">
                  <c:v>78.360000610351506</c:v>
                </c:pt>
                <c:pt idx="283">
                  <c:v>76.819999694824205</c:v>
                </c:pt>
                <c:pt idx="284">
                  <c:v>78.180000305175696</c:v>
                </c:pt>
                <c:pt idx="285">
                  <c:v>78.470001220703097</c:v>
                </c:pt>
                <c:pt idx="286">
                  <c:v>77.769996643066406</c:v>
                </c:pt>
                <c:pt idx="287">
                  <c:v>81.080001831054602</c:v>
                </c:pt>
                <c:pt idx="288">
                  <c:v>80.360000610351506</c:v>
                </c:pt>
                <c:pt idx="289">
                  <c:v>82.470001220703097</c:v>
                </c:pt>
                <c:pt idx="290">
                  <c:v>83.430000305175696</c:v>
                </c:pt>
                <c:pt idx="291">
                  <c:v>83.849998474121094</c:v>
                </c:pt>
                <c:pt idx="292">
                  <c:v>80.370002746582003</c:v>
                </c:pt>
                <c:pt idx="293">
                  <c:v>83.419998168945298</c:v>
                </c:pt>
                <c:pt idx="294">
                  <c:v>82.260002136230398</c:v>
                </c:pt>
                <c:pt idx="295">
                  <c:v>85.139999389648395</c:v>
                </c:pt>
                <c:pt idx="296">
                  <c:v>86.639999389648395</c:v>
                </c:pt>
                <c:pt idx="297">
                  <c:v>86.300003051757798</c:v>
                </c:pt>
                <c:pt idx="298">
                  <c:v>84.120002746582003</c:v>
                </c:pt>
                <c:pt idx="299">
                  <c:v>88.709999084472599</c:v>
                </c:pt>
                <c:pt idx="300">
                  <c:v>90.860000610351506</c:v>
                </c:pt>
                <c:pt idx="301">
                  <c:v>91.540000915527301</c:v>
                </c:pt>
                <c:pt idx="302">
                  <c:v>92.610000610351506</c:v>
                </c:pt>
                <c:pt idx="303">
                  <c:v>97.230003356933594</c:v>
                </c:pt>
                <c:pt idx="304">
                  <c:v>93.260002136230398</c:v>
                </c:pt>
                <c:pt idx="305">
                  <c:v>92.489997863769503</c:v>
                </c:pt>
                <c:pt idx="306">
                  <c:v>91.019996643066406</c:v>
                </c:pt>
                <c:pt idx="307">
                  <c:v>91.010002136230398</c:v>
                </c:pt>
                <c:pt idx="308">
                  <c:v>88.199996948242102</c:v>
                </c:pt>
                <c:pt idx="309">
                  <c:v>91.389999389648395</c:v>
                </c:pt>
                <c:pt idx="310">
                  <c:v>89.129997253417898</c:v>
                </c:pt>
                <c:pt idx="311">
                  <c:v>89.599998474121094</c:v>
                </c:pt>
                <c:pt idx="312">
                  <c:v>90.290000915527301</c:v>
                </c:pt>
                <c:pt idx="313">
                  <c:v>90.209999084472599</c:v>
                </c:pt>
                <c:pt idx="314">
                  <c:v>92.269996643066406</c:v>
                </c:pt>
                <c:pt idx="315">
                  <c:v>90.860000610351506</c:v>
                </c:pt>
                <c:pt idx="316">
                  <c:v>90.75</c:v>
                </c:pt>
                <c:pt idx="317">
                  <c:v>90.879997253417898</c:v>
                </c:pt>
                <c:pt idx="318">
                  <c:v>87.839996337890597</c:v>
                </c:pt>
                <c:pt idx="319">
                  <c:v>91.440002441406193</c:v>
                </c:pt>
                <c:pt idx="320">
                  <c:v>91.150001525878906</c:v>
                </c:pt>
                <c:pt idx="321">
                  <c:v>87.900001525878906</c:v>
                </c:pt>
                <c:pt idx="322">
                  <c:v>87.470001220703097</c:v>
                </c:pt>
                <c:pt idx="323">
                  <c:v>89.989997863769503</c:v>
                </c:pt>
                <c:pt idx="324">
                  <c:v>93.160003662109304</c:v>
                </c:pt>
                <c:pt idx="325">
                  <c:v>91.949996948242102</c:v>
                </c:pt>
                <c:pt idx="326">
                  <c:v>89.970001220703097</c:v>
                </c:pt>
                <c:pt idx="327">
                  <c:v>88.190002441406193</c:v>
                </c:pt>
                <c:pt idx="328">
                  <c:v>89.440002441406193</c:v>
                </c:pt>
                <c:pt idx="329">
                  <c:v>92.599998474121094</c:v>
                </c:pt>
                <c:pt idx="330">
                  <c:v>96.290000915527301</c:v>
                </c:pt>
                <c:pt idx="331">
                  <c:v>97.980003356933594</c:v>
                </c:pt>
                <c:pt idx="332">
                  <c:v>101.930000305175</c:v>
                </c:pt>
                <c:pt idx="333">
                  <c:v>109.970001220703</c:v>
                </c:pt>
                <c:pt idx="334">
                  <c:v>108.290000915527</c:v>
                </c:pt>
                <c:pt idx="335">
                  <c:v>104.27999877929599</c:v>
                </c:pt>
                <c:pt idx="336">
                  <c:v>99.75</c:v>
                </c:pt>
                <c:pt idx="337">
                  <c:v>99.330001831054602</c:v>
                </c:pt>
                <c:pt idx="338">
                  <c:v>99.389999389648395</c:v>
                </c:pt>
                <c:pt idx="339">
                  <c:v>105.76999664306599</c:v>
                </c:pt>
                <c:pt idx="340">
                  <c:v>103.959999084472</c:v>
                </c:pt>
                <c:pt idx="341">
                  <c:v>100.550003051757</c:v>
                </c:pt>
                <c:pt idx="342">
                  <c:v>100.199996948242</c:v>
                </c:pt>
                <c:pt idx="343">
                  <c:v>104.970001220703</c:v>
                </c:pt>
                <c:pt idx="344">
                  <c:v>105.59999847412099</c:v>
                </c:pt>
                <c:pt idx="345">
                  <c:v>106.01999664306599</c:v>
                </c:pt>
                <c:pt idx="346">
                  <c:v>106.669998168945</c:v>
                </c:pt>
                <c:pt idx="347">
                  <c:v>107.75</c:v>
                </c:pt>
                <c:pt idx="348">
                  <c:v>104.48999786376901</c:v>
                </c:pt>
                <c:pt idx="349">
                  <c:v>104.26000213623</c:v>
                </c:pt>
                <c:pt idx="350">
                  <c:v>103.73999786376901</c:v>
                </c:pt>
                <c:pt idx="351">
                  <c:v>102.129997253417</c:v>
                </c:pt>
                <c:pt idx="352">
                  <c:v>101.809997558593</c:v>
                </c:pt>
                <c:pt idx="353">
                  <c:v>101.699996948242</c:v>
                </c:pt>
                <c:pt idx="354">
                  <c:v>100.01999664306599</c:v>
                </c:pt>
                <c:pt idx="355">
                  <c:v>100.58000183105401</c:v>
                </c:pt>
                <c:pt idx="356">
                  <c:v>102.400001525878</c:v>
                </c:pt>
                <c:pt idx="357">
                  <c:v>103.83999633789</c:v>
                </c:pt>
                <c:pt idx="358">
                  <c:v>103.98999786376901</c:v>
                </c:pt>
                <c:pt idx="359">
                  <c:v>107.459999084472</c:v>
                </c:pt>
                <c:pt idx="360">
                  <c:v>106.66000366210901</c:v>
                </c:pt>
                <c:pt idx="361">
                  <c:v>105.680000305175</c:v>
                </c:pt>
                <c:pt idx="362">
                  <c:v>105.290000915527</c:v>
                </c:pt>
                <c:pt idx="363">
                  <c:v>103.180000305175</c:v>
                </c:pt>
                <c:pt idx="364">
                  <c:v>101.56999969482401</c:v>
                </c:pt>
                <c:pt idx="365">
                  <c:v>100.980003356933</c:v>
                </c:pt>
                <c:pt idx="366">
                  <c:v>101.06999969482401</c:v>
                </c:pt>
                <c:pt idx="367">
                  <c:v>102.139999389648</c:v>
                </c:pt>
                <c:pt idx="368">
                  <c:v>105.180000305175</c:v>
                </c:pt>
                <c:pt idx="369">
                  <c:v>103.669998168945</c:v>
                </c:pt>
                <c:pt idx="370">
                  <c:v>102.379997253417</c:v>
                </c:pt>
                <c:pt idx="371">
                  <c:v>102.290000915527</c:v>
                </c:pt>
                <c:pt idx="372">
                  <c:v>104.34999847412099</c:v>
                </c:pt>
                <c:pt idx="373">
                  <c:v>102.300003051757</c:v>
                </c:pt>
                <c:pt idx="374">
                  <c:v>101.809997558593</c:v>
                </c:pt>
                <c:pt idx="375">
                  <c:v>102.11000061035099</c:v>
                </c:pt>
                <c:pt idx="376">
                  <c:v>100.699996948242</c:v>
                </c:pt>
                <c:pt idx="377">
                  <c:v>97.550003051757798</c:v>
                </c:pt>
                <c:pt idx="378">
                  <c:v>94.769996643066406</c:v>
                </c:pt>
                <c:pt idx="379">
                  <c:v>91.569999694824205</c:v>
                </c:pt>
                <c:pt idx="380">
                  <c:v>90.930000305175696</c:v>
                </c:pt>
                <c:pt idx="381">
                  <c:v>89.75</c:v>
                </c:pt>
                <c:pt idx="382">
                  <c:v>93.519996643066406</c:v>
                </c:pt>
                <c:pt idx="383">
                  <c:v>96.620002746582003</c:v>
                </c:pt>
                <c:pt idx="384">
                  <c:v>100.209999084472</c:v>
                </c:pt>
                <c:pt idx="385">
                  <c:v>108.930000305175</c:v>
                </c:pt>
                <c:pt idx="386">
                  <c:v>109.800003051757</c:v>
                </c:pt>
                <c:pt idx="387">
                  <c:v>104.56999969482401</c:v>
                </c:pt>
                <c:pt idx="388">
                  <c:v>103.61000061035099</c:v>
                </c:pt>
                <c:pt idx="389">
                  <c:v>100.58000183105401</c:v>
                </c:pt>
                <c:pt idx="390">
                  <c:v>100.33000183105401</c:v>
                </c:pt>
                <c:pt idx="391">
                  <c:v>101.540000915527</c:v>
                </c:pt>
                <c:pt idx="392">
                  <c:v>97.949996948242102</c:v>
                </c:pt>
                <c:pt idx="393">
                  <c:v>94.790000915527301</c:v>
                </c:pt>
                <c:pt idx="394">
                  <c:v>95.779998779296804</c:v>
                </c:pt>
                <c:pt idx="395">
                  <c:v>94.050003051757798</c:v>
                </c:pt>
                <c:pt idx="396">
                  <c:v>91</c:v>
                </c:pt>
                <c:pt idx="397">
                  <c:v>91.650001525878906</c:v>
                </c:pt>
                <c:pt idx="398">
                  <c:v>92.849998474121094</c:v>
                </c:pt>
                <c:pt idx="399">
                  <c:v>95.589996337890597</c:v>
                </c:pt>
                <c:pt idx="400">
                  <c:v>97.139999389648395</c:v>
                </c:pt>
                <c:pt idx="401">
                  <c:v>96.860000610351506</c:v>
                </c:pt>
                <c:pt idx="402">
                  <c:v>98.010002136230398</c:v>
                </c:pt>
                <c:pt idx="403">
                  <c:v>97.680000305175696</c:v>
                </c:pt>
                <c:pt idx="404">
                  <c:v>99.690002441406193</c:v>
                </c:pt>
                <c:pt idx="405">
                  <c:v>92.879997253417898</c:v>
                </c:pt>
                <c:pt idx="406">
                  <c:v>90.940002441406193</c:v>
                </c:pt>
                <c:pt idx="407">
                  <c:v>92.169998168945298</c:v>
                </c:pt>
                <c:pt idx="408">
                  <c:v>91.660003662109304</c:v>
                </c:pt>
                <c:pt idx="409">
                  <c:v>93.349998474121094</c:v>
                </c:pt>
                <c:pt idx="410">
                  <c:v>92.930000305175696</c:v>
                </c:pt>
                <c:pt idx="411">
                  <c:v>91.410003662109304</c:v>
                </c:pt>
                <c:pt idx="412">
                  <c:v>88.339996337890597</c:v>
                </c:pt>
                <c:pt idx="413">
                  <c:v>86.639999389648395</c:v>
                </c:pt>
                <c:pt idx="414">
                  <c:v>89.849998474121094</c:v>
                </c:pt>
                <c:pt idx="415">
                  <c:v>87.949996948242102</c:v>
                </c:pt>
                <c:pt idx="416">
                  <c:v>90.919998168945298</c:v>
                </c:pt>
                <c:pt idx="417">
                  <c:v>91.680000305175696</c:v>
                </c:pt>
                <c:pt idx="418">
                  <c:v>91.870002746582003</c:v>
                </c:pt>
                <c:pt idx="419">
                  <c:v>92.040000915527301</c:v>
                </c:pt>
                <c:pt idx="420">
                  <c:v>92.309997558593693</c:v>
                </c:pt>
                <c:pt idx="421">
                  <c:v>93.839996337890597</c:v>
                </c:pt>
                <c:pt idx="422">
                  <c:v>93.760002136230398</c:v>
                </c:pt>
                <c:pt idx="423">
                  <c:v>93.949996948242102</c:v>
                </c:pt>
                <c:pt idx="424">
                  <c:v>94.800003051757798</c:v>
                </c:pt>
                <c:pt idx="425">
                  <c:v>95.080001831054602</c:v>
                </c:pt>
                <c:pt idx="426">
                  <c:v>93.849998474121094</c:v>
                </c:pt>
                <c:pt idx="427">
                  <c:v>93.730003356933594</c:v>
                </c:pt>
                <c:pt idx="428">
                  <c:v>92.209999084472599</c:v>
                </c:pt>
                <c:pt idx="429">
                  <c:v>91.730003356933594</c:v>
                </c:pt>
                <c:pt idx="430">
                  <c:v>91.639999389648395</c:v>
                </c:pt>
                <c:pt idx="431">
                  <c:v>90.589996337890597</c:v>
                </c:pt>
                <c:pt idx="432">
                  <c:v>88.489997863769503</c:v>
                </c:pt>
                <c:pt idx="433">
                  <c:v>94.809997558593693</c:v>
                </c:pt>
                <c:pt idx="434">
                  <c:v>92.660003662109304</c:v>
                </c:pt>
                <c:pt idx="435">
                  <c:v>90.5</c:v>
                </c:pt>
                <c:pt idx="436">
                  <c:v>90.419998168945298</c:v>
                </c:pt>
                <c:pt idx="437">
                  <c:v>92.739997863769503</c:v>
                </c:pt>
                <c:pt idx="438">
                  <c:v>94.209999084472599</c:v>
                </c:pt>
                <c:pt idx="439">
                  <c:v>94.870002746582003</c:v>
                </c:pt>
                <c:pt idx="440">
                  <c:v>96.839996337890597</c:v>
                </c:pt>
                <c:pt idx="441">
                  <c:v>98.370002746582003</c:v>
                </c:pt>
                <c:pt idx="442">
                  <c:v>96.360000610351506</c:v>
                </c:pt>
                <c:pt idx="443">
                  <c:v>97.050003051757798</c:v>
                </c:pt>
                <c:pt idx="444">
                  <c:v>91.209999084472599</c:v>
                </c:pt>
                <c:pt idx="445">
                  <c:v>91.260002136230398</c:v>
                </c:pt>
                <c:pt idx="446">
                  <c:v>93.099998474121094</c:v>
                </c:pt>
                <c:pt idx="447">
                  <c:v>94.279998779296804</c:v>
                </c:pt>
                <c:pt idx="448">
                  <c:v>95.029998779296804</c:v>
                </c:pt>
                <c:pt idx="449">
                  <c:v>94.800003051757798</c:v>
                </c:pt>
                <c:pt idx="450">
                  <c:v>93.75</c:v>
                </c:pt>
                <c:pt idx="451">
                  <c:v>93.800003051757798</c:v>
                </c:pt>
                <c:pt idx="452">
                  <c:v>95.569999694824205</c:v>
                </c:pt>
                <c:pt idx="453">
                  <c:v>92.5</c:v>
                </c:pt>
                <c:pt idx="454">
                  <c:v>93.239997863769503</c:v>
                </c:pt>
                <c:pt idx="455">
                  <c:v>92.129997253417898</c:v>
                </c:pt>
                <c:pt idx="456">
                  <c:v>90.580001831054602</c:v>
                </c:pt>
                <c:pt idx="457">
                  <c:v>90.970001220703097</c:v>
                </c:pt>
                <c:pt idx="458">
                  <c:v>86.410003662109304</c:v>
                </c:pt>
                <c:pt idx="459">
                  <c:v>87.709999084472599</c:v>
                </c:pt>
                <c:pt idx="460">
                  <c:v>88.559997558593693</c:v>
                </c:pt>
                <c:pt idx="461">
                  <c:v>88.209999084472599</c:v>
                </c:pt>
                <c:pt idx="462">
                  <c:v>90.400001525878906</c:v>
                </c:pt>
                <c:pt idx="463">
                  <c:v>89.089996337890597</c:v>
                </c:pt>
                <c:pt idx="464">
                  <c:v>90.290000915527301</c:v>
                </c:pt>
                <c:pt idx="465">
                  <c:v>92.739997863769503</c:v>
                </c:pt>
                <c:pt idx="466">
                  <c:v>93.550003051757798</c:v>
                </c:pt>
                <c:pt idx="467">
                  <c:v>90.580001831054602</c:v>
                </c:pt>
                <c:pt idx="468">
                  <c:v>90.25</c:v>
                </c:pt>
                <c:pt idx="469">
                  <c:v>91.169998168945298</c:v>
                </c:pt>
                <c:pt idx="470">
                  <c:v>90.839996337890597</c:v>
                </c:pt>
                <c:pt idx="471">
                  <c:v>88.120002746582003</c:v>
                </c:pt>
                <c:pt idx="472">
                  <c:v>87.059997558593693</c:v>
                </c:pt>
                <c:pt idx="473">
                  <c:v>85.889999389648395</c:v>
                </c:pt>
                <c:pt idx="474">
                  <c:v>87.730003356933594</c:v>
                </c:pt>
                <c:pt idx="475">
                  <c:v>86.25</c:v>
                </c:pt>
                <c:pt idx="476">
                  <c:v>87.389999389648395</c:v>
                </c:pt>
                <c:pt idx="477">
                  <c:v>88.910003662109304</c:v>
                </c:pt>
                <c:pt idx="478">
                  <c:v>85.190002441406193</c:v>
                </c:pt>
                <c:pt idx="479">
                  <c:v>82.180000305175696</c:v>
                </c:pt>
                <c:pt idx="480">
                  <c:v>83.029998779296804</c:v>
                </c:pt>
                <c:pt idx="481">
                  <c:v>83.019996643066406</c:v>
                </c:pt>
                <c:pt idx="482">
                  <c:v>83.489997863769503</c:v>
                </c:pt>
                <c:pt idx="483">
                  <c:v>82.129997253417898</c:v>
                </c:pt>
                <c:pt idx="484">
                  <c:v>82.25</c:v>
                </c:pt>
                <c:pt idx="485">
                  <c:v>80.300003051757798</c:v>
                </c:pt>
                <c:pt idx="486">
                  <c:v>79.989997863769503</c:v>
                </c:pt>
                <c:pt idx="487">
                  <c:v>82.389999389648395</c:v>
                </c:pt>
                <c:pt idx="488">
                  <c:v>80.610000610351506</c:v>
                </c:pt>
                <c:pt idx="489">
                  <c:v>80.279998779296804</c:v>
                </c:pt>
                <c:pt idx="490">
                  <c:v>80.610000610351506</c:v>
                </c:pt>
                <c:pt idx="491">
                  <c:v>80.809997558593693</c:v>
                </c:pt>
                <c:pt idx="492">
                  <c:v>84.080001831054602</c:v>
                </c:pt>
                <c:pt idx="493">
                  <c:v>84.599998474121094</c:v>
                </c:pt>
                <c:pt idx="494">
                  <c:v>87.440002441406193</c:v>
                </c:pt>
                <c:pt idx="495">
                  <c:v>85.239997863769503</c:v>
                </c:pt>
                <c:pt idx="496">
                  <c:v>86.699996948242102</c:v>
                </c:pt>
                <c:pt idx="497">
                  <c:v>89.470001220703097</c:v>
                </c:pt>
                <c:pt idx="498">
                  <c:v>93.75</c:v>
                </c:pt>
                <c:pt idx="499">
                  <c:v>94.519996643066406</c:v>
                </c:pt>
                <c:pt idx="500">
                  <c:v>95.379997253417898</c:v>
                </c:pt>
                <c:pt idx="501">
                  <c:v>94.900001525878906</c:v>
                </c:pt>
                <c:pt idx="502">
                  <c:v>94.940002441406193</c:v>
                </c:pt>
                <c:pt idx="503">
                  <c:v>94.419998168945298</c:v>
                </c:pt>
                <c:pt idx="504">
                  <c:v>95.430000305175696</c:v>
                </c:pt>
                <c:pt idx="505">
                  <c:v>94.599998474121094</c:v>
                </c:pt>
                <c:pt idx="506">
                  <c:v>92.620002746582003</c:v>
                </c:pt>
                <c:pt idx="507">
                  <c:v>89.349998474121094</c:v>
                </c:pt>
                <c:pt idx="508">
                  <c:v>90.319999694824205</c:v>
                </c:pt>
                <c:pt idx="509">
                  <c:v>89.849998474121094</c:v>
                </c:pt>
                <c:pt idx="510">
                  <c:v>89.180000305175696</c:v>
                </c:pt>
                <c:pt idx="511">
                  <c:v>88.930000305175696</c:v>
                </c:pt>
                <c:pt idx="512">
                  <c:v>88.349998474121094</c:v>
                </c:pt>
                <c:pt idx="513">
                  <c:v>88.760002136230398</c:v>
                </c:pt>
                <c:pt idx="514">
                  <c:v>88.230003356933594</c:v>
                </c:pt>
                <c:pt idx="515">
                  <c:v>86.510002136230398</c:v>
                </c:pt>
                <c:pt idx="516">
                  <c:v>88.050003051757798</c:v>
                </c:pt>
                <c:pt idx="517">
                  <c:v>87.080001831054602</c:v>
                </c:pt>
                <c:pt idx="518">
                  <c:v>86.680000305175696</c:v>
                </c:pt>
                <c:pt idx="519">
                  <c:v>87.059997558593693</c:v>
                </c:pt>
                <c:pt idx="520">
                  <c:v>86.180000305175696</c:v>
                </c:pt>
                <c:pt idx="521">
                  <c:v>88.080001831054602</c:v>
                </c:pt>
                <c:pt idx="522">
                  <c:v>85.660003662109304</c:v>
                </c:pt>
                <c:pt idx="523">
                  <c:v>88.260002136230398</c:v>
                </c:pt>
                <c:pt idx="524">
                  <c:v>87.349998474121094</c:v>
                </c:pt>
                <c:pt idx="525">
                  <c:v>86.400001525878906</c:v>
                </c:pt>
                <c:pt idx="526">
                  <c:v>84.650001525878906</c:v>
                </c:pt>
                <c:pt idx="527">
                  <c:v>87.779998779296804</c:v>
                </c:pt>
                <c:pt idx="528">
                  <c:v>89.720001220703097</c:v>
                </c:pt>
                <c:pt idx="529">
                  <c:v>90.230003356933594</c:v>
                </c:pt>
                <c:pt idx="530">
                  <c:v>92.260002136230398</c:v>
                </c:pt>
                <c:pt idx="531">
                  <c:v>91.25</c:v>
                </c:pt>
                <c:pt idx="532">
                  <c:v>92.419998168945298</c:v>
                </c:pt>
                <c:pt idx="533">
                  <c:v>93.449996948242102</c:v>
                </c:pt>
                <c:pt idx="534">
                  <c:v>91.720001220703097</c:v>
                </c:pt>
                <c:pt idx="535">
                  <c:v>92.860000610351506</c:v>
                </c:pt>
                <c:pt idx="536">
                  <c:v>92</c:v>
                </c:pt>
                <c:pt idx="537">
                  <c:v>89.529998779296804</c:v>
                </c:pt>
                <c:pt idx="538">
                  <c:v>89.760002136230398</c:v>
                </c:pt>
                <c:pt idx="539">
                  <c:v>88.019996643066406</c:v>
                </c:pt>
                <c:pt idx="540">
                  <c:v>89.319999694824205</c:v>
                </c:pt>
                <c:pt idx="541">
                  <c:v>88.559997558593693</c:v>
                </c:pt>
                <c:pt idx="542">
                  <c:v>85.120002746582003</c:v>
                </c:pt>
                <c:pt idx="543">
                  <c:v>86.959999084472599</c:v>
                </c:pt>
                <c:pt idx="544">
                  <c:v>87.400001525878906</c:v>
                </c:pt>
                <c:pt idx="545">
                  <c:v>88.470001220703097</c:v>
                </c:pt>
                <c:pt idx="546">
                  <c:v>88.699996948242102</c:v>
                </c:pt>
                <c:pt idx="547">
                  <c:v>90.190002441406193</c:v>
                </c:pt>
                <c:pt idx="548">
                  <c:v>90.150001525878906</c:v>
                </c:pt>
                <c:pt idx="549">
                  <c:v>87.930000305175696</c:v>
                </c:pt>
                <c:pt idx="550">
                  <c:v>89.019996643066406</c:v>
                </c:pt>
                <c:pt idx="551">
                  <c:v>89.290000915527301</c:v>
                </c:pt>
                <c:pt idx="552">
                  <c:v>89.089996337890597</c:v>
                </c:pt>
                <c:pt idx="553">
                  <c:v>88.230003356933594</c:v>
                </c:pt>
                <c:pt idx="554">
                  <c:v>89.540000915527301</c:v>
                </c:pt>
                <c:pt idx="555">
                  <c:v>90.510002136230398</c:v>
                </c:pt>
                <c:pt idx="556">
                  <c:v>90.360000610351506</c:v>
                </c:pt>
                <c:pt idx="557">
                  <c:v>89.25</c:v>
                </c:pt>
                <c:pt idx="558">
                  <c:v>89.970001220703097</c:v>
                </c:pt>
                <c:pt idx="559">
                  <c:v>93.980003356933594</c:v>
                </c:pt>
                <c:pt idx="560">
                  <c:v>93.989997863769503</c:v>
                </c:pt>
                <c:pt idx="561">
                  <c:v>93.089996337890597</c:v>
                </c:pt>
                <c:pt idx="562">
                  <c:v>93.870002746582003</c:v>
                </c:pt>
                <c:pt idx="563">
                  <c:v>93.519996643066406</c:v>
                </c:pt>
                <c:pt idx="564">
                  <c:v>95.339996337890597</c:v>
                </c:pt>
                <c:pt idx="565">
                  <c:v>93.660003662109304</c:v>
                </c:pt>
                <c:pt idx="566">
                  <c:v>90.25</c:v>
                </c:pt>
                <c:pt idx="567">
                  <c:v>86.830001831054602</c:v>
                </c:pt>
                <c:pt idx="568">
                  <c:v>87.889999389648395</c:v>
                </c:pt>
                <c:pt idx="569">
                  <c:v>87.879997253417898</c:v>
                </c:pt>
                <c:pt idx="570">
                  <c:v>85.529998779296804</c:v>
                </c:pt>
                <c:pt idx="571">
                  <c:v>86.550003051757798</c:v>
                </c:pt>
                <c:pt idx="572">
                  <c:v>88.589996337890597</c:v>
                </c:pt>
                <c:pt idx="573">
                  <c:v>89.830001831054602</c:v>
                </c:pt>
                <c:pt idx="574">
                  <c:v>90.139999389648395</c:v>
                </c:pt>
                <c:pt idx="575">
                  <c:v>87.279998779296804</c:v>
                </c:pt>
                <c:pt idx="576">
                  <c:v>88.870002746582003</c:v>
                </c:pt>
                <c:pt idx="577">
                  <c:v>91.190002441406193</c:v>
                </c:pt>
                <c:pt idx="578">
                  <c:v>93.510002136230398</c:v>
                </c:pt>
                <c:pt idx="579">
                  <c:v>97.989997863769503</c:v>
                </c:pt>
                <c:pt idx="580">
                  <c:v>101.290000915527</c:v>
                </c:pt>
                <c:pt idx="581">
                  <c:v>102.180000305175</c:v>
                </c:pt>
                <c:pt idx="582">
                  <c:v>104.61000061035099</c:v>
                </c:pt>
                <c:pt idx="583">
                  <c:v>105.84999847412099</c:v>
                </c:pt>
                <c:pt idx="584">
                  <c:v>99.970001220703097</c:v>
                </c:pt>
                <c:pt idx="585">
                  <c:v>98.449996948242102</c:v>
                </c:pt>
                <c:pt idx="586">
                  <c:v>96.720001220703097</c:v>
                </c:pt>
                <c:pt idx="587">
                  <c:v>98.75</c:v>
                </c:pt>
                <c:pt idx="588">
                  <c:v>97.809997558593693</c:v>
                </c:pt>
                <c:pt idx="589">
                  <c:v>101.809997558593</c:v>
                </c:pt>
                <c:pt idx="590">
                  <c:v>101.919998168945</c:v>
                </c:pt>
                <c:pt idx="591">
                  <c:v>105.06999969482401</c:v>
                </c:pt>
                <c:pt idx="592">
                  <c:v>108.34999847412099</c:v>
                </c:pt>
                <c:pt idx="593">
                  <c:v>109.419998168945</c:v>
                </c:pt>
                <c:pt idx="594">
                  <c:v>115.699996948242</c:v>
                </c:pt>
                <c:pt idx="595">
                  <c:v>116.980003356933</c:v>
                </c:pt>
                <c:pt idx="596">
                  <c:v>117.199996948242</c:v>
                </c:pt>
                <c:pt idx="597">
                  <c:v>117.290000915527</c:v>
                </c:pt>
                <c:pt idx="598">
                  <c:v>114.419998168945</c:v>
                </c:pt>
                <c:pt idx="599">
                  <c:v>115.56999969482401</c:v>
                </c:pt>
                <c:pt idx="600">
                  <c:v>113.680000305175</c:v>
                </c:pt>
                <c:pt idx="601">
                  <c:v>108.41000366210901</c:v>
                </c:pt>
                <c:pt idx="602">
                  <c:v>104.58999633789</c:v>
                </c:pt>
                <c:pt idx="603">
                  <c:v>103.33999633789</c:v>
                </c:pt>
                <c:pt idx="604">
                  <c:v>109.459999084472</c:v>
                </c:pt>
                <c:pt idx="605">
                  <c:v>114.680000305175</c:v>
                </c:pt>
                <c:pt idx="606">
                  <c:v>116.77999877929599</c:v>
                </c:pt>
                <c:pt idx="607">
                  <c:v>116.150001525878</c:v>
                </c:pt>
                <c:pt idx="608">
                  <c:v>119.120002746582</c:v>
                </c:pt>
                <c:pt idx="609">
                  <c:v>115.23999786376901</c:v>
                </c:pt>
                <c:pt idx="610">
                  <c:v>116.36000061035099</c:v>
                </c:pt>
                <c:pt idx="611">
                  <c:v>116.900001525878</c:v>
                </c:pt>
                <c:pt idx="612">
                  <c:v>115.389999389648</c:v>
                </c:pt>
                <c:pt idx="613">
                  <c:v>119</c:v>
                </c:pt>
                <c:pt idx="614">
                  <c:v>117.51000213623</c:v>
                </c:pt>
                <c:pt idx="615">
                  <c:v>118.83999633789</c:v>
                </c:pt>
                <c:pt idx="616">
                  <c:v>113.26999664306599</c:v>
                </c:pt>
                <c:pt idx="617">
                  <c:v>109.709999084472</c:v>
                </c:pt>
                <c:pt idx="618">
                  <c:v>113.540000915527</c:v>
                </c:pt>
                <c:pt idx="619">
                  <c:v>111.76999664306599</c:v>
                </c:pt>
                <c:pt idx="620">
                  <c:v>113.650001525878</c:v>
                </c:pt>
                <c:pt idx="621">
                  <c:v>107.69000244140599</c:v>
                </c:pt>
                <c:pt idx="622">
                  <c:v>107.51999664306599</c:v>
                </c:pt>
                <c:pt idx="623">
                  <c:v>107.83999633789</c:v>
                </c:pt>
                <c:pt idx="624">
                  <c:v>110.08000183105401</c:v>
                </c:pt>
                <c:pt idx="625">
                  <c:v>104.84999847412099</c:v>
                </c:pt>
                <c:pt idx="626">
                  <c:v>102.36000061035099</c:v>
                </c:pt>
                <c:pt idx="627">
                  <c:v>98.910003662109304</c:v>
                </c:pt>
                <c:pt idx="628">
                  <c:v>97.870002746582003</c:v>
                </c:pt>
                <c:pt idx="629">
                  <c:v>97.699996948242102</c:v>
                </c:pt>
                <c:pt idx="630">
                  <c:v>99.529998779296804</c:v>
                </c:pt>
                <c:pt idx="631">
                  <c:v>98.279998779296804</c:v>
                </c:pt>
                <c:pt idx="632">
                  <c:v>95.519996643066406</c:v>
                </c:pt>
                <c:pt idx="633">
                  <c:v>96.25</c:v>
                </c:pt>
                <c:pt idx="634">
                  <c:v>99.279998779296804</c:v>
                </c:pt>
                <c:pt idx="635">
                  <c:v>99.769996643066406</c:v>
                </c:pt>
                <c:pt idx="636">
                  <c:v>98</c:v>
                </c:pt>
                <c:pt idx="637">
                  <c:v>97.290000915527301</c:v>
                </c:pt>
                <c:pt idx="638">
                  <c:v>94.129997253417898</c:v>
                </c:pt>
                <c:pt idx="639">
                  <c:v>91.400001525878906</c:v>
                </c:pt>
                <c:pt idx="640">
                  <c:v>91.989997863769503</c:v>
                </c:pt>
                <c:pt idx="641">
                  <c:v>90.790000915527301</c:v>
                </c:pt>
                <c:pt idx="642">
                  <c:v>90.089996337890597</c:v>
                </c:pt>
                <c:pt idx="643">
                  <c:v>90.760002136230398</c:v>
                </c:pt>
                <c:pt idx="644">
                  <c:v>95.110000610351506</c:v>
                </c:pt>
                <c:pt idx="645">
                  <c:v>93.879997253417898</c:v>
                </c:pt>
                <c:pt idx="646">
                  <c:v>101.180000305175</c:v>
                </c:pt>
                <c:pt idx="647">
                  <c:v>102.430000305175</c:v>
                </c:pt>
                <c:pt idx="648">
                  <c:v>98.690002441406193</c:v>
                </c:pt>
                <c:pt idx="649">
                  <c:v>98.019996643066406</c:v>
                </c:pt>
                <c:pt idx="650">
                  <c:v>100.01000213623</c:v>
                </c:pt>
                <c:pt idx="651">
                  <c:v>98.290000915527301</c:v>
                </c:pt>
                <c:pt idx="652">
                  <c:v>101.949996948242</c:v>
                </c:pt>
                <c:pt idx="653">
                  <c:v>102.08000183105401</c:v>
                </c:pt>
                <c:pt idx="654">
                  <c:v>97.209999084472599</c:v>
                </c:pt>
                <c:pt idx="655">
                  <c:v>98.260002136230398</c:v>
                </c:pt>
                <c:pt idx="656">
                  <c:v>100.91000366210901</c:v>
                </c:pt>
                <c:pt idx="657">
                  <c:v>99.800003051757798</c:v>
                </c:pt>
                <c:pt idx="658">
                  <c:v>99.989997863769503</c:v>
                </c:pt>
                <c:pt idx="659">
                  <c:v>101.930000305175</c:v>
                </c:pt>
                <c:pt idx="660">
                  <c:v>97.629997253417898</c:v>
                </c:pt>
                <c:pt idx="661">
                  <c:v>93.809997558593693</c:v>
                </c:pt>
                <c:pt idx="662">
                  <c:v>93.010002136230398</c:v>
                </c:pt>
                <c:pt idx="663">
                  <c:v>94.569999694824205</c:v>
                </c:pt>
                <c:pt idx="664">
                  <c:v>90.370002746582003</c:v>
                </c:pt>
                <c:pt idx="665">
                  <c:v>90.459999084472599</c:v>
                </c:pt>
                <c:pt idx="666">
                  <c:v>90.300003051757798</c:v>
                </c:pt>
                <c:pt idx="667">
                  <c:v>95.559997558593693</c:v>
                </c:pt>
                <c:pt idx="668">
                  <c:v>90.75</c:v>
                </c:pt>
                <c:pt idx="669">
                  <c:v>91.029998779296804</c:v>
                </c:pt>
                <c:pt idx="670">
                  <c:v>86.459999084472599</c:v>
                </c:pt>
                <c:pt idx="671">
                  <c:v>81.519996643066406</c:v>
                </c:pt>
                <c:pt idx="672">
                  <c:v>84.75</c:v>
                </c:pt>
                <c:pt idx="673">
                  <c:v>85.959999084472599</c:v>
                </c:pt>
                <c:pt idx="674">
                  <c:v>87.970001220703097</c:v>
                </c:pt>
                <c:pt idx="675">
                  <c:v>86.339996337890597</c:v>
                </c:pt>
                <c:pt idx="676">
                  <c:v>83.269996643066406</c:v>
                </c:pt>
                <c:pt idx="677">
                  <c:v>82.120002746582003</c:v>
                </c:pt>
                <c:pt idx="678">
                  <c:v>84.190002441406193</c:v>
                </c:pt>
                <c:pt idx="679">
                  <c:v>80.910003662109304</c:v>
                </c:pt>
                <c:pt idx="680">
                  <c:v>81.309997558593693</c:v>
                </c:pt>
                <c:pt idx="681">
                  <c:v>84.680000305175696</c:v>
                </c:pt>
                <c:pt idx="682">
                  <c:v>84.830001831054602</c:v>
                </c:pt>
                <c:pt idx="683">
                  <c:v>83.029998779296804</c:v>
                </c:pt>
                <c:pt idx="684">
                  <c:v>81.959999084472599</c:v>
                </c:pt>
                <c:pt idx="685">
                  <c:v>81.779998779296804</c:v>
                </c:pt>
                <c:pt idx="686">
                  <c:v>78.269996643066406</c:v>
                </c:pt>
                <c:pt idx="687">
                  <c:v>77.910003662109304</c:v>
                </c:pt>
                <c:pt idx="688">
                  <c:v>77.440002441406193</c:v>
                </c:pt>
                <c:pt idx="689">
                  <c:v>76.489997863769503</c:v>
                </c:pt>
                <c:pt idx="690">
                  <c:v>77.199996948242102</c:v>
                </c:pt>
                <c:pt idx="691">
                  <c:v>78.360000610351506</c:v>
                </c:pt>
                <c:pt idx="692">
                  <c:v>78.279998779296804</c:v>
                </c:pt>
                <c:pt idx="693">
                  <c:v>78.099998474121094</c:v>
                </c:pt>
                <c:pt idx="694">
                  <c:v>75.830001831054602</c:v>
                </c:pt>
                <c:pt idx="695">
                  <c:v>75.319999694824205</c:v>
                </c:pt>
                <c:pt idx="696">
                  <c:v>78.639999389648395</c:v>
                </c:pt>
                <c:pt idx="697">
                  <c:v>80.599998474121094</c:v>
                </c:pt>
                <c:pt idx="698">
                  <c:v>76.419998168945298</c:v>
                </c:pt>
                <c:pt idx="699">
                  <c:v>76.459999084472599</c:v>
                </c:pt>
                <c:pt idx="700">
                  <c:v>76.089996337890597</c:v>
                </c:pt>
                <c:pt idx="701">
                  <c:v>75.669998168945298</c:v>
                </c:pt>
                <c:pt idx="702">
                  <c:v>76.010002136230398</c:v>
                </c:pt>
                <c:pt idx="703">
                  <c:v>77.75</c:v>
                </c:pt>
                <c:pt idx="704">
                  <c:v>75.639999389648395</c:v>
                </c:pt>
                <c:pt idx="705">
                  <c:v>80.040000915527301</c:v>
                </c:pt>
                <c:pt idx="706">
                  <c:v>83.550003051757798</c:v>
                </c:pt>
                <c:pt idx="707">
                  <c:v>83.790000915527301</c:v>
                </c:pt>
                <c:pt idx="708">
                  <c:v>81.910003662109304</c:v>
                </c:pt>
                <c:pt idx="709">
                  <c:v>79.540000915527301</c:v>
                </c:pt>
                <c:pt idx="710">
                  <c:v>78.639999389648395</c:v>
                </c:pt>
                <c:pt idx="711">
                  <c:v>79.510002136230398</c:v>
                </c:pt>
                <c:pt idx="712">
                  <c:v>79.290000915527301</c:v>
                </c:pt>
                <c:pt idx="713">
                  <c:v>79.089996337890597</c:v>
                </c:pt>
                <c:pt idx="714">
                  <c:v>79.989997863769503</c:v>
                </c:pt>
                <c:pt idx="715">
                  <c:v>78.050003051757798</c:v>
                </c:pt>
                <c:pt idx="716">
                  <c:v>80.230003356933594</c:v>
                </c:pt>
                <c:pt idx="717">
                  <c:v>80.559997558593693</c:v>
                </c:pt>
                <c:pt idx="718">
                  <c:v>76.910003662109304</c:v>
                </c:pt>
                <c:pt idx="719">
                  <c:v>76.010002136230398</c:v>
                </c:pt>
                <c:pt idx="720">
                  <c:v>76.279998779296804</c:v>
                </c:pt>
                <c:pt idx="721">
                  <c:v>74.5</c:v>
                </c:pt>
                <c:pt idx="722">
                  <c:v>76.449996948242102</c:v>
                </c:pt>
                <c:pt idx="723">
                  <c:v>76.129997253417898</c:v>
                </c:pt>
                <c:pt idx="724">
                  <c:v>77.489997863769503</c:v>
                </c:pt>
                <c:pt idx="725">
                  <c:v>76.690002441406193</c:v>
                </c:pt>
                <c:pt idx="726">
                  <c:v>79.989997863769503</c:v>
                </c:pt>
                <c:pt idx="727">
                  <c:v>84</c:v>
                </c:pt>
                <c:pt idx="728">
                  <c:v>84.209999084472599</c:v>
                </c:pt>
                <c:pt idx="729">
                  <c:v>82.589996337890597</c:v>
                </c:pt>
                <c:pt idx="730">
                  <c:v>78.279998779296804</c:v>
                </c:pt>
                <c:pt idx="731">
                  <c:v>77.029998779296804</c:v>
                </c:pt>
                <c:pt idx="732">
                  <c:v>76.089996337890597</c:v>
                </c:pt>
                <c:pt idx="733">
                  <c:v>76.819999694824205</c:v>
                </c:pt>
                <c:pt idx="734">
                  <c:v>74.339996337890597</c:v>
                </c:pt>
                <c:pt idx="735">
                  <c:v>71.879997253417898</c:v>
                </c:pt>
                <c:pt idx="736">
                  <c:v>68.639999389648395</c:v>
                </c:pt>
                <c:pt idx="737">
                  <c:v>69</c:v>
                </c:pt>
                <c:pt idx="738">
                  <c:v>69.400001525878906</c:v>
                </c:pt>
                <c:pt idx="739">
                  <c:v>69.5</c:v>
                </c:pt>
                <c:pt idx="740">
                  <c:v>69</c:v>
                </c:pt>
                <c:pt idx="741">
                  <c:v>68.019996643066406</c:v>
                </c:pt>
                <c:pt idx="742">
                  <c:v>73.279998779296804</c:v>
                </c:pt>
                <c:pt idx="743">
                  <c:v>74.629997253417898</c:v>
                </c:pt>
                <c:pt idx="744">
                  <c:v>73.339996337890597</c:v>
                </c:pt>
                <c:pt idx="745">
                  <c:v>72.099998474121094</c:v>
                </c:pt>
                <c:pt idx="746">
                  <c:v>68.739997863769503</c:v>
                </c:pt>
                <c:pt idx="747">
                  <c:v>66.430000305175696</c:v>
                </c:pt>
                <c:pt idx="748">
                  <c:v>67.589996337890597</c:v>
                </c:pt>
                <c:pt idx="749">
                  <c:v>65.580001831054602</c:v>
                </c:pt>
                <c:pt idx="750">
                  <c:v>66.139999389648395</c:v>
                </c:pt>
                <c:pt idx="751">
                  <c:v>65</c:v>
                </c:pt>
                <c:pt idx="752">
                  <c:v>65.330001831054602</c:v>
                </c:pt>
                <c:pt idx="753">
                  <c:v>65.870002746582003</c:v>
                </c:pt>
                <c:pt idx="754">
                  <c:v>63.770000457763601</c:v>
                </c:pt>
                <c:pt idx="755">
                  <c:v>63.709999084472599</c:v>
                </c:pt>
                <c:pt idx="756">
                  <c:v>64.610000610351506</c:v>
                </c:pt>
                <c:pt idx="757">
                  <c:v>62.020000457763601</c:v>
                </c:pt>
                <c:pt idx="758">
                  <c:v>64.559997558593693</c:v>
                </c:pt>
                <c:pt idx="759">
                  <c:v>71.769996643066406</c:v>
                </c:pt>
                <c:pt idx="760">
                  <c:v>73.470001220703097</c:v>
                </c:pt>
                <c:pt idx="761">
                  <c:v>70.580001831054602</c:v>
                </c:pt>
                <c:pt idx="762">
                  <c:v>71.370002746582003</c:v>
                </c:pt>
                <c:pt idx="763">
                  <c:v>73.290000915527301</c:v>
                </c:pt>
                <c:pt idx="764">
                  <c:v>70.510002136230398</c:v>
                </c:pt>
                <c:pt idx="765">
                  <c:v>77.589996337890597</c:v>
                </c:pt>
                <c:pt idx="766">
                  <c:v>73.319999694824205</c:v>
                </c:pt>
                <c:pt idx="767">
                  <c:v>75.800003051757798</c:v>
                </c:pt>
                <c:pt idx="768">
                  <c:v>75.139999389648395</c:v>
                </c:pt>
                <c:pt idx="769">
                  <c:v>76.309997558593693</c:v>
                </c:pt>
                <c:pt idx="770">
                  <c:v>82.169998168945298</c:v>
                </c:pt>
                <c:pt idx="771">
                  <c:v>81</c:v>
                </c:pt>
                <c:pt idx="772">
                  <c:v>81.069999694824205</c:v>
                </c:pt>
                <c:pt idx="773">
                  <c:v>78.910003662109304</c:v>
                </c:pt>
                <c:pt idx="774">
                  <c:v>76.180000305175696</c:v>
                </c:pt>
                <c:pt idx="775">
                  <c:v>75.059997558593693</c:v>
                </c:pt>
                <c:pt idx="776">
                  <c:v>77.5</c:v>
                </c:pt>
                <c:pt idx="777">
                  <c:v>74.639999389648395</c:v>
                </c:pt>
                <c:pt idx="778">
                  <c:v>73.089996337890597</c:v>
                </c:pt>
                <c:pt idx="779">
                  <c:v>70.699996948242102</c:v>
                </c:pt>
                <c:pt idx="780">
                  <c:v>69.010002136230398</c:v>
                </c:pt>
                <c:pt idx="781">
                  <c:v>72.389999389648395</c:v>
                </c:pt>
                <c:pt idx="782">
                  <c:v>78.5</c:v>
                </c:pt>
                <c:pt idx="783">
                  <c:v>80.489997863769503</c:v>
                </c:pt>
                <c:pt idx="784">
                  <c:v>79.319999694824205</c:v>
                </c:pt>
                <c:pt idx="785">
                  <c:v>78.879997253417898</c:v>
                </c:pt>
                <c:pt idx="786">
                  <c:v>79.559997558593693</c:v>
                </c:pt>
                <c:pt idx="787">
                  <c:v>77</c:v>
                </c:pt>
                <c:pt idx="788">
                  <c:v>79.989997863769503</c:v>
                </c:pt>
                <c:pt idx="789">
                  <c:v>78.209999084472599</c:v>
                </c:pt>
                <c:pt idx="790">
                  <c:v>76.559997558593693</c:v>
                </c:pt>
                <c:pt idx="791">
                  <c:v>74.510002136230398</c:v>
                </c:pt>
                <c:pt idx="792">
                  <c:v>72.260002136230398</c:v>
                </c:pt>
                <c:pt idx="793">
                  <c:v>72.589996337890597</c:v>
                </c:pt>
                <c:pt idx="794">
                  <c:v>72.519996643066406</c:v>
                </c:pt>
                <c:pt idx="795">
                  <c:v>74.300003051757798</c:v>
                </c:pt>
                <c:pt idx="796">
                  <c:v>74.339996337890597</c:v>
                </c:pt>
                <c:pt idx="797">
                  <c:v>73.050003051757798</c:v>
                </c:pt>
                <c:pt idx="798">
                  <c:v>73.819999694824205</c:v>
                </c:pt>
                <c:pt idx="799">
                  <c:v>73.010002136230398</c:v>
                </c:pt>
                <c:pt idx="800">
                  <c:v>73.379997253417898</c:v>
                </c:pt>
                <c:pt idx="801">
                  <c:v>72.599998474121094</c:v>
                </c:pt>
                <c:pt idx="802">
                  <c:v>71.029998779296804</c:v>
                </c:pt>
                <c:pt idx="803">
                  <c:v>68.699996948242102</c:v>
                </c:pt>
                <c:pt idx="804">
                  <c:v>69.800003051757798</c:v>
                </c:pt>
                <c:pt idx="805">
                  <c:v>70.540000915527301</c:v>
                </c:pt>
                <c:pt idx="806">
                  <c:v>73.400001525878906</c:v>
                </c:pt>
                <c:pt idx="807">
                  <c:v>76.120002746582003</c:v>
                </c:pt>
                <c:pt idx="808">
                  <c:v>77.680000305175696</c:v>
                </c:pt>
                <c:pt idx="809">
                  <c:v>80.75</c:v>
                </c:pt>
                <c:pt idx="810">
                  <c:v>83</c:v>
                </c:pt>
                <c:pt idx="811">
                  <c:v>86.110000610351506</c:v>
                </c:pt>
                <c:pt idx="812">
                  <c:v>87.459999084472599</c:v>
                </c:pt>
                <c:pt idx="813">
                  <c:v>86.199996948242102</c:v>
                </c:pt>
                <c:pt idx="814">
                  <c:v>77.620002746582003</c:v>
                </c:pt>
                <c:pt idx="815">
                  <c:v>78.760002136230398</c:v>
                </c:pt>
                <c:pt idx="816">
                  <c:v>79.989997863769503</c:v>
                </c:pt>
                <c:pt idx="817">
                  <c:v>80.370002746582003</c:v>
                </c:pt>
                <c:pt idx="818">
                  <c:v>82.580001831054602</c:v>
                </c:pt>
                <c:pt idx="819">
                  <c:v>81.669998168945298</c:v>
                </c:pt>
                <c:pt idx="820">
                  <c:v>83.699996948242102</c:v>
                </c:pt>
                <c:pt idx="821">
                  <c:v>83.800003051757798</c:v>
                </c:pt>
                <c:pt idx="822">
                  <c:v>83.680000305175696</c:v>
                </c:pt>
                <c:pt idx="823">
                  <c:v>82.970001220703097</c:v>
                </c:pt>
                <c:pt idx="824">
                  <c:v>83.150001525878906</c:v>
                </c:pt>
                <c:pt idx="825">
                  <c:v>83.75</c:v>
                </c:pt>
                <c:pt idx="826">
                  <c:v>83.800003051757798</c:v>
                </c:pt>
                <c:pt idx="827">
                  <c:v>81.680000305175696</c:v>
                </c:pt>
                <c:pt idx="828">
                  <c:v>81.599998474121094</c:v>
                </c:pt>
                <c:pt idx="829">
                  <c:v>83.139999389648395</c:v>
                </c:pt>
                <c:pt idx="830">
                  <c:v>83.330001831054602</c:v>
                </c:pt>
                <c:pt idx="831">
                  <c:v>83.099998474121094</c:v>
                </c:pt>
                <c:pt idx="832">
                  <c:v>81.169998168945298</c:v>
                </c:pt>
                <c:pt idx="833">
                  <c:v>81.699996948242102</c:v>
                </c:pt>
                <c:pt idx="834">
                  <c:v>80.620002746582003</c:v>
                </c:pt>
                <c:pt idx="835">
                  <c:v>82.5</c:v>
                </c:pt>
                <c:pt idx="836">
                  <c:v>83.709999084472599</c:v>
                </c:pt>
                <c:pt idx="837">
                  <c:v>83.129997253417898</c:v>
                </c:pt>
                <c:pt idx="838">
                  <c:v>82.139999389648395</c:v>
                </c:pt>
                <c:pt idx="839">
                  <c:v>86.190002441406193</c:v>
                </c:pt>
                <c:pt idx="840">
                  <c:v>85.5</c:v>
                </c:pt>
                <c:pt idx="841">
                  <c:v>84.040000915527301</c:v>
                </c:pt>
                <c:pt idx="842">
                  <c:v>80.040000915527301</c:v>
                </c:pt>
                <c:pt idx="843">
                  <c:v>82.690002441406193</c:v>
                </c:pt>
                <c:pt idx="844">
                  <c:v>82.290000915527301</c:v>
                </c:pt>
                <c:pt idx="845">
                  <c:v>85.760002136230398</c:v>
                </c:pt>
                <c:pt idx="846">
                  <c:v>84.790000915527301</c:v>
                </c:pt>
                <c:pt idx="847">
                  <c:v>88.980003356933594</c:v>
                </c:pt>
                <c:pt idx="848">
                  <c:v>85.319999694824205</c:v>
                </c:pt>
                <c:pt idx="849">
                  <c:v>81.739997863769503</c:v>
                </c:pt>
                <c:pt idx="850">
                  <c:v>83.230003356933594</c:v>
                </c:pt>
                <c:pt idx="851">
                  <c:v>80.980003356933594</c:v>
                </c:pt>
                <c:pt idx="852">
                  <c:v>81.160003662109304</c:v>
                </c:pt>
                <c:pt idx="853">
                  <c:v>83.260002136230398</c:v>
                </c:pt>
                <c:pt idx="854">
                  <c:v>82.300003051757798</c:v>
                </c:pt>
                <c:pt idx="855">
                  <c:v>79.599998474121094</c:v>
                </c:pt>
                <c:pt idx="856">
                  <c:v>79.5</c:v>
                </c:pt>
                <c:pt idx="857">
                  <c:v>79.919998168945298</c:v>
                </c:pt>
                <c:pt idx="858">
                  <c:v>82.620002746582003</c:v>
                </c:pt>
                <c:pt idx="859">
                  <c:v>82</c:v>
                </c:pt>
                <c:pt idx="860">
                  <c:v>83.589996337890597</c:v>
                </c:pt>
                <c:pt idx="861">
                  <c:v>83</c:v>
                </c:pt>
                <c:pt idx="862">
                  <c:v>84.190002441406193</c:v>
                </c:pt>
                <c:pt idx="863">
                  <c:v>85.050003051757798</c:v>
                </c:pt>
                <c:pt idx="864">
                  <c:v>86</c:v>
                </c:pt>
                <c:pt idx="865">
                  <c:v>87.019996643066406</c:v>
                </c:pt>
                <c:pt idx="866">
                  <c:v>85.239997863769503</c:v>
                </c:pt>
                <c:pt idx="867">
                  <c:v>86.050003051757798</c:v>
                </c:pt>
                <c:pt idx="868">
                  <c:v>85.459999084472599</c:v>
                </c:pt>
                <c:pt idx="869">
                  <c:v>84.010002136230398</c:v>
                </c:pt>
                <c:pt idx="870">
                  <c:v>86.949996948242102</c:v>
                </c:pt>
                <c:pt idx="871">
                  <c:v>91.980003356933594</c:v>
                </c:pt>
                <c:pt idx="872">
                  <c:v>91.779998779296804</c:v>
                </c:pt>
                <c:pt idx="873">
                  <c:v>93.129997253417898</c:v>
                </c:pt>
                <c:pt idx="874">
                  <c:v>91.279998779296804</c:v>
                </c:pt>
                <c:pt idx="875">
                  <c:v>91.650001525878906</c:v>
                </c:pt>
                <c:pt idx="876">
                  <c:v>93.160003662109304</c:v>
                </c:pt>
                <c:pt idx="877">
                  <c:v>92.970001220703097</c:v>
                </c:pt>
                <c:pt idx="878">
                  <c:v>89.099998474121094</c:v>
                </c:pt>
                <c:pt idx="879">
                  <c:v>90.239997863769503</c:v>
                </c:pt>
                <c:pt idx="880">
                  <c:v>90</c:v>
                </c:pt>
                <c:pt idx="881">
                  <c:v>88.489997863769503</c:v>
                </c:pt>
                <c:pt idx="882">
                  <c:v>88.010002136230398</c:v>
                </c:pt>
                <c:pt idx="883">
                  <c:v>89.129997253417898</c:v>
                </c:pt>
                <c:pt idx="884">
                  <c:v>87.930000305175696</c:v>
                </c:pt>
                <c:pt idx="885">
                  <c:v>88.989997863769503</c:v>
                </c:pt>
                <c:pt idx="886">
                  <c:v>88.389999389648395</c:v>
                </c:pt>
                <c:pt idx="887">
                  <c:v>87.410003662109304</c:v>
                </c:pt>
                <c:pt idx="888">
                  <c:v>86.5</c:v>
                </c:pt>
                <c:pt idx="889">
                  <c:v>87.099998474121094</c:v>
                </c:pt>
                <c:pt idx="890">
                  <c:v>87.959999084472599</c:v>
                </c:pt>
                <c:pt idx="891">
                  <c:v>84</c:v>
                </c:pt>
                <c:pt idx="892">
                  <c:v>80.099998474121094</c:v>
                </c:pt>
                <c:pt idx="893">
                  <c:v>82.209999084472599</c:v>
                </c:pt>
                <c:pt idx="894">
                  <c:v>84.489997863769503</c:v>
                </c:pt>
                <c:pt idx="895">
                  <c:v>84.019996643066406</c:v>
                </c:pt>
                <c:pt idx="896">
                  <c:v>84.25</c:v>
                </c:pt>
                <c:pt idx="897">
                  <c:v>83.760002136230398</c:v>
                </c:pt>
                <c:pt idx="898">
                  <c:v>80.209999084472599</c:v>
                </c:pt>
                <c:pt idx="899">
                  <c:v>77.849998474121094</c:v>
                </c:pt>
                <c:pt idx="900">
                  <c:v>77.349998474121094</c:v>
                </c:pt>
                <c:pt idx="901">
                  <c:v>83.690002441406193</c:v>
                </c:pt>
                <c:pt idx="902">
                  <c:v>84.069999694824205</c:v>
                </c:pt>
                <c:pt idx="903">
                  <c:v>82.010002136230398</c:v>
                </c:pt>
                <c:pt idx="904">
                  <c:v>82</c:v>
                </c:pt>
                <c:pt idx="905">
                  <c:v>79.690002441406193</c:v>
                </c:pt>
                <c:pt idx="906">
                  <c:v>78.900001525878906</c:v>
                </c:pt>
                <c:pt idx="907">
                  <c:v>82</c:v>
                </c:pt>
                <c:pt idx="908">
                  <c:v>82.139999389648395</c:v>
                </c:pt>
                <c:pt idx="909">
                  <c:v>82.730003356933594</c:v>
                </c:pt>
                <c:pt idx="910">
                  <c:v>83.790000915527301</c:v>
                </c:pt>
                <c:pt idx="911">
                  <c:v>83.199996948242102</c:v>
                </c:pt>
                <c:pt idx="912">
                  <c:v>84.260002136230398</c:v>
                </c:pt>
                <c:pt idx="913">
                  <c:v>85.050003051757798</c:v>
                </c:pt>
                <c:pt idx="914">
                  <c:v>82.580001831054602</c:v>
                </c:pt>
                <c:pt idx="915">
                  <c:v>84.290000915527301</c:v>
                </c:pt>
                <c:pt idx="916">
                  <c:v>86.510002136230398</c:v>
                </c:pt>
                <c:pt idx="917">
                  <c:v>86.379997253417898</c:v>
                </c:pt>
                <c:pt idx="918">
                  <c:v>86.930000305175696</c:v>
                </c:pt>
                <c:pt idx="919">
                  <c:v>85.559997558593693</c:v>
                </c:pt>
                <c:pt idx="920">
                  <c:v>84.480003356933594</c:v>
                </c:pt>
                <c:pt idx="921">
                  <c:v>83.720001220703097</c:v>
                </c:pt>
                <c:pt idx="922">
                  <c:v>83.599998474121094</c:v>
                </c:pt>
                <c:pt idx="923">
                  <c:v>83.150001525878906</c:v>
                </c:pt>
                <c:pt idx="924">
                  <c:v>84.199996948242102</c:v>
                </c:pt>
                <c:pt idx="925">
                  <c:v>84.230003356933594</c:v>
                </c:pt>
                <c:pt idx="926">
                  <c:v>83.540000915527301</c:v>
                </c:pt>
                <c:pt idx="927">
                  <c:v>82.160003662109304</c:v>
                </c:pt>
                <c:pt idx="928">
                  <c:v>82.300003051757798</c:v>
                </c:pt>
                <c:pt idx="929">
                  <c:v>85.269996643066406</c:v>
                </c:pt>
                <c:pt idx="930">
                  <c:v>84.480003356933594</c:v>
                </c:pt>
                <c:pt idx="931">
                  <c:v>83.25</c:v>
                </c:pt>
                <c:pt idx="932">
                  <c:v>81.370002746582003</c:v>
                </c:pt>
                <c:pt idx="933">
                  <c:v>83.300003051757798</c:v>
                </c:pt>
                <c:pt idx="934">
                  <c:v>84.279998779296804</c:v>
                </c:pt>
                <c:pt idx="935">
                  <c:v>84.879997253417898</c:v>
                </c:pt>
                <c:pt idx="936">
                  <c:v>85.199996948242102</c:v>
                </c:pt>
                <c:pt idx="937">
                  <c:v>85.860000610351506</c:v>
                </c:pt>
                <c:pt idx="938">
                  <c:v>85.800003051757798</c:v>
                </c:pt>
                <c:pt idx="939">
                  <c:v>85.019996643066406</c:v>
                </c:pt>
                <c:pt idx="940">
                  <c:v>85.5</c:v>
                </c:pt>
                <c:pt idx="941">
                  <c:v>84.309997558593693</c:v>
                </c:pt>
                <c:pt idx="942">
                  <c:v>84.309997558593693</c:v>
                </c:pt>
                <c:pt idx="943">
                  <c:v>85.599998474121094</c:v>
                </c:pt>
                <c:pt idx="944">
                  <c:v>85.949996948242102</c:v>
                </c:pt>
                <c:pt idx="945">
                  <c:v>89.900001525878906</c:v>
                </c:pt>
                <c:pt idx="946">
                  <c:v>87.980003356933594</c:v>
                </c:pt>
                <c:pt idx="947">
                  <c:v>88</c:v>
                </c:pt>
                <c:pt idx="948">
                  <c:v>86.489997863769503</c:v>
                </c:pt>
                <c:pt idx="949">
                  <c:v>87.110000610351506</c:v>
                </c:pt>
                <c:pt idx="950">
                  <c:v>85.309997558593693</c:v>
                </c:pt>
                <c:pt idx="951">
                  <c:v>83.190002441406193</c:v>
                </c:pt>
                <c:pt idx="952">
                  <c:v>86.370002746582003</c:v>
                </c:pt>
                <c:pt idx="953">
                  <c:v>85.339996337890597</c:v>
                </c:pt>
                <c:pt idx="954">
                  <c:v>85.160003662109304</c:v>
                </c:pt>
                <c:pt idx="955">
                  <c:v>84.5</c:v>
                </c:pt>
                <c:pt idx="956">
                  <c:v>85.769996643066406</c:v>
                </c:pt>
                <c:pt idx="957">
                  <c:v>84.160003662109304</c:v>
                </c:pt>
                <c:pt idx="958">
                  <c:v>82.699996948242102</c:v>
                </c:pt>
                <c:pt idx="959">
                  <c:v>80.449996948242102</c:v>
                </c:pt>
                <c:pt idx="960">
                  <c:v>79.809997558593693</c:v>
                </c:pt>
                <c:pt idx="961">
                  <c:v>80.879997253417898</c:v>
                </c:pt>
                <c:pt idx="962">
                  <c:v>81.010002136230398</c:v>
                </c:pt>
                <c:pt idx="963">
                  <c:v>81.599998474121094</c:v>
                </c:pt>
                <c:pt idx="964">
                  <c:v>82.120002746582003</c:v>
                </c:pt>
                <c:pt idx="965">
                  <c:v>83.610000610351506</c:v>
                </c:pt>
                <c:pt idx="966">
                  <c:v>84.349998474121094</c:v>
                </c:pt>
                <c:pt idx="967">
                  <c:v>81.709999084472599</c:v>
                </c:pt>
                <c:pt idx="968">
                  <c:v>81.599998474121094</c:v>
                </c:pt>
                <c:pt idx="969">
                  <c:v>81.900001525878906</c:v>
                </c:pt>
                <c:pt idx="970">
                  <c:v>84.940002441406193</c:v>
                </c:pt>
                <c:pt idx="971">
                  <c:v>82.919998168945298</c:v>
                </c:pt>
                <c:pt idx="972">
                  <c:v>81.5</c:v>
                </c:pt>
                <c:pt idx="973">
                  <c:v>82.610000610351506</c:v>
                </c:pt>
                <c:pt idx="974">
                  <c:v>82.5</c:v>
                </c:pt>
                <c:pt idx="975">
                  <c:v>81.620002746582003</c:v>
                </c:pt>
                <c:pt idx="976">
                  <c:v>83.269996643066406</c:v>
                </c:pt>
                <c:pt idx="977">
                  <c:v>82.550003051757798</c:v>
                </c:pt>
                <c:pt idx="978">
                  <c:v>82.599998474121094</c:v>
                </c:pt>
                <c:pt idx="979">
                  <c:v>82.720001220703097</c:v>
                </c:pt>
                <c:pt idx="980">
                  <c:v>81.279998779296804</c:v>
                </c:pt>
                <c:pt idx="981">
                  <c:v>81.669998168945298</c:v>
                </c:pt>
                <c:pt idx="982">
                  <c:v>81.139999389648395</c:v>
                </c:pt>
                <c:pt idx="983">
                  <c:v>80.470001220703097</c:v>
                </c:pt>
                <c:pt idx="984">
                  <c:v>80.379997253417898</c:v>
                </c:pt>
                <c:pt idx="985">
                  <c:v>82.769996643066406</c:v>
                </c:pt>
                <c:pt idx="986">
                  <c:v>84.489997863769503</c:v>
                </c:pt>
                <c:pt idx="987">
                  <c:v>82.610000610351506</c:v>
                </c:pt>
                <c:pt idx="988">
                  <c:v>81.309997558593693</c:v>
                </c:pt>
                <c:pt idx="989">
                  <c:v>81.599998474121094</c:v>
                </c:pt>
                <c:pt idx="990">
                  <c:v>80.389999389648395</c:v>
                </c:pt>
                <c:pt idx="991">
                  <c:v>81.900001525878906</c:v>
                </c:pt>
                <c:pt idx="992">
                  <c:v>82.330001831054602</c:v>
                </c:pt>
                <c:pt idx="993">
                  <c:v>82.360000610351506</c:v>
                </c:pt>
                <c:pt idx="994">
                  <c:v>83.419998168945298</c:v>
                </c:pt>
                <c:pt idx="995">
                  <c:v>80.25</c:v>
                </c:pt>
                <c:pt idx="996">
                  <c:v>80.190002441406193</c:v>
                </c:pt>
                <c:pt idx="997">
                  <c:v>77.739997863769503</c:v>
                </c:pt>
                <c:pt idx="998">
                  <c:v>79.25</c:v>
                </c:pt>
                <c:pt idx="999">
                  <c:v>77.190002441406193</c:v>
                </c:pt>
                <c:pt idx="1000">
                  <c:v>78.510002136230398</c:v>
                </c:pt>
                <c:pt idx="1001">
                  <c:v>78.400001525878906</c:v>
                </c:pt>
                <c:pt idx="1002">
                  <c:v>76.769996643066406</c:v>
                </c:pt>
                <c:pt idx="1003">
                  <c:v>76.919998168945298</c:v>
                </c:pt>
                <c:pt idx="1004">
                  <c:v>77.319999694824205</c:v>
                </c:pt>
                <c:pt idx="1005">
                  <c:v>77.099998474121094</c:v>
                </c:pt>
                <c:pt idx="1006">
                  <c:v>76.25</c:v>
                </c:pt>
                <c:pt idx="1007">
                  <c:v>76.010002136230398</c:v>
                </c:pt>
                <c:pt idx="1008">
                  <c:v>74.599998474121094</c:v>
                </c:pt>
                <c:pt idx="1009">
                  <c:v>74.739997863769503</c:v>
                </c:pt>
                <c:pt idx="1010">
                  <c:v>74.830001831054602</c:v>
                </c:pt>
                <c:pt idx="1011">
                  <c:v>76.809997558593693</c:v>
                </c:pt>
                <c:pt idx="1012">
                  <c:v>77.519996643066406</c:v>
                </c:pt>
                <c:pt idx="1013">
                  <c:v>76.099998474121094</c:v>
                </c:pt>
                <c:pt idx="1014">
                  <c:v>75.680000305175696</c:v>
                </c:pt>
                <c:pt idx="1015">
                  <c:v>74.870002746582003</c:v>
                </c:pt>
                <c:pt idx="1016">
                  <c:v>73.419998168945298</c:v>
                </c:pt>
                <c:pt idx="1017">
                  <c:v>75.089996337890597</c:v>
                </c:pt>
                <c:pt idx="1018">
                  <c:v>76.169998168945298</c:v>
                </c:pt>
                <c:pt idx="1019">
                  <c:v>75.5</c:v>
                </c:pt>
                <c:pt idx="1020">
                  <c:v>74.949996948242102</c:v>
                </c:pt>
                <c:pt idx="1021">
                  <c:v>75.349998474121094</c:v>
                </c:pt>
                <c:pt idx="1022">
                  <c:v>73.440002441406193</c:v>
                </c:pt>
                <c:pt idx="1023">
                  <c:v>73.400001525878906</c:v>
                </c:pt>
                <c:pt idx="1024">
                  <c:v>76.099998474121094</c:v>
                </c:pt>
                <c:pt idx="1025">
                  <c:v>77.75</c:v>
                </c:pt>
                <c:pt idx="1026">
                  <c:v>77.419998168945298</c:v>
                </c:pt>
                <c:pt idx="1027">
                  <c:v>78.190002441406193</c:v>
                </c:pt>
                <c:pt idx="1028">
                  <c:v>78.209999084472599</c:v>
                </c:pt>
                <c:pt idx="1029">
                  <c:v>78.440002441406193</c:v>
                </c:pt>
                <c:pt idx="1030">
                  <c:v>77.419998168945298</c:v>
                </c:pt>
                <c:pt idx="1031">
                  <c:v>77.290000915527301</c:v>
                </c:pt>
                <c:pt idx="1032">
                  <c:v>73.800003051757798</c:v>
                </c:pt>
                <c:pt idx="1033">
                  <c:v>72.800003051757798</c:v>
                </c:pt>
                <c:pt idx="1034">
                  <c:v>75.480003356933594</c:v>
                </c:pt>
                <c:pt idx="1035">
                  <c:v>79.790000915527301</c:v>
                </c:pt>
                <c:pt idx="1036">
                  <c:v>79.379997253417898</c:v>
                </c:pt>
                <c:pt idx="1037">
                  <c:v>80.489997863769503</c:v>
                </c:pt>
                <c:pt idx="1038">
                  <c:v>78.809997558593693</c:v>
                </c:pt>
                <c:pt idx="1039">
                  <c:v>78.830001831054602</c:v>
                </c:pt>
                <c:pt idx="1040">
                  <c:v>79.730003356933594</c:v>
                </c:pt>
                <c:pt idx="1041">
                  <c:v>80.099998474121094</c:v>
                </c:pt>
                <c:pt idx="1042">
                  <c:v>79.779998779296804</c:v>
                </c:pt>
                <c:pt idx="1043">
                  <c:v>81.199996948242102</c:v>
                </c:pt>
                <c:pt idx="1044">
                  <c:v>85.110000610351506</c:v>
                </c:pt>
                <c:pt idx="1045">
                  <c:v>88.410003662109304</c:v>
                </c:pt>
                <c:pt idx="1046">
                  <c:v>89.050003051757798</c:v>
                </c:pt>
                <c:pt idx="1047">
                  <c:v>90.470001220703097</c:v>
                </c:pt>
                <c:pt idx="1048">
                  <c:v>87.690002441406193</c:v>
                </c:pt>
                <c:pt idx="1049">
                  <c:v>89.510002136230398</c:v>
                </c:pt>
                <c:pt idx="1050">
                  <c:v>92.589996337890597</c:v>
                </c:pt>
                <c:pt idx="1051">
                  <c:v>92.559997558593693</c:v>
                </c:pt>
                <c:pt idx="1052">
                  <c:v>93.769996643066406</c:v>
                </c:pt>
                <c:pt idx="1053">
                  <c:v>93.970001220703097</c:v>
                </c:pt>
                <c:pt idx="1054">
                  <c:v>94.379997253417898</c:v>
                </c:pt>
                <c:pt idx="1055">
                  <c:v>93.470001220703097</c:v>
                </c:pt>
                <c:pt idx="1056">
                  <c:v>90.010002136230398</c:v>
                </c:pt>
                <c:pt idx="1057">
                  <c:v>88.449996948242102</c:v>
                </c:pt>
                <c:pt idx="1058">
                  <c:v>91</c:v>
                </c:pt>
                <c:pt idx="1059">
                  <c:v>91.860000610351506</c:v>
                </c:pt>
                <c:pt idx="1060">
                  <c:v>87.870002746582003</c:v>
                </c:pt>
                <c:pt idx="1061">
                  <c:v>86.529998779296804</c:v>
                </c:pt>
                <c:pt idx="1062">
                  <c:v>84.949996948242102</c:v>
                </c:pt>
                <c:pt idx="1063">
                  <c:v>86.029998779296804</c:v>
                </c:pt>
                <c:pt idx="1064">
                  <c:v>86.779998779296804</c:v>
                </c:pt>
                <c:pt idx="1065">
                  <c:v>84</c:v>
                </c:pt>
                <c:pt idx="1066">
                  <c:v>83.589996337890597</c:v>
                </c:pt>
                <c:pt idx="1067">
                  <c:v>83.669998168945298</c:v>
                </c:pt>
                <c:pt idx="1068">
                  <c:v>84.949996948242102</c:v>
                </c:pt>
                <c:pt idx="1069">
                  <c:v>82.220001220703097</c:v>
                </c:pt>
                <c:pt idx="1070">
                  <c:v>84.919998168945298</c:v>
                </c:pt>
                <c:pt idx="1071">
                  <c:v>87.300003051757798</c:v>
                </c:pt>
                <c:pt idx="1072">
                  <c:v>87.510002136230398</c:v>
                </c:pt>
                <c:pt idx="1073">
                  <c:v>88.199996948242102</c:v>
                </c:pt>
                <c:pt idx="1074">
                  <c:v>89.580001831054602</c:v>
                </c:pt>
                <c:pt idx="1075">
                  <c:v>88.709999084472599</c:v>
                </c:pt>
                <c:pt idx="1076">
                  <c:v>88.720001220703097</c:v>
                </c:pt>
                <c:pt idx="1077">
                  <c:v>91.199996948242102</c:v>
                </c:pt>
                <c:pt idx="1078">
                  <c:v>89.199996948242102</c:v>
                </c:pt>
                <c:pt idx="1079">
                  <c:v>89.25</c:v>
                </c:pt>
                <c:pt idx="1080">
                  <c:v>89.900001525878906</c:v>
                </c:pt>
                <c:pt idx="1081">
                  <c:v>87.099998474121094</c:v>
                </c:pt>
                <c:pt idx="1082">
                  <c:v>85.410003662109304</c:v>
                </c:pt>
                <c:pt idx="1083">
                  <c:v>86.230003356933594</c:v>
                </c:pt>
                <c:pt idx="1084">
                  <c:v>84.720001220703097</c:v>
                </c:pt>
                <c:pt idx="1085">
                  <c:v>85.599998474121094</c:v>
                </c:pt>
                <c:pt idx="1086">
                  <c:v>86</c:v>
                </c:pt>
                <c:pt idx="1087">
                  <c:v>86.650001525878906</c:v>
                </c:pt>
                <c:pt idx="1088">
                  <c:v>88</c:v>
                </c:pt>
                <c:pt idx="1089">
                  <c:v>86.769996643066406</c:v>
                </c:pt>
                <c:pt idx="1090">
                  <c:v>86.110000610351506</c:v>
                </c:pt>
                <c:pt idx="1091">
                  <c:v>86.050003051757798</c:v>
                </c:pt>
                <c:pt idx="1092">
                  <c:v>85.440002441406193</c:v>
                </c:pt>
                <c:pt idx="1093">
                  <c:v>84.980003356933594</c:v>
                </c:pt>
                <c:pt idx="1094">
                  <c:v>85.470001220703097</c:v>
                </c:pt>
                <c:pt idx="1095">
                  <c:v>82.449996948242102</c:v>
                </c:pt>
                <c:pt idx="1096">
                  <c:v>83.110000610351506</c:v>
                </c:pt>
                <c:pt idx="1097">
                  <c:v>83.110000610351506</c:v>
                </c:pt>
                <c:pt idx="1098">
                  <c:v>84.199996948242102</c:v>
                </c:pt>
                <c:pt idx="1099">
                  <c:v>83.639999389648395</c:v>
                </c:pt>
                <c:pt idx="1100">
                  <c:v>82.099998474121094</c:v>
                </c:pt>
                <c:pt idx="1101">
                  <c:v>83.839996337890597</c:v>
                </c:pt>
                <c:pt idx="1102">
                  <c:v>84.400001525878906</c:v>
                </c:pt>
                <c:pt idx="1103">
                  <c:v>84.599998474121094</c:v>
                </c:pt>
                <c:pt idx="1104">
                  <c:v>84.269996643066406</c:v>
                </c:pt>
                <c:pt idx="1105">
                  <c:v>90.260002136230398</c:v>
                </c:pt>
                <c:pt idx="1106">
                  <c:v>90.379997253417898</c:v>
                </c:pt>
                <c:pt idx="1107">
                  <c:v>97.010002136230398</c:v>
                </c:pt>
                <c:pt idx="1108">
                  <c:v>92.110000610351506</c:v>
                </c:pt>
                <c:pt idx="1109">
                  <c:v>95.150001525878906</c:v>
                </c:pt>
                <c:pt idx="1110">
                  <c:v>96.620002746582003</c:v>
                </c:pt>
                <c:pt idx="1111">
                  <c:v>97.949996948242102</c:v>
                </c:pt>
                <c:pt idx="1112">
                  <c:v>98.120002746582003</c:v>
                </c:pt>
                <c:pt idx="1113">
                  <c:v>98.010002136230398</c:v>
                </c:pt>
                <c:pt idx="1114">
                  <c:v>98.300003051757798</c:v>
                </c:pt>
                <c:pt idx="1115">
                  <c:v>99.989997863769503</c:v>
                </c:pt>
                <c:pt idx="1116">
                  <c:v>99.139999389648395</c:v>
                </c:pt>
                <c:pt idx="1117">
                  <c:v>102.06999969482401</c:v>
                </c:pt>
                <c:pt idx="1118">
                  <c:v>102.11000061035099</c:v>
                </c:pt>
                <c:pt idx="1119">
                  <c:v>103.699996948242</c:v>
                </c:pt>
                <c:pt idx="1120">
                  <c:v>105.669998168945</c:v>
                </c:pt>
                <c:pt idx="1121">
                  <c:v>108.900001525878</c:v>
                </c:pt>
                <c:pt idx="1122">
                  <c:v>106.470001220703</c:v>
                </c:pt>
                <c:pt idx="1123">
                  <c:v>105.430000305175</c:v>
                </c:pt>
                <c:pt idx="1124">
                  <c:v>103.309997558593</c:v>
                </c:pt>
                <c:pt idx="1125">
                  <c:v>104.09999847412099</c:v>
                </c:pt>
                <c:pt idx="1126">
                  <c:v>104.36000061035099</c:v>
                </c:pt>
                <c:pt idx="1127">
                  <c:v>102.650001525878</c:v>
                </c:pt>
                <c:pt idx="1128">
                  <c:v>104</c:v>
                </c:pt>
                <c:pt idx="1129">
                  <c:v>103.050003051757</c:v>
                </c:pt>
                <c:pt idx="1130">
                  <c:v>100.720001220703</c:v>
                </c:pt>
                <c:pt idx="1131">
                  <c:v>99.519996643066406</c:v>
                </c:pt>
                <c:pt idx="1132">
                  <c:v>100.34999847412099</c:v>
                </c:pt>
                <c:pt idx="1133">
                  <c:v>103.309997558593</c:v>
                </c:pt>
                <c:pt idx="1134">
                  <c:v>106.69000244140599</c:v>
                </c:pt>
                <c:pt idx="1135">
                  <c:v>108.83999633789</c:v>
                </c:pt>
                <c:pt idx="1136">
                  <c:v>105.86000061035099</c:v>
                </c:pt>
                <c:pt idx="1137">
                  <c:v>104.98999786376901</c:v>
                </c:pt>
                <c:pt idx="1138">
                  <c:v>105.08000183105401</c:v>
                </c:pt>
                <c:pt idx="1139">
                  <c:v>105.98999786376901</c:v>
                </c:pt>
                <c:pt idx="1140">
                  <c:v>104.480003356933</c:v>
                </c:pt>
                <c:pt idx="1141">
                  <c:v>101.720001220703</c:v>
                </c:pt>
                <c:pt idx="1142">
                  <c:v>104.050003051757</c:v>
                </c:pt>
                <c:pt idx="1143">
                  <c:v>103.800003051757</c:v>
                </c:pt>
                <c:pt idx="1144">
                  <c:v>102.309997558593</c:v>
                </c:pt>
                <c:pt idx="1145">
                  <c:v>103.51999664306599</c:v>
                </c:pt>
                <c:pt idx="1146">
                  <c:v>104.31999969482401</c:v>
                </c:pt>
                <c:pt idx="1147">
                  <c:v>105.48999786376901</c:v>
                </c:pt>
                <c:pt idx="1148">
                  <c:v>112.58999633789</c:v>
                </c:pt>
                <c:pt idx="1149">
                  <c:v>114.980003356933</c:v>
                </c:pt>
                <c:pt idx="1150">
                  <c:v>114.11000061035099</c:v>
                </c:pt>
                <c:pt idx="1151">
                  <c:v>108.5</c:v>
                </c:pt>
                <c:pt idx="1152">
                  <c:v>106.120002746582</c:v>
                </c:pt>
                <c:pt idx="1153">
                  <c:v>104.01999664306599</c:v>
                </c:pt>
                <c:pt idx="1154">
                  <c:v>105.5</c:v>
                </c:pt>
                <c:pt idx="1155">
                  <c:v>105.300003051757</c:v>
                </c:pt>
                <c:pt idx="1156">
                  <c:v>105.540000915527</c:v>
                </c:pt>
                <c:pt idx="1157">
                  <c:v>105.709999084472</c:v>
                </c:pt>
                <c:pt idx="1158">
                  <c:v>104.680000305175</c:v>
                </c:pt>
                <c:pt idx="1159">
                  <c:v>97.870002746582003</c:v>
                </c:pt>
                <c:pt idx="1160">
                  <c:v>95.25</c:v>
                </c:pt>
                <c:pt idx="1161">
                  <c:v>98.309997558593693</c:v>
                </c:pt>
                <c:pt idx="1162">
                  <c:v>99.449996948242102</c:v>
                </c:pt>
                <c:pt idx="1163">
                  <c:v>95.459999084472599</c:v>
                </c:pt>
                <c:pt idx="1164">
                  <c:v>96.209999084472599</c:v>
                </c:pt>
                <c:pt idx="1165">
                  <c:v>95.949996948242102</c:v>
                </c:pt>
                <c:pt idx="1166">
                  <c:v>94.629997253417898</c:v>
                </c:pt>
                <c:pt idx="1167">
                  <c:v>94.410003662109304</c:v>
                </c:pt>
                <c:pt idx="1168">
                  <c:v>93.550003051757798</c:v>
                </c:pt>
                <c:pt idx="1169">
                  <c:v>93.809997558593693</c:v>
                </c:pt>
                <c:pt idx="1170">
                  <c:v>97.650001525878906</c:v>
                </c:pt>
                <c:pt idx="1171">
                  <c:v>95.5</c:v>
                </c:pt>
                <c:pt idx="1172">
                  <c:v>99.989997863769503</c:v>
                </c:pt>
                <c:pt idx="1173">
                  <c:v>96.900001525878906</c:v>
                </c:pt>
                <c:pt idx="1174">
                  <c:v>96.150001525878906</c:v>
                </c:pt>
                <c:pt idx="1175">
                  <c:v>94.830001831054602</c:v>
                </c:pt>
                <c:pt idx="1176">
                  <c:v>96.489997863769503</c:v>
                </c:pt>
                <c:pt idx="1177">
                  <c:v>96.120002746582003</c:v>
                </c:pt>
                <c:pt idx="1178">
                  <c:v>98.709999084472599</c:v>
                </c:pt>
                <c:pt idx="1179">
                  <c:v>101.01000213623</c:v>
                </c:pt>
                <c:pt idx="1180">
                  <c:v>101.639999389648</c:v>
                </c:pt>
                <c:pt idx="1181">
                  <c:v>106.309997558593</c:v>
                </c:pt>
                <c:pt idx="1182">
                  <c:v>105.91000366210901</c:v>
                </c:pt>
                <c:pt idx="1183">
                  <c:v>106.620002746582</c:v>
                </c:pt>
                <c:pt idx="1184">
                  <c:v>108.180000305175</c:v>
                </c:pt>
                <c:pt idx="1185">
                  <c:v>109.5</c:v>
                </c:pt>
                <c:pt idx="1186">
                  <c:v>111.889999389648</c:v>
                </c:pt>
                <c:pt idx="1187">
                  <c:v>111.629997253417</c:v>
                </c:pt>
                <c:pt idx="1188">
                  <c:v>111.56999969482401</c:v>
                </c:pt>
                <c:pt idx="1189">
                  <c:v>109.680000305175</c:v>
                </c:pt>
                <c:pt idx="1190">
                  <c:v>106.199996948242</c:v>
                </c:pt>
                <c:pt idx="1191">
                  <c:v>105.699996948242</c:v>
                </c:pt>
                <c:pt idx="1192">
                  <c:v>101.73999786376901</c:v>
                </c:pt>
                <c:pt idx="1193">
                  <c:v>103.25</c:v>
                </c:pt>
                <c:pt idx="1194">
                  <c:v>103.889999389648</c:v>
                </c:pt>
                <c:pt idx="1195">
                  <c:v>102.25</c:v>
                </c:pt>
                <c:pt idx="1196">
                  <c:v>103.23999786376901</c:v>
                </c:pt>
                <c:pt idx="1197">
                  <c:v>101.76999664306599</c:v>
                </c:pt>
                <c:pt idx="1198">
                  <c:v>103.25</c:v>
                </c:pt>
                <c:pt idx="1199">
                  <c:v>102.540000915527</c:v>
                </c:pt>
                <c:pt idx="1200">
                  <c:v>102.98999786376901</c:v>
                </c:pt>
                <c:pt idx="1201">
                  <c:v>104.77999877929599</c:v>
                </c:pt>
                <c:pt idx="1202">
                  <c:v>100.76000213623</c:v>
                </c:pt>
                <c:pt idx="1203">
                  <c:v>101.120002746582</c:v>
                </c:pt>
                <c:pt idx="1204">
                  <c:v>101.169998168945</c:v>
                </c:pt>
                <c:pt idx="1205">
                  <c:v>100.56999969482401</c:v>
                </c:pt>
                <c:pt idx="1206">
                  <c:v>102.970001220703</c:v>
                </c:pt>
                <c:pt idx="1207">
                  <c:v>104.730003356933</c:v>
                </c:pt>
                <c:pt idx="1208">
                  <c:v>105.08999633789</c:v>
                </c:pt>
                <c:pt idx="1209">
                  <c:v>106.059997558593</c:v>
                </c:pt>
                <c:pt idx="1210">
                  <c:v>107.19000244140599</c:v>
                </c:pt>
                <c:pt idx="1211">
                  <c:v>105.470001220703</c:v>
                </c:pt>
                <c:pt idx="1212">
                  <c:v>108.790000915527</c:v>
                </c:pt>
                <c:pt idx="1213">
                  <c:v>107.98999786376901</c:v>
                </c:pt>
                <c:pt idx="1214">
                  <c:v>106.449996948242</c:v>
                </c:pt>
                <c:pt idx="1215">
                  <c:v>103.51000213623</c:v>
                </c:pt>
                <c:pt idx="1216">
                  <c:v>106</c:v>
                </c:pt>
                <c:pt idx="1217">
                  <c:v>104.11000061035099</c:v>
                </c:pt>
                <c:pt idx="1218">
                  <c:v>106.470001220703</c:v>
                </c:pt>
                <c:pt idx="1219">
                  <c:v>105.01999664306599</c:v>
                </c:pt>
                <c:pt idx="1220">
                  <c:v>102.209999084472</c:v>
                </c:pt>
                <c:pt idx="1221">
                  <c:v>99.300003051757798</c:v>
                </c:pt>
                <c:pt idx="1222">
                  <c:v>101.639999389648</c:v>
                </c:pt>
                <c:pt idx="1223">
                  <c:v>101.150001525878</c:v>
                </c:pt>
                <c:pt idx="1224">
                  <c:v>103.31999969482401</c:v>
                </c:pt>
                <c:pt idx="1225">
                  <c:v>100.389999389648</c:v>
                </c:pt>
                <c:pt idx="1226">
                  <c:v>100.980003356933</c:v>
                </c:pt>
                <c:pt idx="1227">
                  <c:v>100.59999847412099</c:v>
                </c:pt>
                <c:pt idx="1228">
                  <c:v>99.25</c:v>
                </c:pt>
                <c:pt idx="1229">
                  <c:v>99.970001220703097</c:v>
                </c:pt>
                <c:pt idx="1230">
                  <c:v>100.540000915527</c:v>
                </c:pt>
                <c:pt idx="1231">
                  <c:v>100.77999877929599</c:v>
                </c:pt>
                <c:pt idx="1232">
                  <c:v>102.809997558593</c:v>
                </c:pt>
                <c:pt idx="1233">
                  <c:v>103.16000366210901</c:v>
                </c:pt>
                <c:pt idx="1234">
                  <c:v>103.199996948242</c:v>
                </c:pt>
                <c:pt idx="1235">
                  <c:v>104.5</c:v>
                </c:pt>
                <c:pt idx="1236">
                  <c:v>106.02999877929599</c:v>
                </c:pt>
                <c:pt idx="1237">
                  <c:v>102.75</c:v>
                </c:pt>
                <c:pt idx="1238">
                  <c:v>104.900001525878</c:v>
                </c:pt>
                <c:pt idx="1239">
                  <c:v>109.699996948242</c:v>
                </c:pt>
                <c:pt idx="1240">
                  <c:v>107.699996948242</c:v>
                </c:pt>
                <c:pt idx="1241">
                  <c:v>112.680000305175</c:v>
                </c:pt>
                <c:pt idx="1242">
                  <c:v>111.400001525878</c:v>
                </c:pt>
                <c:pt idx="1243">
                  <c:v>110</c:v>
                </c:pt>
                <c:pt idx="1244">
                  <c:v>112</c:v>
                </c:pt>
                <c:pt idx="1245">
                  <c:v>107.699996948242</c:v>
                </c:pt>
                <c:pt idx="1246">
                  <c:v>109.94000244140599</c:v>
                </c:pt>
                <c:pt idx="1247">
                  <c:v>109.889999389648</c:v>
                </c:pt>
                <c:pt idx="1248">
                  <c:v>106.98999786376901</c:v>
                </c:pt>
                <c:pt idx="1249">
                  <c:v>107.27999877929599</c:v>
                </c:pt>
                <c:pt idx="1250">
                  <c:v>109.16000366210901</c:v>
                </c:pt>
                <c:pt idx="1251">
                  <c:v>112.76999664306599</c:v>
                </c:pt>
                <c:pt idx="1252">
                  <c:v>110.169998168945</c:v>
                </c:pt>
                <c:pt idx="1253">
                  <c:v>109.809997558593</c:v>
                </c:pt>
                <c:pt idx="1254">
                  <c:v>109.27999877929599</c:v>
                </c:pt>
                <c:pt idx="1255">
                  <c:v>109.120002746582</c:v>
                </c:pt>
                <c:pt idx="1256">
                  <c:v>110.199996948242</c:v>
                </c:pt>
                <c:pt idx="1257">
                  <c:v>112.33999633789</c:v>
                </c:pt>
                <c:pt idx="1258">
                  <c:v>110.419998168945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9D-4BF6-8FF4-F8C8B4ECE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681473"/>
        <c:axId val="277121526"/>
      </c:lineChart>
      <c:catAx>
        <c:axId val="1584681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277121526"/>
        <c:crosses val="autoZero"/>
        <c:auto val="1"/>
        <c:lblAlgn val="ctr"/>
        <c:lblOffset val="100"/>
        <c:noMultiLvlLbl val="1"/>
      </c:catAx>
      <c:valAx>
        <c:axId val="277121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GMEXICOB.MX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5846814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KOFUBL.MX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FEMSA!$B$1</c:f>
              <c:strCache>
                <c:ptCount val="1"/>
                <c:pt idx="0">
                  <c:v>KOFUBL.MX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FEMSA!$A$2:$A$1260</c:f>
              <c:numCache>
                <c:formatCode>General</c:formatCode>
                <c:ptCount val="1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</c:numCache>
            </c:numRef>
          </c:cat>
          <c:val>
            <c:numRef>
              <c:f>FEMSA!$B$2:$B$1260</c:f>
              <c:numCache>
                <c:formatCode>General</c:formatCode>
                <c:ptCount val="1259"/>
                <c:pt idx="0">
                  <c:v>110.01000213623</c:v>
                </c:pt>
                <c:pt idx="1">
                  <c:v>107.699996948242</c:v>
                </c:pt>
                <c:pt idx="2">
                  <c:v>107.139999389648</c:v>
                </c:pt>
                <c:pt idx="3">
                  <c:v>107.66000366210901</c:v>
                </c:pt>
                <c:pt idx="4">
                  <c:v>108.25</c:v>
                </c:pt>
                <c:pt idx="5">
                  <c:v>106.08000183105401</c:v>
                </c:pt>
                <c:pt idx="6">
                  <c:v>105.709999084472</c:v>
                </c:pt>
                <c:pt idx="7">
                  <c:v>109.449996948242</c:v>
                </c:pt>
                <c:pt idx="8">
                  <c:v>109.58000183105401</c:v>
                </c:pt>
                <c:pt idx="9">
                  <c:v>109.23999786376901</c:v>
                </c:pt>
                <c:pt idx="10">
                  <c:v>109.51000213623</c:v>
                </c:pt>
                <c:pt idx="11">
                  <c:v>110.36000061035099</c:v>
                </c:pt>
                <c:pt idx="12">
                  <c:v>110.73999786376901</c:v>
                </c:pt>
                <c:pt idx="13">
                  <c:v>110.61000061035099</c:v>
                </c:pt>
                <c:pt idx="14">
                  <c:v>111.58999633789</c:v>
                </c:pt>
                <c:pt idx="15">
                  <c:v>112.01000213623</c:v>
                </c:pt>
                <c:pt idx="16">
                  <c:v>112.900001525878</c:v>
                </c:pt>
                <c:pt idx="17">
                  <c:v>113.129997253417</c:v>
                </c:pt>
                <c:pt idx="18">
                  <c:v>112.120002746582</c:v>
                </c:pt>
                <c:pt idx="19">
                  <c:v>112.400001525878</c:v>
                </c:pt>
                <c:pt idx="20">
                  <c:v>113.139999389648</c:v>
                </c:pt>
                <c:pt idx="21">
                  <c:v>112.040000915527</c:v>
                </c:pt>
                <c:pt idx="22">
                  <c:v>113.050003051757</c:v>
                </c:pt>
                <c:pt idx="23">
                  <c:v>112.669998168945</c:v>
                </c:pt>
                <c:pt idx="24">
                  <c:v>112.879997253417</c:v>
                </c:pt>
                <c:pt idx="25">
                  <c:v>112.06999969482401</c:v>
                </c:pt>
                <c:pt idx="26">
                  <c:v>112.150001525878</c:v>
                </c:pt>
                <c:pt idx="27">
                  <c:v>112.290000915527</c:v>
                </c:pt>
                <c:pt idx="28">
                  <c:v>111.459999084472</c:v>
                </c:pt>
                <c:pt idx="29">
                  <c:v>111.309997558593</c:v>
                </c:pt>
                <c:pt idx="30">
                  <c:v>110.900001525878</c:v>
                </c:pt>
                <c:pt idx="31">
                  <c:v>110.91000366210901</c:v>
                </c:pt>
                <c:pt idx="32">
                  <c:v>112.050003051757</c:v>
                </c:pt>
                <c:pt idx="33">
                  <c:v>111.040000915527</c:v>
                </c:pt>
                <c:pt idx="34">
                  <c:v>112.900001525878</c:v>
                </c:pt>
                <c:pt idx="35">
                  <c:v>115.26999664306599</c:v>
                </c:pt>
                <c:pt idx="36">
                  <c:v>114.050003051757</c:v>
                </c:pt>
                <c:pt idx="37">
                  <c:v>115</c:v>
                </c:pt>
                <c:pt idx="38">
                  <c:v>117.800003051757</c:v>
                </c:pt>
                <c:pt idx="39">
                  <c:v>116.69000244140599</c:v>
                </c:pt>
                <c:pt idx="40">
                  <c:v>117.040000915527</c:v>
                </c:pt>
                <c:pt idx="41">
                  <c:v>115.36000061035099</c:v>
                </c:pt>
                <c:pt idx="42">
                  <c:v>114.879997253417</c:v>
                </c:pt>
                <c:pt idx="43">
                  <c:v>115.26000213623</c:v>
                </c:pt>
                <c:pt idx="44">
                  <c:v>115.08000183105401</c:v>
                </c:pt>
                <c:pt idx="45">
                  <c:v>114.879997253417</c:v>
                </c:pt>
                <c:pt idx="46">
                  <c:v>114.879997253417</c:v>
                </c:pt>
                <c:pt idx="47">
                  <c:v>115.51000213623</c:v>
                </c:pt>
                <c:pt idx="48">
                  <c:v>116.449996948242</c:v>
                </c:pt>
                <c:pt idx="49">
                  <c:v>115.76999664306599</c:v>
                </c:pt>
                <c:pt idx="50">
                  <c:v>115.33999633789</c:v>
                </c:pt>
                <c:pt idx="51">
                  <c:v>114.809997558593</c:v>
                </c:pt>
                <c:pt idx="52">
                  <c:v>114.264999389648</c:v>
                </c:pt>
                <c:pt idx="53">
                  <c:v>113.76000213623</c:v>
                </c:pt>
                <c:pt idx="54">
                  <c:v>114.06999969482401</c:v>
                </c:pt>
                <c:pt idx="55">
                  <c:v>114.26000213623</c:v>
                </c:pt>
                <c:pt idx="56">
                  <c:v>113.620002746582</c:v>
                </c:pt>
                <c:pt idx="57">
                  <c:v>114.879997253417</c:v>
                </c:pt>
                <c:pt idx="58">
                  <c:v>115.980003356933</c:v>
                </c:pt>
                <c:pt idx="59">
                  <c:v>116.709999084472</c:v>
                </c:pt>
                <c:pt idx="60">
                  <c:v>116.26999664306599</c:v>
                </c:pt>
                <c:pt idx="61">
                  <c:v>119.58999633789</c:v>
                </c:pt>
                <c:pt idx="62">
                  <c:v>117.76000213623</c:v>
                </c:pt>
                <c:pt idx="63">
                  <c:v>118.02999877929599</c:v>
                </c:pt>
                <c:pt idx="64">
                  <c:v>114.98500061035099</c:v>
                </c:pt>
                <c:pt idx="65">
                  <c:v>115.59999847412099</c:v>
                </c:pt>
                <c:pt idx="66">
                  <c:v>115.86000061035099</c:v>
                </c:pt>
                <c:pt idx="67">
                  <c:v>115.720001220703</c:v>
                </c:pt>
                <c:pt idx="68">
                  <c:v>115.180000305175</c:v>
                </c:pt>
                <c:pt idx="69">
                  <c:v>117.449996948242</c:v>
                </c:pt>
                <c:pt idx="70">
                  <c:v>118.01999664306599</c:v>
                </c:pt>
                <c:pt idx="71">
                  <c:v>119</c:v>
                </c:pt>
                <c:pt idx="72">
                  <c:v>120.290000915527</c:v>
                </c:pt>
                <c:pt idx="73">
                  <c:v>120.095001220703</c:v>
                </c:pt>
                <c:pt idx="74">
                  <c:v>120.98999786376901</c:v>
                </c:pt>
                <c:pt idx="75">
                  <c:v>120.220001220703</c:v>
                </c:pt>
                <c:pt idx="76">
                  <c:v>119.129997253417</c:v>
                </c:pt>
                <c:pt idx="77">
                  <c:v>119.650001525878</c:v>
                </c:pt>
                <c:pt idx="78">
                  <c:v>118.430000305175</c:v>
                </c:pt>
                <c:pt idx="79">
                  <c:v>119.51000213623</c:v>
                </c:pt>
                <c:pt idx="80">
                  <c:v>119.26999664306599</c:v>
                </c:pt>
                <c:pt idx="81">
                  <c:v>117.33999633789</c:v>
                </c:pt>
                <c:pt idx="82">
                  <c:v>121.01999664306599</c:v>
                </c:pt>
                <c:pt idx="83">
                  <c:v>118.169998168945</c:v>
                </c:pt>
                <c:pt idx="84">
                  <c:v>117.300003051757</c:v>
                </c:pt>
                <c:pt idx="85">
                  <c:v>116.36000061035099</c:v>
                </c:pt>
                <c:pt idx="86">
                  <c:v>112.669998168945</c:v>
                </c:pt>
                <c:pt idx="87">
                  <c:v>108.980003356933</c:v>
                </c:pt>
                <c:pt idx="88">
                  <c:v>109.58000183105401</c:v>
                </c:pt>
                <c:pt idx="89">
                  <c:v>108.169998168945</c:v>
                </c:pt>
                <c:pt idx="90">
                  <c:v>110.129997253417</c:v>
                </c:pt>
                <c:pt idx="91">
                  <c:v>108.91000366210901</c:v>
                </c:pt>
                <c:pt idx="92">
                  <c:v>108.449996948242</c:v>
                </c:pt>
                <c:pt idx="93">
                  <c:v>102.470001220703</c:v>
                </c:pt>
                <c:pt idx="94">
                  <c:v>101.59999847412099</c:v>
                </c:pt>
                <c:pt idx="95">
                  <c:v>101.480003356933</c:v>
                </c:pt>
                <c:pt idx="96">
                  <c:v>97.459999084472599</c:v>
                </c:pt>
                <c:pt idx="97">
                  <c:v>102.76999664306599</c:v>
                </c:pt>
                <c:pt idx="98">
                  <c:v>107.919998168945</c:v>
                </c:pt>
                <c:pt idx="99">
                  <c:v>102.980003356933</c:v>
                </c:pt>
                <c:pt idx="100">
                  <c:v>104.31999969482401</c:v>
                </c:pt>
                <c:pt idx="101">
                  <c:v>100.81999969482401</c:v>
                </c:pt>
                <c:pt idx="102">
                  <c:v>96.599998474121094</c:v>
                </c:pt>
                <c:pt idx="103">
                  <c:v>96.629997253417898</c:v>
                </c:pt>
                <c:pt idx="104">
                  <c:v>98.110000610351506</c:v>
                </c:pt>
                <c:pt idx="105">
                  <c:v>96.559997558593693</c:v>
                </c:pt>
                <c:pt idx="106">
                  <c:v>90.559997558593693</c:v>
                </c:pt>
                <c:pt idx="107">
                  <c:v>95.080001831054602</c:v>
                </c:pt>
                <c:pt idx="108">
                  <c:v>95.650001525878906</c:v>
                </c:pt>
                <c:pt idx="109">
                  <c:v>92.510002136230398</c:v>
                </c:pt>
                <c:pt idx="110">
                  <c:v>95.800003051757798</c:v>
                </c:pt>
                <c:pt idx="111">
                  <c:v>94.889999389648395</c:v>
                </c:pt>
                <c:pt idx="112">
                  <c:v>99.480003356933594</c:v>
                </c:pt>
                <c:pt idx="113">
                  <c:v>99.819999694824205</c:v>
                </c:pt>
                <c:pt idx="114">
                  <c:v>100.870002746582</c:v>
                </c:pt>
                <c:pt idx="115">
                  <c:v>101.31999969482401</c:v>
                </c:pt>
                <c:pt idx="116">
                  <c:v>102.19000244140599</c:v>
                </c:pt>
                <c:pt idx="117">
                  <c:v>101.480003356933</c:v>
                </c:pt>
                <c:pt idx="118">
                  <c:v>100.66000366210901</c:v>
                </c:pt>
                <c:pt idx="119">
                  <c:v>99.580001831054602</c:v>
                </c:pt>
                <c:pt idx="120">
                  <c:v>98.650001525878906</c:v>
                </c:pt>
                <c:pt idx="121">
                  <c:v>97.650001525878906</c:v>
                </c:pt>
                <c:pt idx="122">
                  <c:v>99.169998168945298</c:v>
                </c:pt>
                <c:pt idx="123">
                  <c:v>97.779998779296804</c:v>
                </c:pt>
                <c:pt idx="124">
                  <c:v>97.440002441406193</c:v>
                </c:pt>
                <c:pt idx="125">
                  <c:v>97.930000305175696</c:v>
                </c:pt>
                <c:pt idx="126">
                  <c:v>99.470001220703097</c:v>
                </c:pt>
                <c:pt idx="127">
                  <c:v>99.5</c:v>
                </c:pt>
                <c:pt idx="128">
                  <c:v>97.099998474121094</c:v>
                </c:pt>
                <c:pt idx="129">
                  <c:v>94.980003356933594</c:v>
                </c:pt>
                <c:pt idx="130">
                  <c:v>95.260002136230398</c:v>
                </c:pt>
                <c:pt idx="131">
                  <c:v>94.620002746582003</c:v>
                </c:pt>
                <c:pt idx="132">
                  <c:v>92.720001220703097</c:v>
                </c:pt>
                <c:pt idx="133">
                  <c:v>95.569999694824205</c:v>
                </c:pt>
                <c:pt idx="134">
                  <c:v>96.610000610351506</c:v>
                </c:pt>
                <c:pt idx="135">
                  <c:v>97.870002746582003</c:v>
                </c:pt>
                <c:pt idx="136">
                  <c:v>93.580001831054602</c:v>
                </c:pt>
                <c:pt idx="137">
                  <c:v>91.779998779296804</c:v>
                </c:pt>
                <c:pt idx="138">
                  <c:v>93.279998779296804</c:v>
                </c:pt>
                <c:pt idx="139">
                  <c:v>96.089996337890597</c:v>
                </c:pt>
                <c:pt idx="140">
                  <c:v>92.819999694824205</c:v>
                </c:pt>
                <c:pt idx="141">
                  <c:v>92.769996643066406</c:v>
                </c:pt>
                <c:pt idx="142">
                  <c:v>92.440002441406193</c:v>
                </c:pt>
                <c:pt idx="143">
                  <c:v>91.489997863769503</c:v>
                </c:pt>
                <c:pt idx="144">
                  <c:v>91.620002746582003</c:v>
                </c:pt>
                <c:pt idx="145">
                  <c:v>92.949996948242102</c:v>
                </c:pt>
                <c:pt idx="146">
                  <c:v>96.129997253417898</c:v>
                </c:pt>
                <c:pt idx="147">
                  <c:v>94.089996337890597</c:v>
                </c:pt>
                <c:pt idx="148">
                  <c:v>96.790000915527301</c:v>
                </c:pt>
                <c:pt idx="149">
                  <c:v>95.349998474121094</c:v>
                </c:pt>
                <c:pt idx="150">
                  <c:v>97.040000915527301</c:v>
                </c:pt>
                <c:pt idx="151">
                  <c:v>98.449996948242102</c:v>
                </c:pt>
                <c:pt idx="152">
                  <c:v>96.959999084472599</c:v>
                </c:pt>
                <c:pt idx="153">
                  <c:v>100.02999877929599</c:v>
                </c:pt>
                <c:pt idx="154">
                  <c:v>103.620002746582</c:v>
                </c:pt>
                <c:pt idx="155">
                  <c:v>101.550003051757</c:v>
                </c:pt>
                <c:pt idx="156">
                  <c:v>98.019996643066406</c:v>
                </c:pt>
                <c:pt idx="157">
                  <c:v>95.860000610351506</c:v>
                </c:pt>
                <c:pt idx="158">
                  <c:v>98.720001220703097</c:v>
                </c:pt>
                <c:pt idx="159">
                  <c:v>97.209999084472599</c:v>
                </c:pt>
                <c:pt idx="160">
                  <c:v>100.559997558593</c:v>
                </c:pt>
                <c:pt idx="161">
                  <c:v>100.11000061035099</c:v>
                </c:pt>
                <c:pt idx="162">
                  <c:v>104.199996948242</c:v>
                </c:pt>
                <c:pt idx="163">
                  <c:v>106.290000915527</c:v>
                </c:pt>
                <c:pt idx="164">
                  <c:v>104.199996948242</c:v>
                </c:pt>
                <c:pt idx="165">
                  <c:v>104.680000305175</c:v>
                </c:pt>
                <c:pt idx="166">
                  <c:v>102.050003051757</c:v>
                </c:pt>
                <c:pt idx="167">
                  <c:v>101.449996948242</c:v>
                </c:pt>
                <c:pt idx="168">
                  <c:v>99.660003662109304</c:v>
                </c:pt>
                <c:pt idx="169">
                  <c:v>100.91000366210901</c:v>
                </c:pt>
                <c:pt idx="170">
                  <c:v>100.620002746582</c:v>
                </c:pt>
                <c:pt idx="171">
                  <c:v>100.25</c:v>
                </c:pt>
                <c:pt idx="172">
                  <c:v>99.010002136230398</c:v>
                </c:pt>
                <c:pt idx="173">
                  <c:v>97.550003051757798</c:v>
                </c:pt>
                <c:pt idx="174">
                  <c:v>100.139999389648</c:v>
                </c:pt>
                <c:pt idx="175">
                  <c:v>100.300003051757</c:v>
                </c:pt>
                <c:pt idx="176">
                  <c:v>97.660003662109304</c:v>
                </c:pt>
                <c:pt idx="177">
                  <c:v>95.830001831054602</c:v>
                </c:pt>
                <c:pt idx="178">
                  <c:v>97.440002441406193</c:v>
                </c:pt>
                <c:pt idx="179">
                  <c:v>95.930000305175696</c:v>
                </c:pt>
                <c:pt idx="180">
                  <c:v>93.199996948242102</c:v>
                </c:pt>
                <c:pt idx="181">
                  <c:v>92.830001831054602</c:v>
                </c:pt>
                <c:pt idx="182">
                  <c:v>92.339996337890597</c:v>
                </c:pt>
                <c:pt idx="183">
                  <c:v>93.010002136230398</c:v>
                </c:pt>
                <c:pt idx="184">
                  <c:v>91.010002136230398</c:v>
                </c:pt>
                <c:pt idx="185">
                  <c:v>92.839996337890597</c:v>
                </c:pt>
                <c:pt idx="186">
                  <c:v>94.370002746582003</c:v>
                </c:pt>
                <c:pt idx="187">
                  <c:v>92.550003051757798</c:v>
                </c:pt>
                <c:pt idx="188">
                  <c:v>92.959999084472599</c:v>
                </c:pt>
                <c:pt idx="189">
                  <c:v>92.849998474121094</c:v>
                </c:pt>
                <c:pt idx="190">
                  <c:v>93.389999389648395</c:v>
                </c:pt>
                <c:pt idx="191">
                  <c:v>93.050003051757798</c:v>
                </c:pt>
                <c:pt idx="192">
                  <c:v>92.489997863769503</c:v>
                </c:pt>
                <c:pt idx="193">
                  <c:v>91.919998168945298</c:v>
                </c:pt>
                <c:pt idx="194">
                  <c:v>91.309997558593693</c:v>
                </c:pt>
                <c:pt idx="195">
                  <c:v>92.290000915527301</c:v>
                </c:pt>
                <c:pt idx="196">
                  <c:v>94.169998168945298</c:v>
                </c:pt>
                <c:pt idx="197">
                  <c:v>93.470001220703097</c:v>
                </c:pt>
                <c:pt idx="198">
                  <c:v>93.800003051757798</c:v>
                </c:pt>
                <c:pt idx="199">
                  <c:v>94.099998474121094</c:v>
                </c:pt>
                <c:pt idx="200">
                  <c:v>95.559997558593693</c:v>
                </c:pt>
                <c:pt idx="201">
                  <c:v>96.080001831054602</c:v>
                </c:pt>
                <c:pt idx="202">
                  <c:v>95.230003356933594</c:v>
                </c:pt>
                <c:pt idx="203">
                  <c:v>95.510002136230398</c:v>
                </c:pt>
                <c:pt idx="204">
                  <c:v>98.080001831054602</c:v>
                </c:pt>
                <c:pt idx="205">
                  <c:v>97.680000305175696</c:v>
                </c:pt>
                <c:pt idx="206">
                  <c:v>96.120002746582003</c:v>
                </c:pt>
                <c:pt idx="207">
                  <c:v>96.069999694824205</c:v>
                </c:pt>
                <c:pt idx="208">
                  <c:v>94.680000305175696</c:v>
                </c:pt>
                <c:pt idx="209">
                  <c:v>95.809997558593693</c:v>
                </c:pt>
                <c:pt idx="210">
                  <c:v>95.769996643066406</c:v>
                </c:pt>
                <c:pt idx="211">
                  <c:v>94.25</c:v>
                </c:pt>
                <c:pt idx="212">
                  <c:v>95.569999694824205</c:v>
                </c:pt>
                <c:pt idx="213">
                  <c:v>94.879997253417898</c:v>
                </c:pt>
                <c:pt idx="214">
                  <c:v>91.800003051757798</c:v>
                </c:pt>
                <c:pt idx="215">
                  <c:v>92.910003662109304</c:v>
                </c:pt>
                <c:pt idx="216">
                  <c:v>91.589996337890597</c:v>
                </c:pt>
                <c:pt idx="217">
                  <c:v>89.639999389648395</c:v>
                </c:pt>
                <c:pt idx="218">
                  <c:v>88.510002136230398</c:v>
                </c:pt>
                <c:pt idx="219">
                  <c:v>88.889999389648395</c:v>
                </c:pt>
                <c:pt idx="220">
                  <c:v>86.309997558593693</c:v>
                </c:pt>
                <c:pt idx="221">
                  <c:v>86.349998474121094</c:v>
                </c:pt>
                <c:pt idx="222">
                  <c:v>86.360000610351506</c:v>
                </c:pt>
                <c:pt idx="223">
                  <c:v>86.309997558593693</c:v>
                </c:pt>
                <c:pt idx="224">
                  <c:v>86.629997253417898</c:v>
                </c:pt>
                <c:pt idx="225">
                  <c:v>86.260002136230398</c:v>
                </c:pt>
                <c:pt idx="226">
                  <c:v>86.389999389648395</c:v>
                </c:pt>
                <c:pt idx="227">
                  <c:v>88.260002136230398</c:v>
                </c:pt>
                <c:pt idx="228">
                  <c:v>89.199996948242102</c:v>
                </c:pt>
                <c:pt idx="229">
                  <c:v>89.769996643066406</c:v>
                </c:pt>
                <c:pt idx="230">
                  <c:v>91.069999694824205</c:v>
                </c:pt>
                <c:pt idx="231">
                  <c:v>88.870002746582003</c:v>
                </c:pt>
                <c:pt idx="232">
                  <c:v>90.330001831054602</c:v>
                </c:pt>
                <c:pt idx="233">
                  <c:v>90.489997863769503</c:v>
                </c:pt>
                <c:pt idx="234">
                  <c:v>88.970001220703097</c:v>
                </c:pt>
                <c:pt idx="235">
                  <c:v>90.190002441406193</c:v>
                </c:pt>
                <c:pt idx="236">
                  <c:v>88.199996948242102</c:v>
                </c:pt>
                <c:pt idx="237">
                  <c:v>89.379997253417898</c:v>
                </c:pt>
                <c:pt idx="238">
                  <c:v>89.730003356933594</c:v>
                </c:pt>
                <c:pt idx="239">
                  <c:v>89.559997558593693</c:v>
                </c:pt>
                <c:pt idx="240">
                  <c:v>90.260002136230398</c:v>
                </c:pt>
                <c:pt idx="241">
                  <c:v>90.580001831054602</c:v>
                </c:pt>
                <c:pt idx="242">
                  <c:v>90.580001831054602</c:v>
                </c:pt>
                <c:pt idx="243">
                  <c:v>90.720001220703097</c:v>
                </c:pt>
                <c:pt idx="244">
                  <c:v>88.849998474121094</c:v>
                </c:pt>
                <c:pt idx="245">
                  <c:v>88.370002746582003</c:v>
                </c:pt>
                <c:pt idx="246">
                  <c:v>86.959999084472599</c:v>
                </c:pt>
                <c:pt idx="247">
                  <c:v>86.629997253417898</c:v>
                </c:pt>
                <c:pt idx="248">
                  <c:v>86.629997253417898</c:v>
                </c:pt>
                <c:pt idx="249">
                  <c:v>87.040000915527301</c:v>
                </c:pt>
                <c:pt idx="250">
                  <c:v>87.989997863769503</c:v>
                </c:pt>
                <c:pt idx="251">
                  <c:v>87.720001220703097</c:v>
                </c:pt>
                <c:pt idx="252">
                  <c:v>87.279998779296804</c:v>
                </c:pt>
                <c:pt idx="253">
                  <c:v>86.290000915527301</c:v>
                </c:pt>
                <c:pt idx="254">
                  <c:v>85.419998168945298</c:v>
                </c:pt>
                <c:pt idx="255">
                  <c:v>82.819999694824205</c:v>
                </c:pt>
                <c:pt idx="256">
                  <c:v>77.300003051757798</c:v>
                </c:pt>
                <c:pt idx="257">
                  <c:v>80.319999694824205</c:v>
                </c:pt>
                <c:pt idx="258">
                  <c:v>82.099998474121094</c:v>
                </c:pt>
                <c:pt idx="259">
                  <c:v>83.080001831054602</c:v>
                </c:pt>
                <c:pt idx="260">
                  <c:v>85.879997253417898</c:v>
                </c:pt>
                <c:pt idx="261">
                  <c:v>85.790000915527301</c:v>
                </c:pt>
                <c:pt idx="262">
                  <c:v>86.900001525878906</c:v>
                </c:pt>
                <c:pt idx="263">
                  <c:v>88.239997863769503</c:v>
                </c:pt>
                <c:pt idx="264">
                  <c:v>91.940002441406193</c:v>
                </c:pt>
                <c:pt idx="265">
                  <c:v>90.050003051757798</c:v>
                </c:pt>
                <c:pt idx="266">
                  <c:v>91.900001525878906</c:v>
                </c:pt>
                <c:pt idx="267">
                  <c:v>92.190002441406193</c:v>
                </c:pt>
                <c:pt idx="268">
                  <c:v>92.129997253417898</c:v>
                </c:pt>
                <c:pt idx="269">
                  <c:v>92.230003356933594</c:v>
                </c:pt>
                <c:pt idx="270">
                  <c:v>92.319999694824205</c:v>
                </c:pt>
                <c:pt idx="271">
                  <c:v>91.160003662109304</c:v>
                </c:pt>
                <c:pt idx="272">
                  <c:v>91.730003356933594</c:v>
                </c:pt>
                <c:pt idx="273">
                  <c:v>91.790000915527301</c:v>
                </c:pt>
                <c:pt idx="274">
                  <c:v>91.790000915527301</c:v>
                </c:pt>
                <c:pt idx="275">
                  <c:v>88.239997863769503</c:v>
                </c:pt>
                <c:pt idx="276">
                  <c:v>91.059997558593693</c:v>
                </c:pt>
                <c:pt idx="277">
                  <c:v>91.839996337890597</c:v>
                </c:pt>
                <c:pt idx="278">
                  <c:v>93.879997253417898</c:v>
                </c:pt>
                <c:pt idx="279">
                  <c:v>92.309997558593693</c:v>
                </c:pt>
                <c:pt idx="280">
                  <c:v>92.919998168945298</c:v>
                </c:pt>
                <c:pt idx="281">
                  <c:v>91.870002746582003</c:v>
                </c:pt>
                <c:pt idx="282">
                  <c:v>90.949996948242102</c:v>
                </c:pt>
                <c:pt idx="283">
                  <c:v>90.889999389648395</c:v>
                </c:pt>
                <c:pt idx="284">
                  <c:v>92.389999389648395</c:v>
                </c:pt>
                <c:pt idx="285">
                  <c:v>92.139999389648395</c:v>
                </c:pt>
                <c:pt idx="286">
                  <c:v>91.910003662109304</c:v>
                </c:pt>
                <c:pt idx="287">
                  <c:v>91.019996643066406</c:v>
                </c:pt>
                <c:pt idx="288">
                  <c:v>90.860000610351506</c:v>
                </c:pt>
                <c:pt idx="289">
                  <c:v>92.019996643066406</c:v>
                </c:pt>
                <c:pt idx="290">
                  <c:v>92.150001525878906</c:v>
                </c:pt>
                <c:pt idx="291">
                  <c:v>90.489997863769503</c:v>
                </c:pt>
                <c:pt idx="292">
                  <c:v>89.510002136230398</c:v>
                </c:pt>
                <c:pt idx="293">
                  <c:v>90.480003356933594</c:v>
                </c:pt>
                <c:pt idx="294">
                  <c:v>89.910003662109304</c:v>
                </c:pt>
                <c:pt idx="295">
                  <c:v>91.970001220703097</c:v>
                </c:pt>
                <c:pt idx="296">
                  <c:v>92.940002441406193</c:v>
                </c:pt>
                <c:pt idx="297">
                  <c:v>92.870002746582003</c:v>
                </c:pt>
                <c:pt idx="298">
                  <c:v>91.510002136230398</c:v>
                </c:pt>
                <c:pt idx="299">
                  <c:v>91.040000915527301</c:v>
                </c:pt>
                <c:pt idx="300">
                  <c:v>91.889999389648395</c:v>
                </c:pt>
                <c:pt idx="301">
                  <c:v>92.050003051757798</c:v>
                </c:pt>
                <c:pt idx="302">
                  <c:v>93.489997863769503</c:v>
                </c:pt>
                <c:pt idx="303">
                  <c:v>93.739997863769503</c:v>
                </c:pt>
                <c:pt idx="304">
                  <c:v>92.989997863769503</c:v>
                </c:pt>
                <c:pt idx="305">
                  <c:v>92.620002746582003</c:v>
                </c:pt>
                <c:pt idx="306">
                  <c:v>92.790000915527301</c:v>
                </c:pt>
                <c:pt idx="307">
                  <c:v>93.099998474121094</c:v>
                </c:pt>
                <c:pt idx="308">
                  <c:v>92.699996948242102</c:v>
                </c:pt>
                <c:pt idx="309">
                  <c:v>91.769996643066406</c:v>
                </c:pt>
                <c:pt idx="310">
                  <c:v>92.139999389648395</c:v>
                </c:pt>
                <c:pt idx="311">
                  <c:v>91.190002441406193</c:v>
                </c:pt>
                <c:pt idx="312">
                  <c:v>91.489997863769503</c:v>
                </c:pt>
                <c:pt idx="313">
                  <c:v>92.449996948242102</c:v>
                </c:pt>
                <c:pt idx="314">
                  <c:v>91.790000915527301</c:v>
                </c:pt>
                <c:pt idx="315">
                  <c:v>93.230003356933594</c:v>
                </c:pt>
                <c:pt idx="316">
                  <c:v>90.330001831054602</c:v>
                </c:pt>
                <c:pt idx="317">
                  <c:v>90.639999389648395</c:v>
                </c:pt>
                <c:pt idx="318">
                  <c:v>88.919998168945298</c:v>
                </c:pt>
                <c:pt idx="319">
                  <c:v>90.680000305175696</c:v>
                </c:pt>
                <c:pt idx="320">
                  <c:v>90.25</c:v>
                </c:pt>
                <c:pt idx="321">
                  <c:v>89.279998779296804</c:v>
                </c:pt>
                <c:pt idx="322">
                  <c:v>90.300003051757798</c:v>
                </c:pt>
                <c:pt idx="323">
                  <c:v>89.349998474121094</c:v>
                </c:pt>
                <c:pt idx="324">
                  <c:v>90.330001831054602</c:v>
                </c:pt>
                <c:pt idx="325">
                  <c:v>90.089996337890597</c:v>
                </c:pt>
                <c:pt idx="326">
                  <c:v>88.489997863769503</c:v>
                </c:pt>
                <c:pt idx="327">
                  <c:v>89.510002136230398</c:v>
                </c:pt>
                <c:pt idx="328">
                  <c:v>88.059997558593693</c:v>
                </c:pt>
                <c:pt idx="329">
                  <c:v>91.080001831054602</c:v>
                </c:pt>
                <c:pt idx="330">
                  <c:v>91.809997558593693</c:v>
                </c:pt>
                <c:pt idx="331">
                  <c:v>93.110000610351506</c:v>
                </c:pt>
                <c:pt idx="332">
                  <c:v>92.449996948242102</c:v>
                </c:pt>
                <c:pt idx="333">
                  <c:v>91.610000610351506</c:v>
                </c:pt>
                <c:pt idx="334">
                  <c:v>89.959999084472599</c:v>
                </c:pt>
                <c:pt idx="335">
                  <c:v>90.430000305175696</c:v>
                </c:pt>
                <c:pt idx="336">
                  <c:v>88.959999084472599</c:v>
                </c:pt>
                <c:pt idx="337">
                  <c:v>87.790000915527301</c:v>
                </c:pt>
                <c:pt idx="338">
                  <c:v>89.019996643066406</c:v>
                </c:pt>
                <c:pt idx="339">
                  <c:v>90.989997863769503</c:v>
                </c:pt>
                <c:pt idx="340">
                  <c:v>92.970001220703097</c:v>
                </c:pt>
                <c:pt idx="341">
                  <c:v>96.180000305175696</c:v>
                </c:pt>
                <c:pt idx="342">
                  <c:v>98.639999389648395</c:v>
                </c:pt>
                <c:pt idx="343">
                  <c:v>100.949996948242</c:v>
                </c:pt>
                <c:pt idx="344">
                  <c:v>100</c:v>
                </c:pt>
                <c:pt idx="345">
                  <c:v>98.639999389648395</c:v>
                </c:pt>
                <c:pt idx="346">
                  <c:v>98.720001220703097</c:v>
                </c:pt>
                <c:pt idx="347">
                  <c:v>98.480003356933594</c:v>
                </c:pt>
                <c:pt idx="348">
                  <c:v>99.699996948242102</c:v>
                </c:pt>
                <c:pt idx="349">
                  <c:v>99.680000305175696</c:v>
                </c:pt>
                <c:pt idx="350">
                  <c:v>98.540000915527301</c:v>
                </c:pt>
                <c:pt idx="351">
                  <c:v>95.970001220703097</c:v>
                </c:pt>
                <c:pt idx="352">
                  <c:v>97.120002746582003</c:v>
                </c:pt>
                <c:pt idx="353">
                  <c:v>97.410003662109304</c:v>
                </c:pt>
                <c:pt idx="354">
                  <c:v>97.080001831054602</c:v>
                </c:pt>
                <c:pt idx="355">
                  <c:v>96.209999084472599</c:v>
                </c:pt>
                <c:pt idx="356">
                  <c:v>94.930000305175696</c:v>
                </c:pt>
                <c:pt idx="357">
                  <c:v>95.480003356933594</c:v>
                </c:pt>
                <c:pt idx="358">
                  <c:v>95.550003051757798</c:v>
                </c:pt>
                <c:pt idx="359">
                  <c:v>94.410003662109304</c:v>
                </c:pt>
                <c:pt idx="360">
                  <c:v>94.279998779296804</c:v>
                </c:pt>
                <c:pt idx="361">
                  <c:v>94.610000610351506</c:v>
                </c:pt>
                <c:pt idx="362">
                  <c:v>94.5</c:v>
                </c:pt>
                <c:pt idx="363">
                  <c:v>96.389999389648395</c:v>
                </c:pt>
                <c:pt idx="364">
                  <c:v>96.910003662109304</c:v>
                </c:pt>
                <c:pt idx="365">
                  <c:v>96.330001831054602</c:v>
                </c:pt>
                <c:pt idx="366">
                  <c:v>96.389999389648395</c:v>
                </c:pt>
                <c:pt idx="367">
                  <c:v>95.849998474121094</c:v>
                </c:pt>
                <c:pt idx="368">
                  <c:v>95.800003051757798</c:v>
                </c:pt>
                <c:pt idx="369">
                  <c:v>94.160003662109304</c:v>
                </c:pt>
                <c:pt idx="370">
                  <c:v>95.010002136230398</c:v>
                </c:pt>
                <c:pt idx="371">
                  <c:v>95.849998474121094</c:v>
                </c:pt>
                <c:pt idx="372">
                  <c:v>97.709999084472599</c:v>
                </c:pt>
                <c:pt idx="373">
                  <c:v>98.069999694824205</c:v>
                </c:pt>
                <c:pt idx="374">
                  <c:v>98.870002746582003</c:v>
                </c:pt>
                <c:pt idx="375">
                  <c:v>98.089996337890597</c:v>
                </c:pt>
                <c:pt idx="376">
                  <c:v>96.970001220703097</c:v>
                </c:pt>
                <c:pt idx="377">
                  <c:v>96.739997863769503</c:v>
                </c:pt>
                <c:pt idx="378">
                  <c:v>97.699996948242102</c:v>
                </c:pt>
                <c:pt idx="379">
                  <c:v>94.830001831054602</c:v>
                </c:pt>
                <c:pt idx="380">
                  <c:v>95.010002136230398</c:v>
                </c:pt>
                <c:pt idx="381">
                  <c:v>94.900001525878906</c:v>
                </c:pt>
                <c:pt idx="382">
                  <c:v>94.580001831054602</c:v>
                </c:pt>
                <c:pt idx="383">
                  <c:v>95.930000305175696</c:v>
                </c:pt>
                <c:pt idx="384">
                  <c:v>93.879997253417898</c:v>
                </c:pt>
                <c:pt idx="385">
                  <c:v>96.779998779296804</c:v>
                </c:pt>
                <c:pt idx="386">
                  <c:v>96.589996337890597</c:v>
                </c:pt>
                <c:pt idx="387">
                  <c:v>94.459999084472599</c:v>
                </c:pt>
                <c:pt idx="388">
                  <c:v>95.760002136230398</c:v>
                </c:pt>
                <c:pt idx="389">
                  <c:v>97.120002746582003</c:v>
                </c:pt>
                <c:pt idx="390">
                  <c:v>96.709999084472599</c:v>
                </c:pt>
                <c:pt idx="391">
                  <c:v>98.360000610351506</c:v>
                </c:pt>
                <c:pt idx="392">
                  <c:v>98.019996643066406</c:v>
                </c:pt>
                <c:pt idx="393">
                  <c:v>98.190002441406193</c:v>
                </c:pt>
                <c:pt idx="394">
                  <c:v>98.080001831054602</c:v>
                </c:pt>
                <c:pt idx="395">
                  <c:v>97.220001220703097</c:v>
                </c:pt>
                <c:pt idx="396">
                  <c:v>96</c:v>
                </c:pt>
                <c:pt idx="397">
                  <c:v>96.5</c:v>
                </c:pt>
                <c:pt idx="398">
                  <c:v>96.019996643066406</c:v>
                </c:pt>
                <c:pt idx="399">
                  <c:v>97.489997863769503</c:v>
                </c:pt>
                <c:pt idx="400">
                  <c:v>99.169998168945298</c:v>
                </c:pt>
                <c:pt idx="401">
                  <c:v>99.279998779296804</c:v>
                </c:pt>
                <c:pt idx="402">
                  <c:v>97.790000915527301</c:v>
                </c:pt>
                <c:pt idx="403">
                  <c:v>98.720001220703097</c:v>
                </c:pt>
                <c:pt idx="404">
                  <c:v>99.040000915527301</c:v>
                </c:pt>
                <c:pt idx="405">
                  <c:v>100.56999969482401</c:v>
                </c:pt>
                <c:pt idx="406">
                  <c:v>100.23999786376901</c:v>
                </c:pt>
                <c:pt idx="407">
                  <c:v>100.980003356933</c:v>
                </c:pt>
                <c:pt idx="408">
                  <c:v>101.059997558593</c:v>
                </c:pt>
                <c:pt idx="409">
                  <c:v>102.120002746582</c:v>
                </c:pt>
                <c:pt idx="410">
                  <c:v>102.08999633789</c:v>
                </c:pt>
                <c:pt idx="411">
                  <c:v>103.430000305175</c:v>
                </c:pt>
                <c:pt idx="412">
                  <c:v>105.680000305175</c:v>
                </c:pt>
                <c:pt idx="413">
                  <c:v>105.370002746582</c:v>
                </c:pt>
                <c:pt idx="414">
                  <c:v>105.58999633789</c:v>
                </c:pt>
                <c:pt idx="415">
                  <c:v>105.709999084472</c:v>
                </c:pt>
                <c:pt idx="416">
                  <c:v>104.76000213623</c:v>
                </c:pt>
                <c:pt idx="417">
                  <c:v>103.5</c:v>
                </c:pt>
                <c:pt idx="418">
                  <c:v>103.02999877929599</c:v>
                </c:pt>
                <c:pt idx="419">
                  <c:v>103.23999786376901</c:v>
                </c:pt>
                <c:pt idx="420">
                  <c:v>102.900001525878</c:v>
                </c:pt>
                <c:pt idx="421">
                  <c:v>103.480003356933</c:v>
                </c:pt>
                <c:pt idx="422">
                  <c:v>105.470001220703</c:v>
                </c:pt>
                <c:pt idx="423">
                  <c:v>105.81999969482401</c:v>
                </c:pt>
                <c:pt idx="424">
                  <c:v>104.959999084472</c:v>
                </c:pt>
                <c:pt idx="425">
                  <c:v>104.26999664306599</c:v>
                </c:pt>
                <c:pt idx="426">
                  <c:v>105.26999664306599</c:v>
                </c:pt>
                <c:pt idx="427">
                  <c:v>105.059997558593</c:v>
                </c:pt>
                <c:pt idx="428">
                  <c:v>104.389999389648</c:v>
                </c:pt>
                <c:pt idx="429">
                  <c:v>104.209999084472</c:v>
                </c:pt>
                <c:pt idx="430">
                  <c:v>104.980003356933</c:v>
                </c:pt>
                <c:pt idx="431">
                  <c:v>104.389999389648</c:v>
                </c:pt>
                <c:pt idx="432">
                  <c:v>104.139999389648</c:v>
                </c:pt>
                <c:pt idx="433">
                  <c:v>105.699996948242</c:v>
                </c:pt>
                <c:pt idx="434">
                  <c:v>106.08999633789</c:v>
                </c:pt>
                <c:pt idx="435">
                  <c:v>105.459999084472</c:v>
                </c:pt>
                <c:pt idx="436">
                  <c:v>105.220001220703</c:v>
                </c:pt>
                <c:pt idx="437">
                  <c:v>106.08000183105401</c:v>
                </c:pt>
                <c:pt idx="438">
                  <c:v>106.059997558593</c:v>
                </c:pt>
                <c:pt idx="439">
                  <c:v>105.720001220703</c:v>
                </c:pt>
                <c:pt idx="440">
                  <c:v>107.400001525878</c:v>
                </c:pt>
                <c:pt idx="441">
                  <c:v>109.44000244140599</c:v>
                </c:pt>
                <c:pt idx="442">
                  <c:v>110.550003051757</c:v>
                </c:pt>
                <c:pt idx="443">
                  <c:v>112.09999847412099</c:v>
                </c:pt>
                <c:pt idx="444">
                  <c:v>112.84999847412099</c:v>
                </c:pt>
                <c:pt idx="445">
                  <c:v>112.669998168945</c:v>
                </c:pt>
                <c:pt idx="446">
                  <c:v>113.51000213623</c:v>
                </c:pt>
                <c:pt idx="447">
                  <c:v>113.309997558593</c:v>
                </c:pt>
                <c:pt idx="448">
                  <c:v>113.02999877929599</c:v>
                </c:pt>
                <c:pt idx="449">
                  <c:v>114.58000183105401</c:v>
                </c:pt>
                <c:pt idx="450">
                  <c:v>114.73999786376901</c:v>
                </c:pt>
                <c:pt idx="451">
                  <c:v>114.5</c:v>
                </c:pt>
                <c:pt idx="452">
                  <c:v>113.470001220703</c:v>
                </c:pt>
                <c:pt idx="453">
                  <c:v>114.66000366210901</c:v>
                </c:pt>
                <c:pt idx="454">
                  <c:v>116.75</c:v>
                </c:pt>
                <c:pt idx="455">
                  <c:v>117.08000183105401</c:v>
                </c:pt>
                <c:pt idx="456">
                  <c:v>116.84999847412099</c:v>
                </c:pt>
                <c:pt idx="457">
                  <c:v>116.56999969482401</c:v>
                </c:pt>
                <c:pt idx="458">
                  <c:v>115.059997558593</c:v>
                </c:pt>
                <c:pt idx="459">
                  <c:v>116.26999664306599</c:v>
                </c:pt>
                <c:pt idx="460">
                  <c:v>117.33999633789</c:v>
                </c:pt>
                <c:pt idx="461">
                  <c:v>116.720001220703</c:v>
                </c:pt>
                <c:pt idx="462">
                  <c:v>116.559997558593</c:v>
                </c:pt>
                <c:pt idx="463">
                  <c:v>115.900001525878</c:v>
                </c:pt>
                <c:pt idx="464">
                  <c:v>114.76999664306599</c:v>
                </c:pt>
                <c:pt idx="465">
                  <c:v>114.959999084472</c:v>
                </c:pt>
                <c:pt idx="466">
                  <c:v>116.26999664306599</c:v>
                </c:pt>
                <c:pt idx="467">
                  <c:v>114.129997253417</c:v>
                </c:pt>
                <c:pt idx="468">
                  <c:v>114.86000061035099</c:v>
                </c:pt>
                <c:pt idx="469">
                  <c:v>113.58999633789</c:v>
                </c:pt>
                <c:pt idx="470">
                  <c:v>114.73999786376901</c:v>
                </c:pt>
                <c:pt idx="471">
                  <c:v>113.58999633789</c:v>
                </c:pt>
                <c:pt idx="472">
                  <c:v>113.11000061035099</c:v>
                </c:pt>
                <c:pt idx="473">
                  <c:v>112.86000061035099</c:v>
                </c:pt>
                <c:pt idx="474">
                  <c:v>112.959999084472</c:v>
                </c:pt>
                <c:pt idx="475">
                  <c:v>113.01000213623</c:v>
                </c:pt>
                <c:pt idx="476">
                  <c:v>115</c:v>
                </c:pt>
                <c:pt idx="477">
                  <c:v>115.41000366210901</c:v>
                </c:pt>
                <c:pt idx="478">
                  <c:v>113.980003356933</c:v>
                </c:pt>
                <c:pt idx="479">
                  <c:v>113.790000915527</c:v>
                </c:pt>
                <c:pt idx="480">
                  <c:v>114.480003356933</c:v>
                </c:pt>
                <c:pt idx="481">
                  <c:v>115.58000183105401</c:v>
                </c:pt>
                <c:pt idx="482">
                  <c:v>115.51000213623</c:v>
                </c:pt>
                <c:pt idx="483">
                  <c:v>115.75</c:v>
                </c:pt>
                <c:pt idx="484">
                  <c:v>116.290000915527</c:v>
                </c:pt>
                <c:pt idx="485">
                  <c:v>115.930000305175</c:v>
                </c:pt>
                <c:pt idx="486">
                  <c:v>116.470001220703</c:v>
                </c:pt>
                <c:pt idx="487">
                  <c:v>116.31999969482401</c:v>
                </c:pt>
                <c:pt idx="488">
                  <c:v>113.669998168945</c:v>
                </c:pt>
                <c:pt idx="489">
                  <c:v>112.16000366210901</c:v>
                </c:pt>
                <c:pt idx="490">
                  <c:v>114.470001220703</c:v>
                </c:pt>
                <c:pt idx="491">
                  <c:v>113.66000366210901</c:v>
                </c:pt>
                <c:pt idx="492">
                  <c:v>112.650001525878</c:v>
                </c:pt>
                <c:pt idx="493">
                  <c:v>112.25</c:v>
                </c:pt>
                <c:pt idx="494">
                  <c:v>113.48999786376901</c:v>
                </c:pt>
                <c:pt idx="495">
                  <c:v>114.01999664306599</c:v>
                </c:pt>
                <c:pt idx="496">
                  <c:v>113</c:v>
                </c:pt>
                <c:pt idx="497">
                  <c:v>113.959999084472</c:v>
                </c:pt>
                <c:pt idx="498">
                  <c:v>114.980003356933</c:v>
                </c:pt>
                <c:pt idx="499">
                  <c:v>113.06999969482401</c:v>
                </c:pt>
                <c:pt idx="500">
                  <c:v>111.16000366210901</c:v>
                </c:pt>
                <c:pt idx="501">
                  <c:v>109.69000244140599</c:v>
                </c:pt>
                <c:pt idx="502">
                  <c:v>108.919998168945</c:v>
                </c:pt>
                <c:pt idx="503">
                  <c:v>109.36000061035099</c:v>
                </c:pt>
                <c:pt idx="504">
                  <c:v>109.980003356933</c:v>
                </c:pt>
                <c:pt idx="505">
                  <c:v>112.33000183105401</c:v>
                </c:pt>
                <c:pt idx="506">
                  <c:v>111.290000915527</c:v>
                </c:pt>
                <c:pt idx="507">
                  <c:v>112.180000305175</c:v>
                </c:pt>
                <c:pt idx="508">
                  <c:v>110.949996948242</c:v>
                </c:pt>
                <c:pt idx="509">
                  <c:v>112.930000305175</c:v>
                </c:pt>
                <c:pt idx="510">
                  <c:v>112.379997253417</c:v>
                </c:pt>
                <c:pt idx="511">
                  <c:v>112.639999389648</c:v>
                </c:pt>
                <c:pt idx="512">
                  <c:v>111.19000244140599</c:v>
                </c:pt>
                <c:pt idx="513">
                  <c:v>109.400001525878</c:v>
                </c:pt>
                <c:pt idx="514">
                  <c:v>110.449996948242</c:v>
                </c:pt>
                <c:pt idx="515">
                  <c:v>111.33999633789</c:v>
                </c:pt>
                <c:pt idx="516">
                  <c:v>111.34999847412099</c:v>
                </c:pt>
                <c:pt idx="517">
                  <c:v>109.720001220703</c:v>
                </c:pt>
                <c:pt idx="518">
                  <c:v>106.11000061035099</c:v>
                </c:pt>
                <c:pt idx="519">
                  <c:v>106.059997558593</c:v>
                </c:pt>
                <c:pt idx="520">
                  <c:v>106.900001525878</c:v>
                </c:pt>
                <c:pt idx="521">
                  <c:v>106.480003356933</c:v>
                </c:pt>
                <c:pt idx="522">
                  <c:v>106.5</c:v>
                </c:pt>
                <c:pt idx="523">
                  <c:v>107.19000244140599</c:v>
                </c:pt>
                <c:pt idx="524">
                  <c:v>106.01000213623</c:v>
                </c:pt>
                <c:pt idx="525">
                  <c:v>103.669998168945</c:v>
                </c:pt>
                <c:pt idx="526">
                  <c:v>101.169998168945</c:v>
                </c:pt>
                <c:pt idx="527">
                  <c:v>104.430000305175</c:v>
                </c:pt>
                <c:pt idx="528">
                  <c:v>105.309997558593</c:v>
                </c:pt>
                <c:pt idx="529">
                  <c:v>106.379997253417</c:v>
                </c:pt>
                <c:pt idx="530">
                  <c:v>108.16000366210901</c:v>
                </c:pt>
                <c:pt idx="531">
                  <c:v>107.379997253417</c:v>
                </c:pt>
                <c:pt idx="532">
                  <c:v>107.309997558593</c:v>
                </c:pt>
                <c:pt idx="533">
                  <c:v>107.400001525878</c:v>
                </c:pt>
                <c:pt idx="534">
                  <c:v>108.01999664306599</c:v>
                </c:pt>
                <c:pt idx="535">
                  <c:v>107.900001525878</c:v>
                </c:pt>
                <c:pt idx="536">
                  <c:v>108.23999786376901</c:v>
                </c:pt>
                <c:pt idx="537">
                  <c:v>107.76000213623</c:v>
                </c:pt>
                <c:pt idx="538">
                  <c:v>108.550003051757</c:v>
                </c:pt>
                <c:pt idx="539">
                  <c:v>105.5</c:v>
                </c:pt>
                <c:pt idx="540">
                  <c:v>106.33000183105401</c:v>
                </c:pt>
                <c:pt idx="541">
                  <c:v>109.709999084472</c:v>
                </c:pt>
                <c:pt idx="542">
                  <c:v>110.430000305175</c:v>
                </c:pt>
                <c:pt idx="543">
                  <c:v>111.76999664306599</c:v>
                </c:pt>
                <c:pt idx="544">
                  <c:v>111.809997558593</c:v>
                </c:pt>
                <c:pt idx="545">
                  <c:v>112.56999969482401</c:v>
                </c:pt>
                <c:pt idx="546">
                  <c:v>113.5</c:v>
                </c:pt>
                <c:pt idx="547">
                  <c:v>113.01000213623</c:v>
                </c:pt>
                <c:pt idx="548">
                  <c:v>111.470001220703</c:v>
                </c:pt>
                <c:pt idx="549">
                  <c:v>111.059997558593</c:v>
                </c:pt>
                <c:pt idx="550">
                  <c:v>111.540000915527</c:v>
                </c:pt>
                <c:pt idx="551">
                  <c:v>111.699996948242</c:v>
                </c:pt>
                <c:pt idx="552">
                  <c:v>111.949996948242</c:v>
                </c:pt>
                <c:pt idx="553">
                  <c:v>112.959999084472</c:v>
                </c:pt>
                <c:pt idx="554">
                  <c:v>111.230003356933</c:v>
                </c:pt>
                <c:pt idx="555">
                  <c:v>110.83000183105401</c:v>
                </c:pt>
                <c:pt idx="556">
                  <c:v>109.709999084472</c:v>
                </c:pt>
                <c:pt idx="557">
                  <c:v>109.81999969482401</c:v>
                </c:pt>
                <c:pt idx="558">
                  <c:v>111.669998168945</c:v>
                </c:pt>
                <c:pt idx="559">
                  <c:v>113.06999969482401</c:v>
                </c:pt>
                <c:pt idx="560">
                  <c:v>111.970001220703</c:v>
                </c:pt>
                <c:pt idx="561">
                  <c:v>113.389999389648</c:v>
                </c:pt>
                <c:pt idx="562">
                  <c:v>113.449996948242</c:v>
                </c:pt>
                <c:pt idx="563">
                  <c:v>112.5</c:v>
                </c:pt>
                <c:pt idx="564">
                  <c:v>110.300003051757</c:v>
                </c:pt>
                <c:pt idx="565">
                  <c:v>109.540000915527</c:v>
                </c:pt>
                <c:pt idx="566">
                  <c:v>109.199996948242</c:v>
                </c:pt>
                <c:pt idx="567">
                  <c:v>108.480003356933</c:v>
                </c:pt>
                <c:pt idx="568">
                  <c:v>110.77999877929599</c:v>
                </c:pt>
                <c:pt idx="569">
                  <c:v>110.699996948242</c:v>
                </c:pt>
                <c:pt idx="570">
                  <c:v>110.050003051757</c:v>
                </c:pt>
                <c:pt idx="571">
                  <c:v>108.83999633789</c:v>
                </c:pt>
                <c:pt idx="572">
                  <c:v>108.26999664306599</c:v>
                </c:pt>
                <c:pt idx="573">
                  <c:v>108.400001525878</c:v>
                </c:pt>
                <c:pt idx="574">
                  <c:v>111.08999633789</c:v>
                </c:pt>
                <c:pt idx="575">
                  <c:v>109.050003051757</c:v>
                </c:pt>
                <c:pt idx="576">
                  <c:v>108.930000305175</c:v>
                </c:pt>
                <c:pt idx="577">
                  <c:v>110.309997558593</c:v>
                </c:pt>
                <c:pt idx="578">
                  <c:v>110.02999877929599</c:v>
                </c:pt>
                <c:pt idx="579">
                  <c:v>108.86000061035099</c:v>
                </c:pt>
                <c:pt idx="580">
                  <c:v>109.980003356933</c:v>
                </c:pt>
                <c:pt idx="581">
                  <c:v>106.91000366210901</c:v>
                </c:pt>
                <c:pt idx="582">
                  <c:v>109.02999877929599</c:v>
                </c:pt>
                <c:pt idx="583">
                  <c:v>109.31999969482401</c:v>
                </c:pt>
                <c:pt idx="584">
                  <c:v>108.790000915527</c:v>
                </c:pt>
                <c:pt idx="585">
                  <c:v>108.620002746582</c:v>
                </c:pt>
                <c:pt idx="586">
                  <c:v>112.58999633789</c:v>
                </c:pt>
                <c:pt idx="587">
                  <c:v>112.44000244140599</c:v>
                </c:pt>
                <c:pt idx="588">
                  <c:v>109.129997253417</c:v>
                </c:pt>
                <c:pt idx="589">
                  <c:v>108.459999084472</c:v>
                </c:pt>
                <c:pt idx="590">
                  <c:v>112.76999664306599</c:v>
                </c:pt>
                <c:pt idx="591">
                  <c:v>112.480003356933</c:v>
                </c:pt>
                <c:pt idx="592">
                  <c:v>109.620002746582</c:v>
                </c:pt>
                <c:pt idx="593">
                  <c:v>112.98999786376901</c:v>
                </c:pt>
                <c:pt idx="594">
                  <c:v>111.400001525878</c:v>
                </c:pt>
                <c:pt idx="595">
                  <c:v>110.169998168945</c:v>
                </c:pt>
                <c:pt idx="596">
                  <c:v>109.540000915527</c:v>
                </c:pt>
                <c:pt idx="597">
                  <c:v>109.220001220703</c:v>
                </c:pt>
                <c:pt idx="598">
                  <c:v>110.25</c:v>
                </c:pt>
                <c:pt idx="599">
                  <c:v>107.69000244140599</c:v>
                </c:pt>
                <c:pt idx="600">
                  <c:v>107.949996948242</c:v>
                </c:pt>
                <c:pt idx="601">
                  <c:v>105.919998168945</c:v>
                </c:pt>
                <c:pt idx="602">
                  <c:v>106.08000183105401</c:v>
                </c:pt>
                <c:pt idx="603">
                  <c:v>108.11000061035099</c:v>
                </c:pt>
                <c:pt idx="604">
                  <c:v>108.75</c:v>
                </c:pt>
                <c:pt idx="605">
                  <c:v>106.559997558593</c:v>
                </c:pt>
                <c:pt idx="606">
                  <c:v>106.76000213623</c:v>
                </c:pt>
                <c:pt idx="607">
                  <c:v>107.11000061035099</c:v>
                </c:pt>
                <c:pt idx="608">
                  <c:v>107.76999664306599</c:v>
                </c:pt>
                <c:pt idx="609">
                  <c:v>108.08000183105401</c:v>
                </c:pt>
                <c:pt idx="610">
                  <c:v>107.76999664306599</c:v>
                </c:pt>
                <c:pt idx="611">
                  <c:v>109.470001220703</c:v>
                </c:pt>
                <c:pt idx="612">
                  <c:v>105.98999786376901</c:v>
                </c:pt>
                <c:pt idx="613">
                  <c:v>109.52999877929599</c:v>
                </c:pt>
                <c:pt idx="614">
                  <c:v>110.949996948242</c:v>
                </c:pt>
                <c:pt idx="615">
                  <c:v>110.680000305175</c:v>
                </c:pt>
                <c:pt idx="616">
                  <c:v>110.379997253417</c:v>
                </c:pt>
                <c:pt idx="617">
                  <c:v>110.83000183105401</c:v>
                </c:pt>
                <c:pt idx="618">
                  <c:v>110.209999084472</c:v>
                </c:pt>
                <c:pt idx="619">
                  <c:v>110.81999969482401</c:v>
                </c:pt>
                <c:pt idx="620">
                  <c:v>110.040000915527</c:v>
                </c:pt>
                <c:pt idx="621">
                  <c:v>110.120002746582</c:v>
                </c:pt>
                <c:pt idx="622">
                  <c:v>110.419998168945</c:v>
                </c:pt>
                <c:pt idx="623">
                  <c:v>112.050003051757</c:v>
                </c:pt>
                <c:pt idx="624">
                  <c:v>112.51000213623</c:v>
                </c:pt>
                <c:pt idx="625">
                  <c:v>113.83000183105401</c:v>
                </c:pt>
                <c:pt idx="626">
                  <c:v>114.629997253417</c:v>
                </c:pt>
                <c:pt idx="627">
                  <c:v>114.309997558593</c:v>
                </c:pt>
                <c:pt idx="628">
                  <c:v>113.11000061035099</c:v>
                </c:pt>
                <c:pt idx="629">
                  <c:v>110.459999084472</c:v>
                </c:pt>
                <c:pt idx="630">
                  <c:v>110.58999633789</c:v>
                </c:pt>
                <c:pt idx="631">
                  <c:v>112.83000183105401</c:v>
                </c:pt>
                <c:pt idx="632">
                  <c:v>111.26999664306599</c:v>
                </c:pt>
                <c:pt idx="633">
                  <c:v>108.51999664306599</c:v>
                </c:pt>
                <c:pt idx="634">
                  <c:v>109.629997253417</c:v>
                </c:pt>
                <c:pt idx="635">
                  <c:v>113.400001525878</c:v>
                </c:pt>
                <c:pt idx="636">
                  <c:v>111.150001525878</c:v>
                </c:pt>
                <c:pt idx="637">
                  <c:v>109.059997558593</c:v>
                </c:pt>
                <c:pt idx="638">
                  <c:v>109.970001220703</c:v>
                </c:pt>
                <c:pt idx="639">
                  <c:v>109.06999969482401</c:v>
                </c:pt>
                <c:pt idx="640">
                  <c:v>108.77999877929599</c:v>
                </c:pt>
                <c:pt idx="641">
                  <c:v>110.970001220703</c:v>
                </c:pt>
                <c:pt idx="642">
                  <c:v>111.379997253417</c:v>
                </c:pt>
                <c:pt idx="643">
                  <c:v>112.220001220703</c:v>
                </c:pt>
                <c:pt idx="644">
                  <c:v>112.809997558593</c:v>
                </c:pt>
                <c:pt idx="645">
                  <c:v>108.48999786376901</c:v>
                </c:pt>
                <c:pt idx="646">
                  <c:v>109.959999084472</c:v>
                </c:pt>
                <c:pt idx="647">
                  <c:v>112.56999969482401</c:v>
                </c:pt>
                <c:pt idx="648">
                  <c:v>113.790000915527</c:v>
                </c:pt>
                <c:pt idx="649">
                  <c:v>113.169998168945</c:v>
                </c:pt>
                <c:pt idx="650">
                  <c:v>113.930000305175</c:v>
                </c:pt>
                <c:pt idx="651">
                  <c:v>114.930000305175</c:v>
                </c:pt>
                <c:pt idx="652">
                  <c:v>116.459999084472</c:v>
                </c:pt>
                <c:pt idx="653">
                  <c:v>116.650001525878</c:v>
                </c:pt>
                <c:pt idx="654">
                  <c:v>117.889999389648</c:v>
                </c:pt>
                <c:pt idx="655">
                  <c:v>115.809997558593</c:v>
                </c:pt>
                <c:pt idx="656">
                  <c:v>112.680000305175</c:v>
                </c:pt>
                <c:pt idx="657">
                  <c:v>112.84999847412099</c:v>
                </c:pt>
                <c:pt idx="658">
                  <c:v>111.419998168945</c:v>
                </c:pt>
                <c:pt idx="659">
                  <c:v>113.220001220703</c:v>
                </c:pt>
                <c:pt idx="660">
                  <c:v>111.470001220703</c:v>
                </c:pt>
                <c:pt idx="661">
                  <c:v>110.480003356933</c:v>
                </c:pt>
                <c:pt idx="662">
                  <c:v>111.699996948242</c:v>
                </c:pt>
                <c:pt idx="663">
                  <c:v>113.58000183105401</c:v>
                </c:pt>
                <c:pt idx="664">
                  <c:v>115.480003356933</c:v>
                </c:pt>
                <c:pt idx="665">
                  <c:v>113.09999847412099</c:v>
                </c:pt>
                <c:pt idx="666">
                  <c:v>113.800003051757</c:v>
                </c:pt>
                <c:pt idx="667">
                  <c:v>112.66000366210901</c:v>
                </c:pt>
                <c:pt idx="668">
                  <c:v>111.639999389648</c:v>
                </c:pt>
                <c:pt idx="669">
                  <c:v>115</c:v>
                </c:pt>
                <c:pt idx="670">
                  <c:v>113.800003051757</c:v>
                </c:pt>
                <c:pt idx="671">
                  <c:v>113.709999084472</c:v>
                </c:pt>
                <c:pt idx="672">
                  <c:v>115.419998168945</c:v>
                </c:pt>
                <c:pt idx="673">
                  <c:v>118.26999664306599</c:v>
                </c:pt>
                <c:pt idx="674">
                  <c:v>114.290000915527</c:v>
                </c:pt>
                <c:pt idx="675">
                  <c:v>112.81999969482401</c:v>
                </c:pt>
                <c:pt idx="676">
                  <c:v>111.33999633789</c:v>
                </c:pt>
                <c:pt idx="677">
                  <c:v>114.31999969482401</c:v>
                </c:pt>
                <c:pt idx="678">
                  <c:v>113</c:v>
                </c:pt>
                <c:pt idx="679">
                  <c:v>115.08999633789</c:v>
                </c:pt>
                <c:pt idx="680">
                  <c:v>115.449996948242</c:v>
                </c:pt>
                <c:pt idx="681">
                  <c:v>114.41000366210901</c:v>
                </c:pt>
                <c:pt idx="682">
                  <c:v>112.459999084472</c:v>
                </c:pt>
                <c:pt idx="683">
                  <c:v>112.800003051757</c:v>
                </c:pt>
                <c:pt idx="684">
                  <c:v>112.720001220703</c:v>
                </c:pt>
                <c:pt idx="685">
                  <c:v>112.02999877929599</c:v>
                </c:pt>
                <c:pt idx="686">
                  <c:v>110.08999633789</c:v>
                </c:pt>
                <c:pt idx="687">
                  <c:v>113.11000061035099</c:v>
                </c:pt>
                <c:pt idx="688">
                  <c:v>112.980003356933</c:v>
                </c:pt>
                <c:pt idx="689">
                  <c:v>114.949996948242</c:v>
                </c:pt>
                <c:pt idx="690">
                  <c:v>111.76000213623</c:v>
                </c:pt>
                <c:pt idx="691">
                  <c:v>112.34999847412099</c:v>
                </c:pt>
                <c:pt idx="692">
                  <c:v>111.980003356933</c:v>
                </c:pt>
                <c:pt idx="693">
                  <c:v>114.84999847412099</c:v>
                </c:pt>
                <c:pt idx="694">
                  <c:v>118.639999389648</c:v>
                </c:pt>
                <c:pt idx="695">
                  <c:v>124.01000213623</c:v>
                </c:pt>
                <c:pt idx="696">
                  <c:v>123.389999389648</c:v>
                </c:pt>
                <c:pt idx="697">
                  <c:v>123.419998168945</c:v>
                </c:pt>
                <c:pt idx="698">
                  <c:v>124.11000061035099</c:v>
                </c:pt>
                <c:pt idx="699">
                  <c:v>123.51000213623</c:v>
                </c:pt>
                <c:pt idx="700">
                  <c:v>122.669998168945</c:v>
                </c:pt>
                <c:pt idx="701">
                  <c:v>121.559997558593</c:v>
                </c:pt>
                <c:pt idx="702">
                  <c:v>122.040000915527</c:v>
                </c:pt>
                <c:pt idx="703">
                  <c:v>121.199996948242</c:v>
                </c:pt>
                <c:pt idx="704">
                  <c:v>121.870002746582</c:v>
                </c:pt>
                <c:pt idx="705">
                  <c:v>120.76000213623</c:v>
                </c:pt>
                <c:pt idx="706">
                  <c:v>124.040000915527</c:v>
                </c:pt>
                <c:pt idx="707">
                  <c:v>123.86000061035099</c:v>
                </c:pt>
                <c:pt idx="708">
                  <c:v>124.91000366210901</c:v>
                </c:pt>
                <c:pt idx="709">
                  <c:v>125.69000244140599</c:v>
                </c:pt>
                <c:pt idx="710">
                  <c:v>126.209999084472</c:v>
                </c:pt>
                <c:pt idx="711">
                  <c:v>126.379997253417</c:v>
                </c:pt>
                <c:pt idx="712">
                  <c:v>126.309997558593</c:v>
                </c:pt>
                <c:pt idx="713">
                  <c:v>124.629997253417</c:v>
                </c:pt>
                <c:pt idx="714">
                  <c:v>125.720001220703</c:v>
                </c:pt>
                <c:pt idx="715">
                  <c:v>124.449996948242</c:v>
                </c:pt>
                <c:pt idx="716">
                  <c:v>125.900001525878</c:v>
                </c:pt>
                <c:pt idx="717">
                  <c:v>124.59999847412099</c:v>
                </c:pt>
                <c:pt idx="718">
                  <c:v>125.540000915527</c:v>
                </c:pt>
                <c:pt idx="719">
                  <c:v>124.730003356933</c:v>
                </c:pt>
                <c:pt idx="720">
                  <c:v>123.180000305175</c:v>
                </c:pt>
                <c:pt idx="721">
                  <c:v>122.919998168945</c:v>
                </c:pt>
                <c:pt idx="722">
                  <c:v>122.26000213623</c:v>
                </c:pt>
                <c:pt idx="723">
                  <c:v>120.73999786376901</c:v>
                </c:pt>
                <c:pt idx="724">
                  <c:v>126.34999847412099</c:v>
                </c:pt>
                <c:pt idx="725">
                  <c:v>124.36000061035099</c:v>
                </c:pt>
                <c:pt idx="726">
                  <c:v>125.309997558593</c:v>
                </c:pt>
                <c:pt idx="727">
                  <c:v>124.900001525878</c:v>
                </c:pt>
                <c:pt idx="728">
                  <c:v>128.19000244140599</c:v>
                </c:pt>
                <c:pt idx="729">
                  <c:v>126.389999389648</c:v>
                </c:pt>
                <c:pt idx="730">
                  <c:v>126.51000213623</c:v>
                </c:pt>
                <c:pt idx="731">
                  <c:v>123.81999969482401</c:v>
                </c:pt>
                <c:pt idx="732">
                  <c:v>125.199996948242</c:v>
                </c:pt>
                <c:pt idx="733">
                  <c:v>125.23999786376901</c:v>
                </c:pt>
                <c:pt idx="734">
                  <c:v>121.629997253417</c:v>
                </c:pt>
                <c:pt idx="735">
                  <c:v>121.040000915527</c:v>
                </c:pt>
                <c:pt idx="736">
                  <c:v>116.980003356933</c:v>
                </c:pt>
                <c:pt idx="737">
                  <c:v>115.169998168945</c:v>
                </c:pt>
                <c:pt idx="738">
                  <c:v>116.08000183105401</c:v>
                </c:pt>
                <c:pt idx="739">
                  <c:v>115.98999786376901</c:v>
                </c:pt>
                <c:pt idx="740">
                  <c:v>117.300003051757</c:v>
                </c:pt>
                <c:pt idx="741">
                  <c:v>117.36000061035099</c:v>
                </c:pt>
                <c:pt idx="742">
                  <c:v>121</c:v>
                </c:pt>
                <c:pt idx="743">
                  <c:v>121.75</c:v>
                </c:pt>
                <c:pt idx="744">
                  <c:v>123.41000366210901</c:v>
                </c:pt>
                <c:pt idx="745">
                  <c:v>122.120002746582</c:v>
                </c:pt>
                <c:pt idx="746">
                  <c:v>120.56999969482401</c:v>
                </c:pt>
                <c:pt idx="747">
                  <c:v>119.730003356933</c:v>
                </c:pt>
                <c:pt idx="748">
                  <c:v>119.309997558593</c:v>
                </c:pt>
                <c:pt idx="749">
                  <c:v>117.459999084472</c:v>
                </c:pt>
                <c:pt idx="750">
                  <c:v>119.900001525878</c:v>
                </c:pt>
                <c:pt idx="751">
                  <c:v>118.26000213623</c:v>
                </c:pt>
                <c:pt idx="752">
                  <c:v>119.980003356933</c:v>
                </c:pt>
                <c:pt idx="753">
                  <c:v>120.650001525878</c:v>
                </c:pt>
                <c:pt idx="754">
                  <c:v>121.430000305175</c:v>
                </c:pt>
                <c:pt idx="755">
                  <c:v>119.209999084472</c:v>
                </c:pt>
                <c:pt idx="756">
                  <c:v>120.980003356933</c:v>
                </c:pt>
                <c:pt idx="757">
                  <c:v>120.76999664306599</c:v>
                </c:pt>
                <c:pt idx="758">
                  <c:v>122.790000915527</c:v>
                </c:pt>
                <c:pt idx="759">
                  <c:v>124.52999877929599</c:v>
                </c:pt>
                <c:pt idx="760">
                  <c:v>124.220001220703</c:v>
                </c:pt>
                <c:pt idx="761">
                  <c:v>123.48999786376901</c:v>
                </c:pt>
                <c:pt idx="762">
                  <c:v>124.620002746582</c:v>
                </c:pt>
                <c:pt idx="763">
                  <c:v>127.19000244140599</c:v>
                </c:pt>
                <c:pt idx="764">
                  <c:v>124.040000915527</c:v>
                </c:pt>
                <c:pt idx="765">
                  <c:v>123.430000305175</c:v>
                </c:pt>
                <c:pt idx="766">
                  <c:v>126.680000305175</c:v>
                </c:pt>
                <c:pt idx="767">
                  <c:v>128.52999877929599</c:v>
                </c:pt>
                <c:pt idx="768">
                  <c:v>128.05999755859301</c:v>
                </c:pt>
                <c:pt idx="769">
                  <c:v>128.350006103515</c:v>
                </c:pt>
                <c:pt idx="770">
                  <c:v>130.16000366210901</c:v>
                </c:pt>
                <c:pt idx="771">
                  <c:v>131.419998168945</c:v>
                </c:pt>
                <c:pt idx="772">
                  <c:v>131.75</c:v>
                </c:pt>
                <c:pt idx="773">
                  <c:v>132.99000549316401</c:v>
                </c:pt>
                <c:pt idx="774">
                  <c:v>132.75</c:v>
                </c:pt>
                <c:pt idx="775">
                  <c:v>133.83999633789</c:v>
                </c:pt>
                <c:pt idx="776">
                  <c:v>132.08000183105401</c:v>
                </c:pt>
                <c:pt idx="777">
                  <c:v>132.259994506835</c:v>
                </c:pt>
                <c:pt idx="778">
                  <c:v>133.05000305175699</c:v>
                </c:pt>
                <c:pt idx="779">
                  <c:v>130.02999877929599</c:v>
                </c:pt>
                <c:pt idx="780">
                  <c:v>131.11000061035099</c:v>
                </c:pt>
                <c:pt idx="781">
                  <c:v>129.36999511718699</c:v>
                </c:pt>
                <c:pt idx="782">
                  <c:v>131.86000061035099</c:v>
                </c:pt>
                <c:pt idx="783">
                  <c:v>131.86999511718699</c:v>
                </c:pt>
                <c:pt idx="784">
                  <c:v>133.55999755859301</c:v>
                </c:pt>
                <c:pt idx="785">
                  <c:v>133.64999389648401</c:v>
                </c:pt>
                <c:pt idx="786">
                  <c:v>134.63999938964801</c:v>
                </c:pt>
                <c:pt idx="787">
                  <c:v>132.66000366210901</c:v>
                </c:pt>
                <c:pt idx="788">
                  <c:v>130.57000732421801</c:v>
                </c:pt>
                <c:pt idx="789">
                  <c:v>129.78999328613199</c:v>
                </c:pt>
                <c:pt idx="790">
                  <c:v>130.77000427246</c:v>
                </c:pt>
                <c:pt idx="791">
                  <c:v>130.99000549316401</c:v>
                </c:pt>
                <c:pt idx="792">
                  <c:v>131.259994506835</c:v>
                </c:pt>
                <c:pt idx="793">
                  <c:v>133.11999511718699</c:v>
                </c:pt>
                <c:pt idx="794">
                  <c:v>134.07000732421801</c:v>
                </c:pt>
                <c:pt idx="795">
                  <c:v>133.88000488281199</c:v>
                </c:pt>
                <c:pt idx="796">
                  <c:v>135.850006103515</c:v>
                </c:pt>
                <c:pt idx="797">
                  <c:v>135.05000305175699</c:v>
                </c:pt>
                <c:pt idx="798">
                  <c:v>135.5</c:v>
                </c:pt>
                <c:pt idx="799">
                  <c:v>136.5</c:v>
                </c:pt>
                <c:pt idx="800">
                  <c:v>135.27999877929599</c:v>
                </c:pt>
                <c:pt idx="801">
                  <c:v>135.16000366210901</c:v>
                </c:pt>
                <c:pt idx="802">
                  <c:v>134.38999938964801</c:v>
                </c:pt>
                <c:pt idx="803">
                  <c:v>131.88999938964801</c:v>
                </c:pt>
                <c:pt idx="804">
                  <c:v>129.600006103515</c:v>
                </c:pt>
                <c:pt idx="805">
                  <c:v>126.51000213623</c:v>
                </c:pt>
                <c:pt idx="806">
                  <c:v>129.05999755859301</c:v>
                </c:pt>
                <c:pt idx="807">
                  <c:v>128.58000183105401</c:v>
                </c:pt>
                <c:pt idx="808">
                  <c:v>131.33999633789</c:v>
                </c:pt>
                <c:pt idx="809">
                  <c:v>130.47000122070301</c:v>
                </c:pt>
                <c:pt idx="810">
                  <c:v>130.66000366210901</c:v>
                </c:pt>
                <c:pt idx="811">
                  <c:v>134.28999328613199</c:v>
                </c:pt>
                <c:pt idx="812">
                  <c:v>132.80000305175699</c:v>
                </c:pt>
                <c:pt idx="813">
                  <c:v>132.259994506835</c:v>
                </c:pt>
                <c:pt idx="814">
                  <c:v>136.100006103515</c:v>
                </c:pt>
                <c:pt idx="815">
                  <c:v>134.99000549316401</c:v>
                </c:pt>
                <c:pt idx="816">
                  <c:v>134.61999511718699</c:v>
                </c:pt>
                <c:pt idx="817">
                  <c:v>132.77999877929599</c:v>
                </c:pt>
                <c:pt idx="818">
                  <c:v>134.27000427246</c:v>
                </c:pt>
                <c:pt idx="819">
                  <c:v>137.97999572753901</c:v>
                </c:pt>
                <c:pt idx="820">
                  <c:v>141.64999389648401</c:v>
                </c:pt>
                <c:pt idx="821">
                  <c:v>141.86999511718699</c:v>
                </c:pt>
                <c:pt idx="822">
                  <c:v>142.44000244140599</c:v>
                </c:pt>
                <c:pt idx="823">
                  <c:v>138.919998168945</c:v>
                </c:pt>
                <c:pt idx="824">
                  <c:v>139.69999694824199</c:v>
                </c:pt>
                <c:pt idx="825">
                  <c:v>143.27000427246</c:v>
                </c:pt>
                <c:pt idx="826">
                  <c:v>141.83000183105401</c:v>
                </c:pt>
                <c:pt idx="827">
                  <c:v>138.83000183105401</c:v>
                </c:pt>
                <c:pt idx="828">
                  <c:v>138.92999267578099</c:v>
                </c:pt>
                <c:pt idx="829">
                  <c:v>136.22999572753901</c:v>
                </c:pt>
                <c:pt idx="830">
                  <c:v>133.38999938964801</c:v>
                </c:pt>
                <c:pt idx="831">
                  <c:v>132.55999755859301</c:v>
                </c:pt>
                <c:pt idx="832">
                  <c:v>130.89999389648401</c:v>
                </c:pt>
                <c:pt idx="833">
                  <c:v>131.80999755859301</c:v>
                </c:pt>
                <c:pt idx="834">
                  <c:v>131.33000183105401</c:v>
                </c:pt>
                <c:pt idx="835">
                  <c:v>131.41000366210901</c:v>
                </c:pt>
                <c:pt idx="836">
                  <c:v>130</c:v>
                </c:pt>
                <c:pt idx="837">
                  <c:v>131.24000549316401</c:v>
                </c:pt>
                <c:pt idx="838">
                  <c:v>130.25</c:v>
                </c:pt>
                <c:pt idx="839">
                  <c:v>131.58999633789</c:v>
                </c:pt>
                <c:pt idx="840">
                  <c:v>132.27000427246</c:v>
                </c:pt>
                <c:pt idx="841">
                  <c:v>132.05000305175699</c:v>
                </c:pt>
                <c:pt idx="842">
                  <c:v>134.17999267578099</c:v>
                </c:pt>
                <c:pt idx="843">
                  <c:v>134.05000305175699</c:v>
                </c:pt>
                <c:pt idx="844">
                  <c:v>132.24000549316401</c:v>
                </c:pt>
                <c:pt idx="845">
                  <c:v>132.21000671386699</c:v>
                </c:pt>
                <c:pt idx="846">
                  <c:v>132.49000549316401</c:v>
                </c:pt>
                <c:pt idx="847">
                  <c:v>133.25</c:v>
                </c:pt>
                <c:pt idx="848">
                  <c:v>137.41000366210901</c:v>
                </c:pt>
                <c:pt idx="849">
                  <c:v>138.669998168945</c:v>
                </c:pt>
                <c:pt idx="850">
                  <c:v>140.77999877929599</c:v>
                </c:pt>
                <c:pt idx="851">
                  <c:v>140.97999572753901</c:v>
                </c:pt>
                <c:pt idx="852">
                  <c:v>140.759994506835</c:v>
                </c:pt>
                <c:pt idx="853">
                  <c:v>141.99000549316401</c:v>
                </c:pt>
                <c:pt idx="854">
                  <c:v>140.49000549316401</c:v>
                </c:pt>
                <c:pt idx="855">
                  <c:v>142.58999633789</c:v>
                </c:pt>
                <c:pt idx="856">
                  <c:v>141.419998168945</c:v>
                </c:pt>
                <c:pt idx="857">
                  <c:v>141.80000305175699</c:v>
                </c:pt>
                <c:pt idx="858">
                  <c:v>143.42999267578099</c:v>
                </c:pt>
                <c:pt idx="859">
                  <c:v>142.49000549316401</c:v>
                </c:pt>
                <c:pt idx="860">
                  <c:v>143.03999328613199</c:v>
                </c:pt>
                <c:pt idx="861">
                  <c:v>145.16000366210901</c:v>
                </c:pt>
                <c:pt idx="862">
                  <c:v>143.78999328613199</c:v>
                </c:pt>
                <c:pt idx="863">
                  <c:v>142.919998168945</c:v>
                </c:pt>
                <c:pt idx="864">
                  <c:v>143.38999938964801</c:v>
                </c:pt>
                <c:pt idx="865">
                  <c:v>144.74000549316401</c:v>
                </c:pt>
                <c:pt idx="866">
                  <c:v>144.83000183105401</c:v>
                </c:pt>
                <c:pt idx="867">
                  <c:v>146.88999938964801</c:v>
                </c:pt>
                <c:pt idx="868">
                  <c:v>147.75</c:v>
                </c:pt>
                <c:pt idx="869">
                  <c:v>149.600006103515</c:v>
                </c:pt>
                <c:pt idx="870">
                  <c:v>149.38999938964801</c:v>
                </c:pt>
                <c:pt idx="871">
                  <c:v>151.16000366210901</c:v>
                </c:pt>
                <c:pt idx="872">
                  <c:v>150.83000183105401</c:v>
                </c:pt>
                <c:pt idx="873">
                  <c:v>150.72999572753901</c:v>
                </c:pt>
                <c:pt idx="874">
                  <c:v>150.94999694824199</c:v>
                </c:pt>
                <c:pt idx="875">
                  <c:v>150.61000061035099</c:v>
                </c:pt>
                <c:pt idx="876">
                  <c:v>150.5</c:v>
                </c:pt>
                <c:pt idx="877">
                  <c:v>150.77000427246</c:v>
                </c:pt>
                <c:pt idx="878">
                  <c:v>150.32000732421801</c:v>
                </c:pt>
                <c:pt idx="879">
                  <c:v>150.67999267578099</c:v>
                </c:pt>
                <c:pt idx="880">
                  <c:v>152.100006103515</c:v>
                </c:pt>
                <c:pt idx="881">
                  <c:v>152.63000488281199</c:v>
                </c:pt>
                <c:pt idx="882">
                  <c:v>151</c:v>
                </c:pt>
                <c:pt idx="883">
                  <c:v>148.850006103515</c:v>
                </c:pt>
                <c:pt idx="884">
                  <c:v>148.919998168945</c:v>
                </c:pt>
                <c:pt idx="885">
                  <c:v>152.07000732421801</c:v>
                </c:pt>
                <c:pt idx="886">
                  <c:v>154.07000732421801</c:v>
                </c:pt>
                <c:pt idx="887">
                  <c:v>155.22000122070301</c:v>
                </c:pt>
                <c:pt idx="888">
                  <c:v>156.75</c:v>
                </c:pt>
                <c:pt idx="889">
                  <c:v>159.97999572753901</c:v>
                </c:pt>
                <c:pt idx="890">
                  <c:v>160.67999267578099</c:v>
                </c:pt>
                <c:pt idx="891">
                  <c:v>158.69999694824199</c:v>
                </c:pt>
                <c:pt idx="892">
                  <c:v>159.28999328613199</c:v>
                </c:pt>
                <c:pt idx="893">
                  <c:v>155.83999633789</c:v>
                </c:pt>
                <c:pt idx="894">
                  <c:v>155</c:v>
                </c:pt>
                <c:pt idx="895">
                  <c:v>155.33999633789</c:v>
                </c:pt>
                <c:pt idx="896">
                  <c:v>155.82000732421801</c:v>
                </c:pt>
                <c:pt idx="897">
                  <c:v>156.88999938964801</c:v>
                </c:pt>
                <c:pt idx="898">
                  <c:v>157.47000122070301</c:v>
                </c:pt>
                <c:pt idx="899">
                  <c:v>154.17999267578099</c:v>
                </c:pt>
                <c:pt idx="900">
                  <c:v>153.07000732421801</c:v>
                </c:pt>
                <c:pt idx="901">
                  <c:v>151.919998168945</c:v>
                </c:pt>
                <c:pt idx="902">
                  <c:v>152.259994506835</c:v>
                </c:pt>
                <c:pt idx="903">
                  <c:v>150</c:v>
                </c:pt>
                <c:pt idx="904">
                  <c:v>146</c:v>
                </c:pt>
                <c:pt idx="905">
                  <c:v>148.600006103515</c:v>
                </c:pt>
                <c:pt idx="906">
                  <c:v>146.63000488281199</c:v>
                </c:pt>
                <c:pt idx="907">
                  <c:v>146.44999694824199</c:v>
                </c:pt>
                <c:pt idx="908">
                  <c:v>146.600006103515</c:v>
                </c:pt>
                <c:pt idx="909">
                  <c:v>148.13999938964801</c:v>
                </c:pt>
                <c:pt idx="910">
                  <c:v>147.61999511718699</c:v>
                </c:pt>
                <c:pt idx="911">
                  <c:v>151.05000305175699</c:v>
                </c:pt>
                <c:pt idx="912">
                  <c:v>153.02999877929599</c:v>
                </c:pt>
                <c:pt idx="913">
                  <c:v>153.05000305175699</c:v>
                </c:pt>
                <c:pt idx="914">
                  <c:v>152.21000671386699</c:v>
                </c:pt>
                <c:pt idx="915">
                  <c:v>152.08000183105401</c:v>
                </c:pt>
                <c:pt idx="916">
                  <c:v>151.71000671386699</c:v>
                </c:pt>
                <c:pt idx="917">
                  <c:v>151.19999694824199</c:v>
                </c:pt>
                <c:pt idx="918">
                  <c:v>150.07000732421801</c:v>
                </c:pt>
                <c:pt idx="919">
                  <c:v>151.55000305175699</c:v>
                </c:pt>
                <c:pt idx="920">
                  <c:v>151.46000671386699</c:v>
                </c:pt>
                <c:pt idx="921">
                  <c:v>151.24000549316401</c:v>
                </c:pt>
                <c:pt idx="922">
                  <c:v>151.509994506835</c:v>
                </c:pt>
                <c:pt idx="923">
                  <c:v>149.36000061035099</c:v>
                </c:pt>
                <c:pt idx="924">
                  <c:v>147.02999877929599</c:v>
                </c:pt>
                <c:pt idx="925">
                  <c:v>144.86999511718699</c:v>
                </c:pt>
                <c:pt idx="926">
                  <c:v>143.72000122070301</c:v>
                </c:pt>
                <c:pt idx="927">
                  <c:v>142.57000732421801</c:v>
                </c:pt>
                <c:pt idx="928">
                  <c:v>142.94000244140599</c:v>
                </c:pt>
                <c:pt idx="929">
                  <c:v>144.11999511718699</c:v>
                </c:pt>
                <c:pt idx="930">
                  <c:v>140.509994506835</c:v>
                </c:pt>
                <c:pt idx="931">
                  <c:v>142.72999572753901</c:v>
                </c:pt>
                <c:pt idx="932">
                  <c:v>140.39999389648401</c:v>
                </c:pt>
                <c:pt idx="933">
                  <c:v>139.96000671386699</c:v>
                </c:pt>
                <c:pt idx="934">
                  <c:v>138.16000366210901</c:v>
                </c:pt>
                <c:pt idx="935">
                  <c:v>138.14999389648401</c:v>
                </c:pt>
                <c:pt idx="936">
                  <c:v>139.92999267578099</c:v>
                </c:pt>
                <c:pt idx="937">
                  <c:v>143.30000305175699</c:v>
                </c:pt>
                <c:pt idx="938">
                  <c:v>141.33999633789</c:v>
                </c:pt>
                <c:pt idx="939">
                  <c:v>140.05999755859301</c:v>
                </c:pt>
                <c:pt idx="940">
                  <c:v>140.509994506835</c:v>
                </c:pt>
                <c:pt idx="941">
                  <c:v>139.66000366210901</c:v>
                </c:pt>
                <c:pt idx="942">
                  <c:v>139.55000305175699</c:v>
                </c:pt>
                <c:pt idx="943">
                  <c:v>141.78999328613199</c:v>
                </c:pt>
                <c:pt idx="944">
                  <c:v>137.72999572753901</c:v>
                </c:pt>
                <c:pt idx="945">
                  <c:v>138.96000671386699</c:v>
                </c:pt>
                <c:pt idx="946">
                  <c:v>143.350006103515</c:v>
                </c:pt>
                <c:pt idx="947">
                  <c:v>141.33000183105401</c:v>
                </c:pt>
                <c:pt idx="948">
                  <c:v>141.47000122070301</c:v>
                </c:pt>
                <c:pt idx="949">
                  <c:v>141.08999633789</c:v>
                </c:pt>
                <c:pt idx="950">
                  <c:v>141.21000671386699</c:v>
                </c:pt>
                <c:pt idx="951">
                  <c:v>140.5</c:v>
                </c:pt>
                <c:pt idx="952">
                  <c:v>140</c:v>
                </c:pt>
                <c:pt idx="953">
                  <c:v>138.80000305175699</c:v>
                </c:pt>
                <c:pt idx="954">
                  <c:v>140</c:v>
                </c:pt>
                <c:pt idx="955">
                  <c:v>138.57000732421801</c:v>
                </c:pt>
                <c:pt idx="956">
                  <c:v>140.33000183105401</c:v>
                </c:pt>
                <c:pt idx="957">
                  <c:v>140.75</c:v>
                </c:pt>
                <c:pt idx="958">
                  <c:v>140.350006103515</c:v>
                </c:pt>
                <c:pt idx="959">
                  <c:v>141.02999877929599</c:v>
                </c:pt>
                <c:pt idx="960">
                  <c:v>142.33000183105401</c:v>
                </c:pt>
                <c:pt idx="961">
                  <c:v>143.94000244140599</c:v>
                </c:pt>
                <c:pt idx="962">
                  <c:v>144.97000122070301</c:v>
                </c:pt>
                <c:pt idx="963">
                  <c:v>147.83999633789</c:v>
                </c:pt>
                <c:pt idx="964">
                  <c:v>145.509994506835</c:v>
                </c:pt>
                <c:pt idx="965">
                  <c:v>145.44000244140599</c:v>
                </c:pt>
                <c:pt idx="966">
                  <c:v>146.08000183105401</c:v>
                </c:pt>
                <c:pt idx="967">
                  <c:v>144.66000366210901</c:v>
                </c:pt>
                <c:pt idx="968">
                  <c:v>146</c:v>
                </c:pt>
                <c:pt idx="969">
                  <c:v>145.53999328613199</c:v>
                </c:pt>
                <c:pt idx="970">
                  <c:v>147.64999389648401</c:v>
                </c:pt>
                <c:pt idx="971">
                  <c:v>149.30999755859301</c:v>
                </c:pt>
                <c:pt idx="972">
                  <c:v>144.69999694824199</c:v>
                </c:pt>
                <c:pt idx="973">
                  <c:v>144.72000122070301</c:v>
                </c:pt>
                <c:pt idx="974">
                  <c:v>141.11000061035099</c:v>
                </c:pt>
                <c:pt idx="975">
                  <c:v>145.07000732421801</c:v>
                </c:pt>
                <c:pt idx="976">
                  <c:v>146.41000366210901</c:v>
                </c:pt>
                <c:pt idx="977">
                  <c:v>144.77000427246</c:v>
                </c:pt>
                <c:pt idx="978">
                  <c:v>143.24000549316401</c:v>
                </c:pt>
                <c:pt idx="979">
                  <c:v>142.42999267578099</c:v>
                </c:pt>
                <c:pt idx="980">
                  <c:v>137.33999633789</c:v>
                </c:pt>
                <c:pt idx="981">
                  <c:v>137.36000061035099</c:v>
                </c:pt>
                <c:pt idx="982">
                  <c:v>138.02000427246</c:v>
                </c:pt>
                <c:pt idx="983">
                  <c:v>135.83000183105401</c:v>
                </c:pt>
                <c:pt idx="984">
                  <c:v>136.49000549316401</c:v>
                </c:pt>
                <c:pt idx="985">
                  <c:v>139.259994506835</c:v>
                </c:pt>
                <c:pt idx="986">
                  <c:v>138.91000366210901</c:v>
                </c:pt>
                <c:pt idx="987">
                  <c:v>136.33000183105401</c:v>
                </c:pt>
                <c:pt idx="988">
                  <c:v>135.58999633789</c:v>
                </c:pt>
                <c:pt idx="989">
                  <c:v>135.94999694824199</c:v>
                </c:pt>
                <c:pt idx="990">
                  <c:v>134.89999389648401</c:v>
                </c:pt>
                <c:pt idx="991">
                  <c:v>133.86999511718699</c:v>
                </c:pt>
                <c:pt idx="992">
                  <c:v>137.63000488281199</c:v>
                </c:pt>
                <c:pt idx="993">
                  <c:v>136.11999511718699</c:v>
                </c:pt>
                <c:pt idx="994">
                  <c:v>137.36999511718699</c:v>
                </c:pt>
                <c:pt idx="995">
                  <c:v>136.92999267578099</c:v>
                </c:pt>
                <c:pt idx="996">
                  <c:v>136.77000427246</c:v>
                </c:pt>
                <c:pt idx="997">
                  <c:v>137.850006103515</c:v>
                </c:pt>
                <c:pt idx="998">
                  <c:v>136.05999755859301</c:v>
                </c:pt>
                <c:pt idx="999">
                  <c:v>135.41000366210901</c:v>
                </c:pt>
                <c:pt idx="1000">
                  <c:v>137.39999389648401</c:v>
                </c:pt>
                <c:pt idx="1001">
                  <c:v>136.27999877929599</c:v>
                </c:pt>
                <c:pt idx="1002">
                  <c:v>136.16000366210901</c:v>
                </c:pt>
                <c:pt idx="1003">
                  <c:v>132.66000366210901</c:v>
                </c:pt>
                <c:pt idx="1004">
                  <c:v>134.02000427246</c:v>
                </c:pt>
                <c:pt idx="1005">
                  <c:v>134.96000671386699</c:v>
                </c:pt>
                <c:pt idx="1006">
                  <c:v>132.44000244140599</c:v>
                </c:pt>
                <c:pt idx="1007">
                  <c:v>129.53999328613199</c:v>
                </c:pt>
                <c:pt idx="1008">
                  <c:v>126.730003356933</c:v>
                </c:pt>
                <c:pt idx="1009">
                  <c:v>129.72999572753901</c:v>
                </c:pt>
                <c:pt idx="1010">
                  <c:v>133.08999633789</c:v>
                </c:pt>
                <c:pt idx="1011">
                  <c:v>134.89999389648401</c:v>
                </c:pt>
                <c:pt idx="1012">
                  <c:v>138.27000427246</c:v>
                </c:pt>
                <c:pt idx="1013">
                  <c:v>135.97999572753901</c:v>
                </c:pt>
                <c:pt idx="1014">
                  <c:v>139.86999511718699</c:v>
                </c:pt>
                <c:pt idx="1015">
                  <c:v>137.05999755859301</c:v>
                </c:pt>
                <c:pt idx="1016">
                  <c:v>136.80999755859301</c:v>
                </c:pt>
                <c:pt idx="1017">
                  <c:v>142.16000366210901</c:v>
                </c:pt>
                <c:pt idx="1018">
                  <c:v>144</c:v>
                </c:pt>
                <c:pt idx="1019">
                  <c:v>144.64999389648401</c:v>
                </c:pt>
                <c:pt idx="1020">
                  <c:v>145.52999877929599</c:v>
                </c:pt>
                <c:pt idx="1021">
                  <c:v>147.100006103515</c:v>
                </c:pt>
                <c:pt idx="1022">
                  <c:v>145.759994506835</c:v>
                </c:pt>
                <c:pt idx="1023">
                  <c:v>146.21000671386699</c:v>
                </c:pt>
                <c:pt idx="1024">
                  <c:v>147.53999328613199</c:v>
                </c:pt>
                <c:pt idx="1025">
                  <c:v>145.77999877929599</c:v>
                </c:pt>
                <c:pt idx="1026">
                  <c:v>146.80000305175699</c:v>
                </c:pt>
                <c:pt idx="1027">
                  <c:v>145.36000061035099</c:v>
                </c:pt>
                <c:pt idx="1028">
                  <c:v>145.5</c:v>
                </c:pt>
                <c:pt idx="1029">
                  <c:v>147.11999511718699</c:v>
                </c:pt>
                <c:pt idx="1030">
                  <c:v>146.80000305175699</c:v>
                </c:pt>
                <c:pt idx="1031">
                  <c:v>150.28999328613199</c:v>
                </c:pt>
                <c:pt idx="1032">
                  <c:v>146.72999572753901</c:v>
                </c:pt>
                <c:pt idx="1033">
                  <c:v>145.83999633789</c:v>
                </c:pt>
                <c:pt idx="1034">
                  <c:v>144.99000549316401</c:v>
                </c:pt>
                <c:pt idx="1035">
                  <c:v>146.86999511718699</c:v>
                </c:pt>
                <c:pt idx="1036">
                  <c:v>147.46000671386699</c:v>
                </c:pt>
                <c:pt idx="1037">
                  <c:v>150.22999572753901</c:v>
                </c:pt>
                <c:pt idx="1038">
                  <c:v>151.69000244140599</c:v>
                </c:pt>
                <c:pt idx="1039">
                  <c:v>153.46000671386699</c:v>
                </c:pt>
                <c:pt idx="1040">
                  <c:v>153.96000671386699</c:v>
                </c:pt>
                <c:pt idx="1041">
                  <c:v>153.63999938964801</c:v>
                </c:pt>
                <c:pt idx="1042">
                  <c:v>156.86999511718699</c:v>
                </c:pt>
                <c:pt idx="1043">
                  <c:v>161.27000427246</c:v>
                </c:pt>
                <c:pt idx="1044">
                  <c:v>165.19999694824199</c:v>
                </c:pt>
                <c:pt idx="1045">
                  <c:v>166.5</c:v>
                </c:pt>
                <c:pt idx="1046">
                  <c:v>168.11999511718699</c:v>
                </c:pt>
                <c:pt idx="1047">
                  <c:v>168.47999572753901</c:v>
                </c:pt>
                <c:pt idx="1048">
                  <c:v>164.75</c:v>
                </c:pt>
                <c:pt idx="1049">
                  <c:v>163.52000427246</c:v>
                </c:pt>
                <c:pt idx="1050">
                  <c:v>161.89999389648401</c:v>
                </c:pt>
                <c:pt idx="1051">
                  <c:v>162.19000244140599</c:v>
                </c:pt>
                <c:pt idx="1052">
                  <c:v>162.009994506835</c:v>
                </c:pt>
                <c:pt idx="1053">
                  <c:v>161.14999389648401</c:v>
                </c:pt>
                <c:pt idx="1054">
                  <c:v>161.22999572753901</c:v>
                </c:pt>
                <c:pt idx="1055">
                  <c:v>158.53999328613199</c:v>
                </c:pt>
                <c:pt idx="1056">
                  <c:v>156.39999389648401</c:v>
                </c:pt>
                <c:pt idx="1057">
                  <c:v>154.259994506835</c:v>
                </c:pt>
                <c:pt idx="1058">
                  <c:v>152.97000122070301</c:v>
                </c:pt>
                <c:pt idx="1059">
                  <c:v>151.669998168945</c:v>
                </c:pt>
                <c:pt idx="1060">
                  <c:v>152.89999389648401</c:v>
                </c:pt>
                <c:pt idx="1061">
                  <c:v>153.97999572753901</c:v>
                </c:pt>
                <c:pt idx="1062">
                  <c:v>151.88000488281199</c:v>
                </c:pt>
                <c:pt idx="1063">
                  <c:v>157</c:v>
                </c:pt>
                <c:pt idx="1064">
                  <c:v>155.78999328613199</c:v>
                </c:pt>
                <c:pt idx="1065">
                  <c:v>157.33999633789</c:v>
                </c:pt>
                <c:pt idx="1066">
                  <c:v>156.36999511718699</c:v>
                </c:pt>
                <c:pt idx="1067">
                  <c:v>156.41000366210901</c:v>
                </c:pt>
                <c:pt idx="1068">
                  <c:v>155.759994506835</c:v>
                </c:pt>
                <c:pt idx="1069">
                  <c:v>154.27000427246</c:v>
                </c:pt>
                <c:pt idx="1070">
                  <c:v>156.97000122070301</c:v>
                </c:pt>
                <c:pt idx="1071">
                  <c:v>154.75</c:v>
                </c:pt>
                <c:pt idx="1072">
                  <c:v>156.55999755859301</c:v>
                </c:pt>
                <c:pt idx="1073">
                  <c:v>157.47000122070301</c:v>
                </c:pt>
                <c:pt idx="1074">
                  <c:v>159.53999328613199</c:v>
                </c:pt>
                <c:pt idx="1075">
                  <c:v>160.22999572753901</c:v>
                </c:pt>
                <c:pt idx="1076">
                  <c:v>163.58000183105401</c:v>
                </c:pt>
                <c:pt idx="1077">
                  <c:v>167.53999328613199</c:v>
                </c:pt>
                <c:pt idx="1078">
                  <c:v>175.169998168945</c:v>
                </c:pt>
                <c:pt idx="1079">
                  <c:v>167.24000549316401</c:v>
                </c:pt>
                <c:pt idx="1080">
                  <c:v>166.52000427246</c:v>
                </c:pt>
                <c:pt idx="1081">
                  <c:v>167.82000732421801</c:v>
                </c:pt>
                <c:pt idx="1082">
                  <c:v>166.509994506835</c:v>
                </c:pt>
                <c:pt idx="1083">
                  <c:v>167.33999633789</c:v>
                </c:pt>
                <c:pt idx="1084">
                  <c:v>167.13999938964801</c:v>
                </c:pt>
                <c:pt idx="1085">
                  <c:v>167.58000183105401</c:v>
                </c:pt>
                <c:pt idx="1086">
                  <c:v>171.36000061035099</c:v>
                </c:pt>
                <c:pt idx="1087">
                  <c:v>171.509994506835</c:v>
                </c:pt>
                <c:pt idx="1088">
                  <c:v>178.07000732421801</c:v>
                </c:pt>
                <c:pt idx="1089">
                  <c:v>171.71000671386699</c:v>
                </c:pt>
                <c:pt idx="1090">
                  <c:v>171.74000549316401</c:v>
                </c:pt>
                <c:pt idx="1091">
                  <c:v>172.66000366210901</c:v>
                </c:pt>
                <c:pt idx="1092">
                  <c:v>169.64999389648401</c:v>
                </c:pt>
                <c:pt idx="1093">
                  <c:v>168.91000366210901</c:v>
                </c:pt>
                <c:pt idx="1094">
                  <c:v>170.69999694824199</c:v>
                </c:pt>
                <c:pt idx="1095">
                  <c:v>165.14999389648401</c:v>
                </c:pt>
                <c:pt idx="1096">
                  <c:v>166.05999755859301</c:v>
                </c:pt>
                <c:pt idx="1097">
                  <c:v>164.67999267578099</c:v>
                </c:pt>
                <c:pt idx="1098">
                  <c:v>162.69999694824199</c:v>
                </c:pt>
                <c:pt idx="1099">
                  <c:v>164.58000183105401</c:v>
                </c:pt>
                <c:pt idx="1100">
                  <c:v>162.86000061035099</c:v>
                </c:pt>
                <c:pt idx="1101">
                  <c:v>162.38000488281199</c:v>
                </c:pt>
                <c:pt idx="1102">
                  <c:v>161.19999694824199</c:v>
                </c:pt>
                <c:pt idx="1103">
                  <c:v>161.86999511718699</c:v>
                </c:pt>
                <c:pt idx="1104">
                  <c:v>165.08999633789</c:v>
                </c:pt>
                <c:pt idx="1105">
                  <c:v>166.759994506835</c:v>
                </c:pt>
                <c:pt idx="1106">
                  <c:v>166.75</c:v>
                </c:pt>
                <c:pt idx="1107">
                  <c:v>164.27000427246</c:v>
                </c:pt>
                <c:pt idx="1108">
                  <c:v>161.94999694824199</c:v>
                </c:pt>
                <c:pt idx="1109">
                  <c:v>164.11000061035099</c:v>
                </c:pt>
                <c:pt idx="1110">
                  <c:v>162.22000122070301</c:v>
                </c:pt>
                <c:pt idx="1111">
                  <c:v>161.86999511718699</c:v>
                </c:pt>
                <c:pt idx="1112">
                  <c:v>158.16000366210901</c:v>
                </c:pt>
                <c:pt idx="1113">
                  <c:v>160.16000366210901</c:v>
                </c:pt>
                <c:pt idx="1114">
                  <c:v>160.16000366210901</c:v>
                </c:pt>
                <c:pt idx="1115">
                  <c:v>160.32000732421801</c:v>
                </c:pt>
                <c:pt idx="1116">
                  <c:v>157.74000549316401</c:v>
                </c:pt>
                <c:pt idx="1117">
                  <c:v>155.02000427246</c:v>
                </c:pt>
                <c:pt idx="1118">
                  <c:v>158.91000366210901</c:v>
                </c:pt>
                <c:pt idx="1119">
                  <c:v>157.57000732421801</c:v>
                </c:pt>
                <c:pt idx="1120">
                  <c:v>156.47999572753901</c:v>
                </c:pt>
                <c:pt idx="1121">
                  <c:v>155.759994506835</c:v>
                </c:pt>
                <c:pt idx="1122">
                  <c:v>154.350006103515</c:v>
                </c:pt>
                <c:pt idx="1123">
                  <c:v>156.27000427246</c:v>
                </c:pt>
                <c:pt idx="1124">
                  <c:v>161.94000244140599</c:v>
                </c:pt>
                <c:pt idx="1125">
                  <c:v>159</c:v>
                </c:pt>
                <c:pt idx="1126">
                  <c:v>158.919998168945</c:v>
                </c:pt>
                <c:pt idx="1127">
                  <c:v>156.28999328613199</c:v>
                </c:pt>
                <c:pt idx="1128">
                  <c:v>159.44999694824199</c:v>
                </c:pt>
                <c:pt idx="1129">
                  <c:v>160.19999694824199</c:v>
                </c:pt>
                <c:pt idx="1130">
                  <c:v>162.94999694824199</c:v>
                </c:pt>
                <c:pt idx="1131">
                  <c:v>160.509994506835</c:v>
                </c:pt>
                <c:pt idx="1132">
                  <c:v>163.33000183105401</c:v>
                </c:pt>
                <c:pt idx="1133">
                  <c:v>169.58000183105401</c:v>
                </c:pt>
                <c:pt idx="1134">
                  <c:v>170.66000366210901</c:v>
                </c:pt>
                <c:pt idx="1135">
                  <c:v>171.100006103515</c:v>
                </c:pt>
                <c:pt idx="1136">
                  <c:v>169.58999633789</c:v>
                </c:pt>
                <c:pt idx="1137">
                  <c:v>165.77000427246</c:v>
                </c:pt>
                <c:pt idx="1138">
                  <c:v>167.22000122070301</c:v>
                </c:pt>
                <c:pt idx="1139">
                  <c:v>164.100006103515</c:v>
                </c:pt>
                <c:pt idx="1140">
                  <c:v>168.46000671386699</c:v>
                </c:pt>
                <c:pt idx="1141">
                  <c:v>167.919998168945</c:v>
                </c:pt>
                <c:pt idx="1142">
                  <c:v>169.94999694824199</c:v>
                </c:pt>
                <c:pt idx="1143">
                  <c:v>168.19999694824199</c:v>
                </c:pt>
                <c:pt idx="1144">
                  <c:v>169.77000427246</c:v>
                </c:pt>
                <c:pt idx="1145">
                  <c:v>169.36999511718699</c:v>
                </c:pt>
                <c:pt idx="1146">
                  <c:v>167.509994506835</c:v>
                </c:pt>
                <c:pt idx="1147">
                  <c:v>163.759994506835</c:v>
                </c:pt>
                <c:pt idx="1148">
                  <c:v>162.009994506835</c:v>
                </c:pt>
                <c:pt idx="1149">
                  <c:v>161.05000305175699</c:v>
                </c:pt>
                <c:pt idx="1150">
                  <c:v>161.47000122070301</c:v>
                </c:pt>
                <c:pt idx="1151">
                  <c:v>159.58000183105401</c:v>
                </c:pt>
                <c:pt idx="1152">
                  <c:v>161.13000488281199</c:v>
                </c:pt>
                <c:pt idx="1153">
                  <c:v>158.07000732421801</c:v>
                </c:pt>
                <c:pt idx="1154">
                  <c:v>155.33999633789</c:v>
                </c:pt>
                <c:pt idx="1155">
                  <c:v>157.97999572753901</c:v>
                </c:pt>
                <c:pt idx="1156">
                  <c:v>160.19000244140599</c:v>
                </c:pt>
                <c:pt idx="1157">
                  <c:v>161.14999389648401</c:v>
                </c:pt>
                <c:pt idx="1158">
                  <c:v>158.44999694824199</c:v>
                </c:pt>
                <c:pt idx="1159">
                  <c:v>156.88000488281199</c:v>
                </c:pt>
                <c:pt idx="1160">
                  <c:v>161.99000549316401</c:v>
                </c:pt>
                <c:pt idx="1161">
                  <c:v>163.259994506835</c:v>
                </c:pt>
                <c:pt idx="1162">
                  <c:v>165.36999511718699</c:v>
                </c:pt>
                <c:pt idx="1163">
                  <c:v>165.509994506835</c:v>
                </c:pt>
                <c:pt idx="1164">
                  <c:v>161.66000366210901</c:v>
                </c:pt>
                <c:pt idx="1165">
                  <c:v>161.96000671386699</c:v>
                </c:pt>
                <c:pt idx="1166">
                  <c:v>161.67999267578099</c:v>
                </c:pt>
                <c:pt idx="1167">
                  <c:v>158.22999572753901</c:v>
                </c:pt>
                <c:pt idx="1168">
                  <c:v>156.77000427246</c:v>
                </c:pt>
                <c:pt idx="1169">
                  <c:v>156.49000549316401</c:v>
                </c:pt>
                <c:pt idx="1170">
                  <c:v>157.600006103515</c:v>
                </c:pt>
                <c:pt idx="1171">
                  <c:v>156.78999328613199</c:v>
                </c:pt>
                <c:pt idx="1172">
                  <c:v>155.36000061035099</c:v>
                </c:pt>
                <c:pt idx="1173">
                  <c:v>151.58000183105401</c:v>
                </c:pt>
                <c:pt idx="1174">
                  <c:v>151.99000549316401</c:v>
                </c:pt>
                <c:pt idx="1175">
                  <c:v>154.57000732421801</c:v>
                </c:pt>
                <c:pt idx="1176">
                  <c:v>153.47999572753901</c:v>
                </c:pt>
                <c:pt idx="1177">
                  <c:v>156.49000549316401</c:v>
                </c:pt>
                <c:pt idx="1178">
                  <c:v>157.36000061035099</c:v>
                </c:pt>
                <c:pt idx="1179">
                  <c:v>152.27999877929599</c:v>
                </c:pt>
                <c:pt idx="1180">
                  <c:v>148.47999572753901</c:v>
                </c:pt>
                <c:pt idx="1181">
                  <c:v>152.47000122070301</c:v>
                </c:pt>
                <c:pt idx="1182">
                  <c:v>153.78999328613199</c:v>
                </c:pt>
                <c:pt idx="1183">
                  <c:v>148.41000366210901</c:v>
                </c:pt>
                <c:pt idx="1184">
                  <c:v>150.80000305175699</c:v>
                </c:pt>
                <c:pt idx="1185">
                  <c:v>149.30000305175699</c:v>
                </c:pt>
                <c:pt idx="1186">
                  <c:v>151.72000122070301</c:v>
                </c:pt>
                <c:pt idx="1187">
                  <c:v>153.49000549316401</c:v>
                </c:pt>
                <c:pt idx="1188">
                  <c:v>157.94000244140599</c:v>
                </c:pt>
                <c:pt idx="1189">
                  <c:v>153.22999572753901</c:v>
                </c:pt>
                <c:pt idx="1190">
                  <c:v>155.55999755859301</c:v>
                </c:pt>
                <c:pt idx="1191">
                  <c:v>155.88000488281199</c:v>
                </c:pt>
                <c:pt idx="1192">
                  <c:v>154.47999572753901</c:v>
                </c:pt>
                <c:pt idx="1193">
                  <c:v>160.100006103515</c:v>
                </c:pt>
                <c:pt idx="1194">
                  <c:v>165.67999267578099</c:v>
                </c:pt>
                <c:pt idx="1195">
                  <c:v>160</c:v>
                </c:pt>
                <c:pt idx="1196">
                  <c:v>157.19999694824199</c:v>
                </c:pt>
                <c:pt idx="1197">
                  <c:v>156.86999511718699</c:v>
                </c:pt>
                <c:pt idx="1198">
                  <c:v>161.509994506835</c:v>
                </c:pt>
                <c:pt idx="1199">
                  <c:v>163.86999511718699</c:v>
                </c:pt>
                <c:pt idx="1200">
                  <c:v>166.64999389648401</c:v>
                </c:pt>
                <c:pt idx="1201">
                  <c:v>168.33999633789</c:v>
                </c:pt>
                <c:pt idx="1202">
                  <c:v>165.89999389648401</c:v>
                </c:pt>
                <c:pt idx="1203">
                  <c:v>167.38999938964801</c:v>
                </c:pt>
                <c:pt idx="1204">
                  <c:v>165.22999572753901</c:v>
                </c:pt>
                <c:pt idx="1205">
                  <c:v>165.99000549316401</c:v>
                </c:pt>
                <c:pt idx="1206">
                  <c:v>166.77000427246</c:v>
                </c:pt>
                <c:pt idx="1207">
                  <c:v>164.52999877929599</c:v>
                </c:pt>
                <c:pt idx="1208">
                  <c:v>166.22999572753901</c:v>
                </c:pt>
                <c:pt idx="1209">
                  <c:v>166.05000305175699</c:v>
                </c:pt>
                <c:pt idx="1210">
                  <c:v>167.94000244140599</c:v>
                </c:pt>
                <c:pt idx="1211">
                  <c:v>168.80999755859301</c:v>
                </c:pt>
                <c:pt idx="1212">
                  <c:v>169.02000427246</c:v>
                </c:pt>
                <c:pt idx="1213">
                  <c:v>166.97000122070301</c:v>
                </c:pt>
                <c:pt idx="1214">
                  <c:v>167.74000549316401</c:v>
                </c:pt>
                <c:pt idx="1215">
                  <c:v>170.19000244140599</c:v>
                </c:pt>
                <c:pt idx="1216">
                  <c:v>170.58000183105401</c:v>
                </c:pt>
                <c:pt idx="1217">
                  <c:v>171.13999938964801</c:v>
                </c:pt>
                <c:pt idx="1218">
                  <c:v>170.44000244140599</c:v>
                </c:pt>
                <c:pt idx="1219">
                  <c:v>169.83000183105401</c:v>
                </c:pt>
                <c:pt idx="1220">
                  <c:v>170.17999267578099</c:v>
                </c:pt>
                <c:pt idx="1221">
                  <c:v>170.419998168945</c:v>
                </c:pt>
                <c:pt idx="1222">
                  <c:v>168</c:v>
                </c:pt>
                <c:pt idx="1223">
                  <c:v>166.46000671386699</c:v>
                </c:pt>
                <c:pt idx="1224">
                  <c:v>166.14999389648401</c:v>
                </c:pt>
                <c:pt idx="1225">
                  <c:v>170.02999877929599</c:v>
                </c:pt>
                <c:pt idx="1226">
                  <c:v>174.02000427246</c:v>
                </c:pt>
                <c:pt idx="1227">
                  <c:v>172.259994506835</c:v>
                </c:pt>
                <c:pt idx="1228">
                  <c:v>171.69000244140599</c:v>
                </c:pt>
                <c:pt idx="1229">
                  <c:v>169.57000732421801</c:v>
                </c:pt>
                <c:pt idx="1230">
                  <c:v>168.14999389648401</c:v>
                </c:pt>
                <c:pt idx="1231">
                  <c:v>167.61999511718699</c:v>
                </c:pt>
                <c:pt idx="1232">
                  <c:v>166.58000183105401</c:v>
                </c:pt>
                <c:pt idx="1233">
                  <c:v>168.21000671386699</c:v>
                </c:pt>
                <c:pt idx="1234">
                  <c:v>174.28999328613199</c:v>
                </c:pt>
                <c:pt idx="1235">
                  <c:v>175.16000366210901</c:v>
                </c:pt>
                <c:pt idx="1236">
                  <c:v>177.100006103515</c:v>
                </c:pt>
                <c:pt idx="1237">
                  <c:v>175</c:v>
                </c:pt>
                <c:pt idx="1238">
                  <c:v>174.509994506835</c:v>
                </c:pt>
                <c:pt idx="1239">
                  <c:v>178.61000061035099</c:v>
                </c:pt>
                <c:pt idx="1240">
                  <c:v>176.850006103515</c:v>
                </c:pt>
                <c:pt idx="1241">
                  <c:v>180.33000183105401</c:v>
                </c:pt>
                <c:pt idx="1242">
                  <c:v>178.36999511718699</c:v>
                </c:pt>
                <c:pt idx="1243">
                  <c:v>173.97999572753901</c:v>
                </c:pt>
                <c:pt idx="1244">
                  <c:v>173.100006103515</c:v>
                </c:pt>
                <c:pt idx="1245">
                  <c:v>171.11999511718699</c:v>
                </c:pt>
                <c:pt idx="1246">
                  <c:v>170.88999938964801</c:v>
                </c:pt>
                <c:pt idx="1247">
                  <c:v>168.009994506835</c:v>
                </c:pt>
                <c:pt idx="1248">
                  <c:v>168.99000549316401</c:v>
                </c:pt>
                <c:pt idx="1249">
                  <c:v>168.25</c:v>
                </c:pt>
                <c:pt idx="1250">
                  <c:v>171.75</c:v>
                </c:pt>
                <c:pt idx="1251">
                  <c:v>171.13999938964801</c:v>
                </c:pt>
                <c:pt idx="1252">
                  <c:v>168.600006103515</c:v>
                </c:pt>
                <c:pt idx="1253">
                  <c:v>171.02999877929599</c:v>
                </c:pt>
                <c:pt idx="1254">
                  <c:v>174.850006103515</c:v>
                </c:pt>
                <c:pt idx="1255">
                  <c:v>172.14999389648401</c:v>
                </c:pt>
                <c:pt idx="1256">
                  <c:v>172.80000305175699</c:v>
                </c:pt>
                <c:pt idx="1257">
                  <c:v>172.55999755859301</c:v>
                </c:pt>
                <c:pt idx="1258">
                  <c:v>169.46000671386699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37-414B-B353-8C1226B91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492461"/>
        <c:axId val="23345032"/>
      </c:lineChart>
      <c:catAx>
        <c:axId val="453492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23345032"/>
        <c:crosses val="autoZero"/>
        <c:auto val="1"/>
        <c:lblAlgn val="ctr"/>
        <c:lblOffset val="100"/>
        <c:noMultiLvlLbl val="1"/>
      </c:catAx>
      <c:valAx>
        <c:axId val="23345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KOFUBL.MX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4534924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ASUR.MX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ASUR!$B$1</c:f>
              <c:strCache>
                <c:ptCount val="1"/>
                <c:pt idx="0">
                  <c:v>ASUR.MX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ASUR!$A$2:$A$1260</c:f>
              <c:numCache>
                <c:formatCode>General</c:formatCode>
                <c:ptCount val="12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</c:numCache>
            </c:numRef>
          </c:cat>
          <c:val>
            <c:numRef>
              <c:f>ASUR!$B$2:$B$1260</c:f>
              <c:numCache>
                <c:formatCode>General</c:formatCode>
                <c:ptCount val="1259"/>
                <c:pt idx="0">
                  <c:v>304.51998901367102</c:v>
                </c:pt>
                <c:pt idx="1">
                  <c:v>311.33999633789</c:v>
                </c:pt>
                <c:pt idx="2">
                  <c:v>313.67001342773398</c:v>
                </c:pt>
                <c:pt idx="3">
                  <c:v>322.16000366210898</c:v>
                </c:pt>
                <c:pt idx="4">
                  <c:v>318.829986572265</c:v>
                </c:pt>
                <c:pt idx="5">
                  <c:v>318.17001342773398</c:v>
                </c:pt>
                <c:pt idx="6">
                  <c:v>315.44000244140602</c:v>
                </c:pt>
                <c:pt idx="7">
                  <c:v>314.27999877929602</c:v>
                </c:pt>
                <c:pt idx="8">
                  <c:v>313.97000122070301</c:v>
                </c:pt>
                <c:pt idx="9">
                  <c:v>314.17001342773398</c:v>
                </c:pt>
                <c:pt idx="10">
                  <c:v>325.85998535156199</c:v>
                </c:pt>
                <c:pt idx="11">
                  <c:v>329.260009765625</c:v>
                </c:pt>
                <c:pt idx="12">
                  <c:v>321.29000854492102</c:v>
                </c:pt>
                <c:pt idx="13">
                  <c:v>325.57000732421801</c:v>
                </c:pt>
                <c:pt idx="14">
                  <c:v>327.36999511718699</c:v>
                </c:pt>
                <c:pt idx="15">
                  <c:v>331.579986572265</c:v>
                </c:pt>
                <c:pt idx="16">
                  <c:v>328.95999145507801</c:v>
                </c:pt>
                <c:pt idx="17">
                  <c:v>330.329986572265</c:v>
                </c:pt>
                <c:pt idx="18">
                  <c:v>338.75</c:v>
                </c:pt>
                <c:pt idx="19">
                  <c:v>342.20001220703102</c:v>
                </c:pt>
                <c:pt idx="20">
                  <c:v>337.22000122070301</c:v>
                </c:pt>
                <c:pt idx="21">
                  <c:v>337.95001220703102</c:v>
                </c:pt>
                <c:pt idx="22">
                  <c:v>340.85998535156199</c:v>
                </c:pt>
                <c:pt idx="23">
                  <c:v>334.829986572265</c:v>
                </c:pt>
                <c:pt idx="24">
                  <c:v>340.04000854492102</c:v>
                </c:pt>
                <c:pt idx="25">
                  <c:v>339.100006103515</c:v>
                </c:pt>
                <c:pt idx="26">
                  <c:v>333.67001342773398</c:v>
                </c:pt>
                <c:pt idx="27">
                  <c:v>326.79000854492102</c:v>
                </c:pt>
                <c:pt idx="28">
                  <c:v>331.52999877929602</c:v>
                </c:pt>
                <c:pt idx="29">
                  <c:v>327.79000854492102</c:v>
                </c:pt>
                <c:pt idx="30">
                  <c:v>325.27999877929602</c:v>
                </c:pt>
                <c:pt idx="31">
                  <c:v>327.07000732421801</c:v>
                </c:pt>
                <c:pt idx="32">
                  <c:v>327.22000122070301</c:v>
                </c:pt>
                <c:pt idx="33">
                  <c:v>338.14001464843699</c:v>
                </c:pt>
                <c:pt idx="34">
                  <c:v>342.79000854492102</c:v>
                </c:pt>
                <c:pt idx="35">
                  <c:v>363.54998779296801</c:v>
                </c:pt>
                <c:pt idx="36">
                  <c:v>360.92001342773398</c:v>
                </c:pt>
                <c:pt idx="37">
                  <c:v>349.35998535156199</c:v>
                </c:pt>
                <c:pt idx="38">
                  <c:v>356.76998901367102</c:v>
                </c:pt>
                <c:pt idx="39">
                  <c:v>354.92001342773398</c:v>
                </c:pt>
                <c:pt idx="40">
                  <c:v>353.94000244140602</c:v>
                </c:pt>
                <c:pt idx="41">
                  <c:v>352.77999877929602</c:v>
                </c:pt>
                <c:pt idx="42">
                  <c:v>353.16000366210898</c:v>
                </c:pt>
                <c:pt idx="43">
                  <c:v>357.94000244140602</c:v>
                </c:pt>
                <c:pt idx="44">
                  <c:v>356.14999389648398</c:v>
                </c:pt>
                <c:pt idx="45">
                  <c:v>354.05999755859301</c:v>
                </c:pt>
                <c:pt idx="46">
                  <c:v>354.05999755859301</c:v>
                </c:pt>
                <c:pt idx="47">
                  <c:v>360.48001098632801</c:v>
                </c:pt>
                <c:pt idx="48">
                  <c:v>362.25</c:v>
                </c:pt>
                <c:pt idx="49">
                  <c:v>355.635009765625</c:v>
                </c:pt>
                <c:pt idx="50">
                  <c:v>359.55999755859301</c:v>
                </c:pt>
                <c:pt idx="51">
                  <c:v>363.17999267578102</c:v>
                </c:pt>
                <c:pt idx="52">
                  <c:v>365.95999145507801</c:v>
                </c:pt>
                <c:pt idx="53">
                  <c:v>372.27999877929602</c:v>
                </c:pt>
                <c:pt idx="54">
                  <c:v>376.54998779296801</c:v>
                </c:pt>
                <c:pt idx="55">
                  <c:v>376.79998779296801</c:v>
                </c:pt>
                <c:pt idx="56">
                  <c:v>393.25</c:v>
                </c:pt>
                <c:pt idx="57">
                  <c:v>384.04000854492102</c:v>
                </c:pt>
                <c:pt idx="58">
                  <c:v>384.29998779296801</c:v>
                </c:pt>
                <c:pt idx="59">
                  <c:v>389.350006103515</c:v>
                </c:pt>
                <c:pt idx="60">
                  <c:v>383.27999877929602</c:v>
                </c:pt>
                <c:pt idx="61">
                  <c:v>380.100006103515</c:v>
                </c:pt>
                <c:pt idx="62">
                  <c:v>380.35998535156199</c:v>
                </c:pt>
                <c:pt idx="63">
                  <c:v>375.76998901367102</c:v>
                </c:pt>
                <c:pt idx="64">
                  <c:v>365.69500732421801</c:v>
                </c:pt>
                <c:pt idx="65">
                  <c:v>370</c:v>
                </c:pt>
                <c:pt idx="66">
                  <c:v>371.86999511718699</c:v>
                </c:pt>
                <c:pt idx="67">
                  <c:v>369.27999877929602</c:v>
                </c:pt>
                <c:pt idx="68">
                  <c:v>363.14999389648398</c:v>
                </c:pt>
                <c:pt idx="69">
                  <c:v>365.79998779296801</c:v>
                </c:pt>
                <c:pt idx="70">
                  <c:v>372.70001220703102</c:v>
                </c:pt>
                <c:pt idx="71">
                  <c:v>369.67001342773398</c:v>
                </c:pt>
                <c:pt idx="72">
                  <c:v>366.76998901367102</c:v>
                </c:pt>
                <c:pt idx="73">
                  <c:v>368.350006103515</c:v>
                </c:pt>
                <c:pt idx="74">
                  <c:v>381.14999389648398</c:v>
                </c:pt>
                <c:pt idx="75">
                  <c:v>375.07000732421801</c:v>
                </c:pt>
                <c:pt idx="76">
                  <c:v>365.739990234375</c:v>
                </c:pt>
                <c:pt idx="77">
                  <c:v>369.08999633789</c:v>
                </c:pt>
                <c:pt idx="78">
                  <c:v>369.260009765625</c:v>
                </c:pt>
                <c:pt idx="79">
                  <c:v>364.850006103515</c:v>
                </c:pt>
                <c:pt idx="80">
                  <c:v>369.67001342773398</c:v>
                </c:pt>
                <c:pt idx="81">
                  <c:v>368.61999511718699</c:v>
                </c:pt>
                <c:pt idx="82">
                  <c:v>375.04998779296801</c:v>
                </c:pt>
                <c:pt idx="83">
                  <c:v>354</c:v>
                </c:pt>
                <c:pt idx="84">
                  <c:v>330.91000366210898</c:v>
                </c:pt>
                <c:pt idx="85">
                  <c:v>334.52999877929602</c:v>
                </c:pt>
                <c:pt idx="86">
                  <c:v>319.86999511718699</c:v>
                </c:pt>
                <c:pt idx="87">
                  <c:v>324.89001464843699</c:v>
                </c:pt>
                <c:pt idx="88">
                  <c:v>316.11999511718699</c:v>
                </c:pt>
                <c:pt idx="89">
                  <c:v>317.33999633789</c:v>
                </c:pt>
                <c:pt idx="90">
                  <c:v>326.25</c:v>
                </c:pt>
                <c:pt idx="91">
                  <c:v>310.63000488281199</c:v>
                </c:pt>
                <c:pt idx="92">
                  <c:v>310.489990234375</c:v>
                </c:pt>
                <c:pt idx="93">
                  <c:v>306.80999755859301</c:v>
                </c:pt>
                <c:pt idx="94">
                  <c:v>311.89999389648398</c:v>
                </c:pt>
                <c:pt idx="95">
                  <c:v>303.760009765625</c:v>
                </c:pt>
                <c:pt idx="96">
                  <c:v>284.92001342773398</c:v>
                </c:pt>
                <c:pt idx="97">
                  <c:v>290.41000366210898</c:v>
                </c:pt>
                <c:pt idx="98">
                  <c:v>260.100006103515</c:v>
                </c:pt>
                <c:pt idx="99">
                  <c:v>236.13999938964801</c:v>
                </c:pt>
                <c:pt idx="100">
                  <c:v>216.36000061035099</c:v>
                </c:pt>
                <c:pt idx="101">
                  <c:v>208.63000488281199</c:v>
                </c:pt>
                <c:pt idx="102">
                  <c:v>210.32000732421801</c:v>
                </c:pt>
                <c:pt idx="103">
                  <c:v>234.39999389648401</c:v>
                </c:pt>
                <c:pt idx="104">
                  <c:v>241.33999633789</c:v>
                </c:pt>
                <c:pt idx="105">
                  <c:v>236.69000244140599</c:v>
                </c:pt>
                <c:pt idx="106">
                  <c:v>229.67999267578099</c:v>
                </c:pt>
                <c:pt idx="107">
                  <c:v>231.47000122070301</c:v>
                </c:pt>
                <c:pt idx="108">
                  <c:v>223.36000061035099</c:v>
                </c:pt>
                <c:pt idx="109">
                  <c:v>218.009994506835</c:v>
                </c:pt>
                <c:pt idx="110">
                  <c:v>217.94000244140599</c:v>
                </c:pt>
                <c:pt idx="111">
                  <c:v>206.17999267578099</c:v>
                </c:pt>
                <c:pt idx="112">
                  <c:v>218.83999633789</c:v>
                </c:pt>
                <c:pt idx="113">
                  <c:v>217.74000549316401</c:v>
                </c:pt>
                <c:pt idx="114">
                  <c:v>219.22999572753901</c:v>
                </c:pt>
                <c:pt idx="115">
                  <c:v>221.94999694824199</c:v>
                </c:pt>
                <c:pt idx="116">
                  <c:v>225.49000549316401</c:v>
                </c:pt>
                <c:pt idx="117">
                  <c:v>225.27999877929599</c:v>
                </c:pt>
                <c:pt idx="118">
                  <c:v>229.77000427246</c:v>
                </c:pt>
                <c:pt idx="119">
                  <c:v>240.13000488281199</c:v>
                </c:pt>
                <c:pt idx="120">
                  <c:v>237.100006103515</c:v>
                </c:pt>
                <c:pt idx="121">
                  <c:v>231.32000732421801</c:v>
                </c:pt>
                <c:pt idx="122">
                  <c:v>236.21000671386699</c:v>
                </c:pt>
                <c:pt idx="123">
                  <c:v>238.11000061035099</c:v>
                </c:pt>
                <c:pt idx="124">
                  <c:v>235.71000671386699</c:v>
                </c:pt>
                <c:pt idx="125">
                  <c:v>239.99000549316401</c:v>
                </c:pt>
                <c:pt idx="126">
                  <c:v>239.69000244140599</c:v>
                </c:pt>
                <c:pt idx="127">
                  <c:v>239.69999694824199</c:v>
                </c:pt>
                <c:pt idx="128">
                  <c:v>241.38999938964801</c:v>
                </c:pt>
                <c:pt idx="129">
                  <c:v>257.22000122070301</c:v>
                </c:pt>
                <c:pt idx="130">
                  <c:v>263.760009765625</c:v>
                </c:pt>
                <c:pt idx="131">
                  <c:v>267.29000854492102</c:v>
                </c:pt>
                <c:pt idx="132">
                  <c:v>252.600006103515</c:v>
                </c:pt>
                <c:pt idx="133">
                  <c:v>250.850006103515</c:v>
                </c:pt>
                <c:pt idx="134">
                  <c:v>243.38999938964801</c:v>
                </c:pt>
                <c:pt idx="135">
                  <c:v>241.80000305175699</c:v>
                </c:pt>
                <c:pt idx="136">
                  <c:v>238.94000244140599</c:v>
                </c:pt>
                <c:pt idx="137">
                  <c:v>239.66000366210901</c:v>
                </c:pt>
                <c:pt idx="138">
                  <c:v>232.32000732421801</c:v>
                </c:pt>
                <c:pt idx="139">
                  <c:v>250.13999938964801</c:v>
                </c:pt>
                <c:pt idx="140">
                  <c:v>229.75</c:v>
                </c:pt>
                <c:pt idx="141">
                  <c:v>231.63999938964801</c:v>
                </c:pt>
                <c:pt idx="142">
                  <c:v>226.850006103515</c:v>
                </c:pt>
                <c:pt idx="143">
                  <c:v>227.80999755859301</c:v>
                </c:pt>
                <c:pt idx="144">
                  <c:v>226.19999694824199</c:v>
                </c:pt>
                <c:pt idx="145">
                  <c:v>232.33000183105401</c:v>
                </c:pt>
                <c:pt idx="146">
                  <c:v>232.52000427246</c:v>
                </c:pt>
                <c:pt idx="147">
                  <c:v>235.350006103515</c:v>
                </c:pt>
                <c:pt idx="148">
                  <c:v>228.55000305175699</c:v>
                </c:pt>
                <c:pt idx="149">
                  <c:v>247.97999572753901</c:v>
                </c:pt>
                <c:pt idx="150">
                  <c:v>261.86999511718699</c:v>
                </c:pt>
                <c:pt idx="151">
                  <c:v>277.26998901367102</c:v>
                </c:pt>
                <c:pt idx="152">
                  <c:v>282.66000366210898</c:v>
                </c:pt>
                <c:pt idx="153">
                  <c:v>290.329986572265</c:v>
                </c:pt>
                <c:pt idx="154">
                  <c:v>299.52999877929602</c:v>
                </c:pt>
                <c:pt idx="155">
                  <c:v>294.75</c:v>
                </c:pt>
                <c:pt idx="156">
                  <c:v>274.64001464843699</c:v>
                </c:pt>
                <c:pt idx="157">
                  <c:v>264.760009765625</c:v>
                </c:pt>
                <c:pt idx="158">
                  <c:v>274.23001098632801</c:v>
                </c:pt>
                <c:pt idx="159">
                  <c:v>268</c:v>
                </c:pt>
                <c:pt idx="160">
                  <c:v>273.73001098632801</c:v>
                </c:pt>
                <c:pt idx="161">
                  <c:v>266.33999633789</c:v>
                </c:pt>
                <c:pt idx="162">
                  <c:v>266.98001098632801</c:v>
                </c:pt>
                <c:pt idx="163">
                  <c:v>264.5</c:v>
                </c:pt>
                <c:pt idx="164">
                  <c:v>256.36999511718699</c:v>
                </c:pt>
                <c:pt idx="165">
                  <c:v>264.05999755859301</c:v>
                </c:pt>
                <c:pt idx="166">
                  <c:v>259.14999389648398</c:v>
                </c:pt>
                <c:pt idx="167">
                  <c:v>256.64001464843699</c:v>
                </c:pt>
                <c:pt idx="168">
                  <c:v>254.99000549316401</c:v>
                </c:pt>
                <c:pt idx="169">
                  <c:v>260.36999511718699</c:v>
                </c:pt>
                <c:pt idx="170">
                  <c:v>256.64999389648398</c:v>
                </c:pt>
                <c:pt idx="171">
                  <c:v>262.100006103515</c:v>
                </c:pt>
                <c:pt idx="172">
                  <c:v>261.98001098632801</c:v>
                </c:pt>
                <c:pt idx="173">
                  <c:v>259.38000488281199</c:v>
                </c:pt>
                <c:pt idx="174">
                  <c:v>254.27000427246</c:v>
                </c:pt>
                <c:pt idx="175">
                  <c:v>255.08999633789</c:v>
                </c:pt>
                <c:pt idx="176">
                  <c:v>251.38999938964801</c:v>
                </c:pt>
                <c:pt idx="177">
                  <c:v>239.94000244140599</c:v>
                </c:pt>
                <c:pt idx="178">
                  <c:v>237.27000427246</c:v>
                </c:pt>
                <c:pt idx="179">
                  <c:v>233.21000671386699</c:v>
                </c:pt>
                <c:pt idx="180">
                  <c:v>229.96000671386699</c:v>
                </c:pt>
                <c:pt idx="181">
                  <c:v>230.66000366210901</c:v>
                </c:pt>
                <c:pt idx="182">
                  <c:v>229.38000488281199</c:v>
                </c:pt>
                <c:pt idx="183">
                  <c:v>225.419998168945</c:v>
                </c:pt>
                <c:pt idx="184">
                  <c:v>223.25</c:v>
                </c:pt>
                <c:pt idx="185">
                  <c:v>224.42999267578099</c:v>
                </c:pt>
                <c:pt idx="186">
                  <c:v>232.07000732421801</c:v>
                </c:pt>
                <c:pt idx="187">
                  <c:v>231.92999267578099</c:v>
                </c:pt>
                <c:pt idx="188">
                  <c:v>219.86000061035099</c:v>
                </c:pt>
                <c:pt idx="189">
                  <c:v>220.27999877929599</c:v>
                </c:pt>
                <c:pt idx="190">
                  <c:v>215</c:v>
                </c:pt>
                <c:pt idx="191">
                  <c:v>217.14999389648401</c:v>
                </c:pt>
                <c:pt idx="192">
                  <c:v>216.24000549316401</c:v>
                </c:pt>
                <c:pt idx="193">
                  <c:v>221.19999694824199</c:v>
                </c:pt>
                <c:pt idx="194">
                  <c:v>219.66000366210901</c:v>
                </c:pt>
                <c:pt idx="195">
                  <c:v>221.05999755859301</c:v>
                </c:pt>
                <c:pt idx="196">
                  <c:v>222.47999572753901</c:v>
                </c:pt>
                <c:pt idx="197">
                  <c:v>231.92999267578099</c:v>
                </c:pt>
                <c:pt idx="198">
                  <c:v>227.83999633789</c:v>
                </c:pt>
                <c:pt idx="199">
                  <c:v>240.509994506835</c:v>
                </c:pt>
                <c:pt idx="200">
                  <c:v>250.57000732421801</c:v>
                </c:pt>
                <c:pt idx="201">
                  <c:v>241.74000549316401</c:v>
                </c:pt>
                <c:pt idx="202">
                  <c:v>246.669998168945</c:v>
                </c:pt>
                <c:pt idx="203">
                  <c:v>255.44999694824199</c:v>
                </c:pt>
                <c:pt idx="204">
                  <c:v>260.51998901367102</c:v>
                </c:pt>
                <c:pt idx="205">
                  <c:v>257.829986572265</c:v>
                </c:pt>
                <c:pt idx="206">
                  <c:v>249.350006103515</c:v>
                </c:pt>
                <c:pt idx="207">
                  <c:v>248.52000427246</c:v>
                </c:pt>
                <c:pt idx="208">
                  <c:v>240.33000183105401</c:v>
                </c:pt>
                <c:pt idx="209">
                  <c:v>247.86999511718699</c:v>
                </c:pt>
                <c:pt idx="210">
                  <c:v>251.509994506835</c:v>
                </c:pt>
                <c:pt idx="211">
                  <c:v>244.38000488281199</c:v>
                </c:pt>
                <c:pt idx="212">
                  <c:v>250.30999755859301</c:v>
                </c:pt>
                <c:pt idx="213">
                  <c:v>256.11999511718699</c:v>
                </c:pt>
                <c:pt idx="214">
                  <c:v>247.97999572753901</c:v>
                </c:pt>
                <c:pt idx="215">
                  <c:v>252.97000122070301</c:v>
                </c:pt>
                <c:pt idx="216">
                  <c:v>244.88000488281199</c:v>
                </c:pt>
                <c:pt idx="217">
                  <c:v>239.58000183105401</c:v>
                </c:pt>
                <c:pt idx="218">
                  <c:v>242.69999694824199</c:v>
                </c:pt>
                <c:pt idx="219">
                  <c:v>247.33000183105401</c:v>
                </c:pt>
                <c:pt idx="220">
                  <c:v>245.89999389648401</c:v>
                </c:pt>
                <c:pt idx="221">
                  <c:v>240.28999328613199</c:v>
                </c:pt>
                <c:pt idx="222">
                  <c:v>240.82000732421801</c:v>
                </c:pt>
                <c:pt idx="223">
                  <c:v>233.13999938964801</c:v>
                </c:pt>
                <c:pt idx="224">
                  <c:v>245.38000488281199</c:v>
                </c:pt>
                <c:pt idx="225">
                  <c:v>241.44999694824199</c:v>
                </c:pt>
                <c:pt idx="226">
                  <c:v>241.99000549316401</c:v>
                </c:pt>
                <c:pt idx="227">
                  <c:v>239.77999877929599</c:v>
                </c:pt>
                <c:pt idx="228">
                  <c:v>234.11999511718699</c:v>
                </c:pt>
                <c:pt idx="229">
                  <c:v>228.759994506835</c:v>
                </c:pt>
                <c:pt idx="230">
                  <c:v>237.69000244140599</c:v>
                </c:pt>
                <c:pt idx="231">
                  <c:v>246.009994506835</c:v>
                </c:pt>
                <c:pt idx="232">
                  <c:v>246.46000671386699</c:v>
                </c:pt>
                <c:pt idx="233">
                  <c:v>257.02999877929602</c:v>
                </c:pt>
                <c:pt idx="234">
                  <c:v>257.42999267578102</c:v>
                </c:pt>
                <c:pt idx="235">
                  <c:v>256.79000854492102</c:v>
                </c:pt>
                <c:pt idx="236">
                  <c:v>241.44000244140599</c:v>
                </c:pt>
                <c:pt idx="237">
                  <c:v>244.33000183105401</c:v>
                </c:pt>
                <c:pt idx="238">
                  <c:v>246.24000549316401</c:v>
                </c:pt>
                <c:pt idx="239">
                  <c:v>246.52999877929599</c:v>
                </c:pt>
                <c:pt idx="240">
                  <c:v>247.22000122070301</c:v>
                </c:pt>
                <c:pt idx="241">
                  <c:v>248.53999328613199</c:v>
                </c:pt>
                <c:pt idx="242">
                  <c:v>248.53999328613199</c:v>
                </c:pt>
                <c:pt idx="243">
                  <c:v>252.11000061035099</c:v>
                </c:pt>
                <c:pt idx="244">
                  <c:v>245.11000061035099</c:v>
                </c:pt>
                <c:pt idx="245">
                  <c:v>241.11000061035099</c:v>
                </c:pt>
                <c:pt idx="246">
                  <c:v>241.47999572753901</c:v>
                </c:pt>
                <c:pt idx="247">
                  <c:v>240.08999633789</c:v>
                </c:pt>
                <c:pt idx="248">
                  <c:v>240.08999633789</c:v>
                </c:pt>
                <c:pt idx="249">
                  <c:v>246.41000366210901</c:v>
                </c:pt>
                <c:pt idx="250">
                  <c:v>255.47999572753901</c:v>
                </c:pt>
                <c:pt idx="251">
                  <c:v>255.63999938964801</c:v>
                </c:pt>
                <c:pt idx="252">
                  <c:v>257.579986572265</c:v>
                </c:pt>
                <c:pt idx="253">
                  <c:v>254.5</c:v>
                </c:pt>
                <c:pt idx="254">
                  <c:v>254.009994506835</c:v>
                </c:pt>
                <c:pt idx="255">
                  <c:v>249.46000671386699</c:v>
                </c:pt>
                <c:pt idx="256">
                  <c:v>242.100006103515</c:v>
                </c:pt>
                <c:pt idx="257">
                  <c:v>245.02000427246</c:v>
                </c:pt>
                <c:pt idx="258">
                  <c:v>251.58000183105401</c:v>
                </c:pt>
                <c:pt idx="259">
                  <c:v>255.47999572753901</c:v>
                </c:pt>
                <c:pt idx="260">
                  <c:v>264.45999145507801</c:v>
                </c:pt>
                <c:pt idx="261">
                  <c:v>265.70001220703102</c:v>
                </c:pt>
                <c:pt idx="262">
                  <c:v>305.79998779296801</c:v>
                </c:pt>
                <c:pt idx="263">
                  <c:v>307.29000854492102</c:v>
                </c:pt>
                <c:pt idx="264">
                  <c:v>308.45001220703102</c:v>
                </c:pt>
                <c:pt idx="265">
                  <c:v>309.17001342773398</c:v>
                </c:pt>
                <c:pt idx="266">
                  <c:v>309.32000732421801</c:v>
                </c:pt>
                <c:pt idx="267">
                  <c:v>314.82000732421801</c:v>
                </c:pt>
                <c:pt idx="268">
                  <c:v>311.52999877929602</c:v>
                </c:pt>
                <c:pt idx="269">
                  <c:v>314.17001342773398</c:v>
                </c:pt>
                <c:pt idx="270">
                  <c:v>310.14999389648398</c:v>
                </c:pt>
                <c:pt idx="271">
                  <c:v>312.64001464843699</c:v>
                </c:pt>
                <c:pt idx="272">
                  <c:v>314.14999389648398</c:v>
                </c:pt>
                <c:pt idx="273">
                  <c:v>306.39001464843699</c:v>
                </c:pt>
                <c:pt idx="274">
                  <c:v>310.05999755859301</c:v>
                </c:pt>
                <c:pt idx="275">
                  <c:v>303.260009765625</c:v>
                </c:pt>
                <c:pt idx="276">
                  <c:v>300.70999145507801</c:v>
                </c:pt>
                <c:pt idx="277">
                  <c:v>309.48001098632801</c:v>
                </c:pt>
                <c:pt idx="278">
                  <c:v>310.14001464843699</c:v>
                </c:pt>
                <c:pt idx="279">
                  <c:v>307.70999145507801</c:v>
                </c:pt>
                <c:pt idx="280">
                  <c:v>302.60998535156199</c:v>
                </c:pt>
                <c:pt idx="281">
                  <c:v>301.47000122070301</c:v>
                </c:pt>
                <c:pt idx="282">
                  <c:v>304.13000488281199</c:v>
                </c:pt>
                <c:pt idx="283">
                  <c:v>309.510009765625</c:v>
                </c:pt>
                <c:pt idx="284">
                  <c:v>315.76998901367102</c:v>
                </c:pt>
                <c:pt idx="285">
                  <c:v>316.42999267578102</c:v>
                </c:pt>
                <c:pt idx="286">
                  <c:v>318.66000366210898</c:v>
                </c:pt>
                <c:pt idx="287">
                  <c:v>317.79000854492102</c:v>
                </c:pt>
                <c:pt idx="288">
                  <c:v>321.10998535156199</c:v>
                </c:pt>
                <c:pt idx="289">
                  <c:v>331.75</c:v>
                </c:pt>
                <c:pt idx="290">
                  <c:v>333.70001220703102</c:v>
                </c:pt>
                <c:pt idx="291">
                  <c:v>319.77999877929602</c:v>
                </c:pt>
                <c:pt idx="292">
                  <c:v>322.260009765625</c:v>
                </c:pt>
                <c:pt idx="293">
                  <c:v>323.260009765625</c:v>
                </c:pt>
                <c:pt idx="294">
                  <c:v>319.72000122070301</c:v>
                </c:pt>
                <c:pt idx="295">
                  <c:v>320.989990234375</c:v>
                </c:pt>
                <c:pt idx="296">
                  <c:v>329.010009765625</c:v>
                </c:pt>
                <c:pt idx="297">
                  <c:v>326.239990234375</c:v>
                </c:pt>
                <c:pt idx="298">
                  <c:v>329.22000122070301</c:v>
                </c:pt>
                <c:pt idx="299">
                  <c:v>329.39999389648398</c:v>
                </c:pt>
                <c:pt idx="300">
                  <c:v>331.70999145507801</c:v>
                </c:pt>
                <c:pt idx="301">
                  <c:v>351.57000732421801</c:v>
                </c:pt>
                <c:pt idx="302">
                  <c:v>345.829986572265</c:v>
                </c:pt>
                <c:pt idx="303">
                  <c:v>347.92999267578102</c:v>
                </c:pt>
                <c:pt idx="304">
                  <c:v>345.579986572265</c:v>
                </c:pt>
                <c:pt idx="305">
                  <c:v>334.79998779296801</c:v>
                </c:pt>
                <c:pt idx="306">
                  <c:v>333.489990234375</c:v>
                </c:pt>
                <c:pt idx="307">
                  <c:v>331.72000122070301</c:v>
                </c:pt>
                <c:pt idx="308">
                  <c:v>324.29998779296801</c:v>
                </c:pt>
                <c:pt idx="309">
                  <c:v>327.45001220703102</c:v>
                </c:pt>
                <c:pt idx="310">
                  <c:v>325.19000244140602</c:v>
                </c:pt>
                <c:pt idx="311">
                  <c:v>319.58999633789</c:v>
                </c:pt>
                <c:pt idx="312">
                  <c:v>319.20999145507801</c:v>
                </c:pt>
                <c:pt idx="313">
                  <c:v>319.17001342773398</c:v>
                </c:pt>
                <c:pt idx="314">
                  <c:v>321.95999145507801</c:v>
                </c:pt>
                <c:pt idx="315">
                  <c:v>329.17001342773398</c:v>
                </c:pt>
                <c:pt idx="316">
                  <c:v>328.5</c:v>
                </c:pt>
                <c:pt idx="317">
                  <c:v>324.95001220703102</c:v>
                </c:pt>
                <c:pt idx="318">
                  <c:v>322.52999877929602</c:v>
                </c:pt>
                <c:pt idx="319">
                  <c:v>336.29000854492102</c:v>
                </c:pt>
                <c:pt idx="320">
                  <c:v>335.45999145507801</c:v>
                </c:pt>
                <c:pt idx="321">
                  <c:v>335.80999755859301</c:v>
                </c:pt>
                <c:pt idx="322">
                  <c:v>342.739990234375</c:v>
                </c:pt>
                <c:pt idx="323">
                  <c:v>348.95001220703102</c:v>
                </c:pt>
                <c:pt idx="324">
                  <c:v>348.39001464843699</c:v>
                </c:pt>
                <c:pt idx="325">
                  <c:v>343.42001342773398</c:v>
                </c:pt>
                <c:pt idx="326">
                  <c:v>337.5</c:v>
                </c:pt>
                <c:pt idx="327">
                  <c:v>339.45001220703102</c:v>
                </c:pt>
                <c:pt idx="328">
                  <c:v>343.66000366210898</c:v>
                </c:pt>
                <c:pt idx="329">
                  <c:v>347.89999389648398</c:v>
                </c:pt>
                <c:pt idx="330">
                  <c:v>361.25</c:v>
                </c:pt>
                <c:pt idx="331">
                  <c:v>353.350006103515</c:v>
                </c:pt>
                <c:pt idx="332">
                  <c:v>354.85998535156199</c:v>
                </c:pt>
                <c:pt idx="333">
                  <c:v>352.91000366210898</c:v>
                </c:pt>
                <c:pt idx="334">
                  <c:v>369.350006103515</c:v>
                </c:pt>
                <c:pt idx="335">
                  <c:v>379.64001464843699</c:v>
                </c:pt>
                <c:pt idx="336">
                  <c:v>386.20999145507801</c:v>
                </c:pt>
                <c:pt idx="337">
                  <c:v>391.42999267578102</c:v>
                </c:pt>
                <c:pt idx="338">
                  <c:v>382.13000488281199</c:v>
                </c:pt>
                <c:pt idx="339">
                  <c:v>385.02999877929602</c:v>
                </c:pt>
                <c:pt idx="340">
                  <c:v>383.60998535156199</c:v>
                </c:pt>
                <c:pt idx="341">
                  <c:v>368.989990234375</c:v>
                </c:pt>
                <c:pt idx="342">
                  <c:v>363.89001464843699</c:v>
                </c:pt>
                <c:pt idx="343">
                  <c:v>356.83999633789</c:v>
                </c:pt>
                <c:pt idx="344">
                  <c:v>355.89999389648398</c:v>
                </c:pt>
                <c:pt idx="345">
                  <c:v>354.04998779296801</c:v>
                </c:pt>
                <c:pt idx="346">
                  <c:v>354.75</c:v>
                </c:pt>
                <c:pt idx="347">
                  <c:v>364.67999267578102</c:v>
                </c:pt>
                <c:pt idx="348">
                  <c:v>375.05999755859301</c:v>
                </c:pt>
                <c:pt idx="349">
                  <c:v>381.26998901367102</c:v>
                </c:pt>
                <c:pt idx="350">
                  <c:v>390.35998535156199</c:v>
                </c:pt>
                <c:pt idx="351">
                  <c:v>366.350006103515</c:v>
                </c:pt>
                <c:pt idx="352">
                  <c:v>368.329986572265</c:v>
                </c:pt>
                <c:pt idx="353">
                  <c:v>356.97000122070301</c:v>
                </c:pt>
                <c:pt idx="354">
                  <c:v>357.58999633789</c:v>
                </c:pt>
                <c:pt idx="355">
                  <c:v>344.70999145507801</c:v>
                </c:pt>
                <c:pt idx="356">
                  <c:v>350.05999755859301</c:v>
                </c:pt>
                <c:pt idx="357">
                  <c:v>357.80999755859301</c:v>
                </c:pt>
                <c:pt idx="358">
                  <c:v>358.10998535156199</c:v>
                </c:pt>
                <c:pt idx="359">
                  <c:v>363.02999877929602</c:v>
                </c:pt>
                <c:pt idx="360">
                  <c:v>370.35998535156199</c:v>
                </c:pt>
                <c:pt idx="361">
                  <c:v>371.33999633789</c:v>
                </c:pt>
                <c:pt idx="362">
                  <c:v>372.989990234375</c:v>
                </c:pt>
                <c:pt idx="363">
                  <c:v>378.64999389648398</c:v>
                </c:pt>
                <c:pt idx="364">
                  <c:v>369.89999389648398</c:v>
                </c:pt>
                <c:pt idx="365">
                  <c:v>355.67999267578102</c:v>
                </c:pt>
                <c:pt idx="366">
                  <c:v>366.05999755859301</c:v>
                </c:pt>
                <c:pt idx="367">
                  <c:v>364.07000732421801</c:v>
                </c:pt>
                <c:pt idx="368">
                  <c:v>360.489990234375</c:v>
                </c:pt>
                <c:pt idx="369">
                  <c:v>360.73001098632801</c:v>
                </c:pt>
                <c:pt idx="370">
                  <c:v>351.14001464843699</c:v>
                </c:pt>
                <c:pt idx="371">
                  <c:v>348.63000488281199</c:v>
                </c:pt>
                <c:pt idx="372">
                  <c:v>356.17999267578102</c:v>
                </c:pt>
                <c:pt idx="373">
                  <c:v>357.44000244140602</c:v>
                </c:pt>
                <c:pt idx="374">
                  <c:v>356.25</c:v>
                </c:pt>
                <c:pt idx="375">
                  <c:v>345.23001098632801</c:v>
                </c:pt>
                <c:pt idx="376">
                  <c:v>346.51998901367102</c:v>
                </c:pt>
                <c:pt idx="377">
                  <c:v>345.36999511718699</c:v>
                </c:pt>
                <c:pt idx="378">
                  <c:v>340.72000122070301</c:v>
                </c:pt>
                <c:pt idx="379">
                  <c:v>342.60998535156199</c:v>
                </c:pt>
                <c:pt idx="380">
                  <c:v>350.45001220703102</c:v>
                </c:pt>
                <c:pt idx="381">
                  <c:v>354.63000488281199</c:v>
                </c:pt>
                <c:pt idx="382">
                  <c:v>358.5</c:v>
                </c:pt>
                <c:pt idx="383">
                  <c:v>357.57000732421801</c:v>
                </c:pt>
                <c:pt idx="384">
                  <c:v>360.42001342773398</c:v>
                </c:pt>
                <c:pt idx="385">
                  <c:v>369.08999633789</c:v>
                </c:pt>
                <c:pt idx="386">
                  <c:v>367.20001220703102</c:v>
                </c:pt>
                <c:pt idx="387">
                  <c:v>362.52999877929602</c:v>
                </c:pt>
                <c:pt idx="388">
                  <c:v>359.260009765625</c:v>
                </c:pt>
                <c:pt idx="389">
                  <c:v>371.52999877929602</c:v>
                </c:pt>
                <c:pt idx="390">
                  <c:v>367.20001220703102</c:v>
                </c:pt>
                <c:pt idx="391">
                  <c:v>365.600006103515</c:v>
                </c:pt>
                <c:pt idx="392">
                  <c:v>364.32000732421801</c:v>
                </c:pt>
                <c:pt idx="393">
                  <c:v>370.79000854492102</c:v>
                </c:pt>
                <c:pt idx="394">
                  <c:v>371.30999755859301</c:v>
                </c:pt>
                <c:pt idx="395">
                  <c:v>370.45001220703102</c:v>
                </c:pt>
                <c:pt idx="396">
                  <c:v>354.80999755859301</c:v>
                </c:pt>
                <c:pt idx="397">
                  <c:v>360.20001220703102</c:v>
                </c:pt>
                <c:pt idx="398">
                  <c:v>350.97000122070301</c:v>
                </c:pt>
                <c:pt idx="399">
                  <c:v>350.54998779296801</c:v>
                </c:pt>
                <c:pt idx="400">
                  <c:v>363.27999877929602</c:v>
                </c:pt>
                <c:pt idx="401">
                  <c:v>361.75</c:v>
                </c:pt>
                <c:pt idx="402">
                  <c:v>358.850006103515</c:v>
                </c:pt>
                <c:pt idx="403">
                  <c:v>350.01998901367102</c:v>
                </c:pt>
                <c:pt idx="404">
                  <c:v>350.94000244140602</c:v>
                </c:pt>
                <c:pt idx="405">
                  <c:v>351.85998535156199</c:v>
                </c:pt>
                <c:pt idx="406">
                  <c:v>347.88000488281199</c:v>
                </c:pt>
                <c:pt idx="407">
                  <c:v>361.17001342773398</c:v>
                </c:pt>
                <c:pt idx="408">
                  <c:v>366.45999145507801</c:v>
                </c:pt>
                <c:pt idx="409">
                  <c:v>378.55999755859301</c:v>
                </c:pt>
                <c:pt idx="410">
                  <c:v>375.989990234375</c:v>
                </c:pt>
                <c:pt idx="411">
                  <c:v>383.17999267578102</c:v>
                </c:pt>
                <c:pt idx="412">
                  <c:v>378</c:v>
                </c:pt>
                <c:pt idx="413">
                  <c:v>376.52999877929602</c:v>
                </c:pt>
                <c:pt idx="414">
                  <c:v>375.52999877929602</c:v>
                </c:pt>
                <c:pt idx="415">
                  <c:v>379.91000366210898</c:v>
                </c:pt>
                <c:pt idx="416">
                  <c:v>362.82000732421801</c:v>
                </c:pt>
                <c:pt idx="417">
                  <c:v>371.13000488281199</c:v>
                </c:pt>
                <c:pt idx="418">
                  <c:v>376.45001220703102</c:v>
                </c:pt>
                <c:pt idx="419">
                  <c:v>376.739990234375</c:v>
                </c:pt>
                <c:pt idx="420">
                  <c:v>370.42001342773398</c:v>
                </c:pt>
                <c:pt idx="421">
                  <c:v>365.33999633789</c:v>
                </c:pt>
                <c:pt idx="422">
                  <c:v>367.89001464843699</c:v>
                </c:pt>
                <c:pt idx="423">
                  <c:v>369.83999633789</c:v>
                </c:pt>
                <c:pt idx="424">
                  <c:v>372.25</c:v>
                </c:pt>
                <c:pt idx="425">
                  <c:v>368.02999877929602</c:v>
                </c:pt>
                <c:pt idx="426">
                  <c:v>369.77999877929602</c:v>
                </c:pt>
                <c:pt idx="427">
                  <c:v>376.92999267578102</c:v>
                </c:pt>
                <c:pt idx="428">
                  <c:v>373.75</c:v>
                </c:pt>
                <c:pt idx="429">
                  <c:v>372.92001342773398</c:v>
                </c:pt>
                <c:pt idx="430">
                  <c:v>370.45001220703102</c:v>
                </c:pt>
                <c:pt idx="431">
                  <c:v>361.829986572265</c:v>
                </c:pt>
                <c:pt idx="432">
                  <c:v>362.42001342773398</c:v>
                </c:pt>
                <c:pt idx="433">
                  <c:v>362.76998901367102</c:v>
                </c:pt>
                <c:pt idx="434">
                  <c:v>362.98001098632801</c:v>
                </c:pt>
                <c:pt idx="435">
                  <c:v>353.42999267578102</c:v>
                </c:pt>
                <c:pt idx="436">
                  <c:v>355.260009765625</c:v>
                </c:pt>
                <c:pt idx="437">
                  <c:v>359.600006103515</c:v>
                </c:pt>
                <c:pt idx="438">
                  <c:v>360.76998901367102</c:v>
                </c:pt>
                <c:pt idx="439">
                  <c:v>361.29000854492102</c:v>
                </c:pt>
                <c:pt idx="440">
                  <c:v>361.85998535156199</c:v>
                </c:pt>
                <c:pt idx="441">
                  <c:v>353.04998779296801</c:v>
                </c:pt>
                <c:pt idx="442">
                  <c:v>361.29000854492102</c:v>
                </c:pt>
                <c:pt idx="443">
                  <c:v>362.32000732421801</c:v>
                </c:pt>
                <c:pt idx="444">
                  <c:v>361.60998535156199</c:v>
                </c:pt>
                <c:pt idx="445">
                  <c:v>361.36999511718699</c:v>
                </c:pt>
                <c:pt idx="446">
                  <c:v>360.25</c:v>
                </c:pt>
                <c:pt idx="447">
                  <c:v>356.64999389648398</c:v>
                </c:pt>
                <c:pt idx="448">
                  <c:v>356.20001220703102</c:v>
                </c:pt>
                <c:pt idx="449">
                  <c:v>355.77999877929602</c:v>
                </c:pt>
                <c:pt idx="450">
                  <c:v>350.64001464843699</c:v>
                </c:pt>
                <c:pt idx="451">
                  <c:v>356.22000122070301</c:v>
                </c:pt>
                <c:pt idx="452">
                  <c:v>351.44000244140602</c:v>
                </c:pt>
                <c:pt idx="453">
                  <c:v>349.58999633789</c:v>
                </c:pt>
                <c:pt idx="454">
                  <c:v>348.42999267578102</c:v>
                </c:pt>
                <c:pt idx="455">
                  <c:v>348.07000732421801</c:v>
                </c:pt>
                <c:pt idx="456">
                  <c:v>341.98001098632801</c:v>
                </c:pt>
                <c:pt idx="457">
                  <c:v>342.95999145507801</c:v>
                </c:pt>
                <c:pt idx="458">
                  <c:v>341.350006103515</c:v>
                </c:pt>
                <c:pt idx="459">
                  <c:v>342.45001220703102</c:v>
                </c:pt>
                <c:pt idx="460">
                  <c:v>348.72000122070301</c:v>
                </c:pt>
                <c:pt idx="461">
                  <c:v>358.95001220703102</c:v>
                </c:pt>
                <c:pt idx="462">
                  <c:v>357.29000854492102</c:v>
                </c:pt>
                <c:pt idx="463">
                  <c:v>356.95999145507801</c:v>
                </c:pt>
                <c:pt idx="464">
                  <c:v>361.07000732421801</c:v>
                </c:pt>
                <c:pt idx="465">
                  <c:v>359.60998535156199</c:v>
                </c:pt>
                <c:pt idx="466">
                  <c:v>360.42999267578102</c:v>
                </c:pt>
                <c:pt idx="467">
                  <c:v>366.42999267578102</c:v>
                </c:pt>
                <c:pt idx="468">
                  <c:v>366.350006103515</c:v>
                </c:pt>
                <c:pt idx="469">
                  <c:v>365.30999755859301</c:v>
                </c:pt>
                <c:pt idx="470">
                  <c:v>366.11999511718699</c:v>
                </c:pt>
                <c:pt idx="471">
                  <c:v>375.60998535156199</c:v>
                </c:pt>
                <c:pt idx="472">
                  <c:v>370.33999633789</c:v>
                </c:pt>
                <c:pt idx="473">
                  <c:v>363.35998535156199</c:v>
                </c:pt>
                <c:pt idx="474">
                  <c:v>364.82000732421801</c:v>
                </c:pt>
                <c:pt idx="475">
                  <c:v>361.77999877929602</c:v>
                </c:pt>
                <c:pt idx="476">
                  <c:v>361.44000244140602</c:v>
                </c:pt>
                <c:pt idx="477">
                  <c:v>358.94000244140602</c:v>
                </c:pt>
                <c:pt idx="478">
                  <c:v>369.73001098632801</c:v>
                </c:pt>
                <c:pt idx="479">
                  <c:v>357.47000122070301</c:v>
                </c:pt>
                <c:pt idx="480">
                  <c:v>361.30999755859301</c:v>
                </c:pt>
                <c:pt idx="481">
                  <c:v>365.75</c:v>
                </c:pt>
                <c:pt idx="482">
                  <c:v>375.95001220703102</c:v>
                </c:pt>
                <c:pt idx="483">
                  <c:v>382.04000854492102</c:v>
                </c:pt>
                <c:pt idx="484">
                  <c:v>383.52999877929602</c:v>
                </c:pt>
                <c:pt idx="485">
                  <c:v>379.75</c:v>
                </c:pt>
                <c:pt idx="486">
                  <c:v>374.760009765625</c:v>
                </c:pt>
                <c:pt idx="487">
                  <c:v>385.76998901367102</c:v>
                </c:pt>
                <c:pt idx="488">
                  <c:v>385.39999389648398</c:v>
                </c:pt>
                <c:pt idx="489">
                  <c:v>385.66000366210898</c:v>
                </c:pt>
                <c:pt idx="490">
                  <c:v>391.79000854492102</c:v>
                </c:pt>
                <c:pt idx="491">
                  <c:v>391.100006103515</c:v>
                </c:pt>
                <c:pt idx="492">
                  <c:v>389.92001342773398</c:v>
                </c:pt>
                <c:pt idx="493">
                  <c:v>398.19000244140602</c:v>
                </c:pt>
                <c:pt idx="494">
                  <c:v>400.89999389648398</c:v>
                </c:pt>
                <c:pt idx="495">
                  <c:v>400.26998901367102</c:v>
                </c:pt>
                <c:pt idx="496">
                  <c:v>391.94000244140602</c:v>
                </c:pt>
                <c:pt idx="497">
                  <c:v>400.16000366210898</c:v>
                </c:pt>
                <c:pt idx="498">
                  <c:v>404.02999877929602</c:v>
                </c:pt>
                <c:pt idx="499">
                  <c:v>405.77999877929602</c:v>
                </c:pt>
                <c:pt idx="500">
                  <c:v>406.89001464843699</c:v>
                </c:pt>
                <c:pt idx="501">
                  <c:v>408.79000854492102</c:v>
                </c:pt>
                <c:pt idx="502">
                  <c:v>412.42999267578102</c:v>
                </c:pt>
                <c:pt idx="503">
                  <c:v>405.69000244140602</c:v>
                </c:pt>
                <c:pt idx="504">
                  <c:v>397.48001098632801</c:v>
                </c:pt>
                <c:pt idx="505">
                  <c:v>393.32000732421801</c:v>
                </c:pt>
                <c:pt idx="506">
                  <c:v>399.89999389648398</c:v>
                </c:pt>
                <c:pt idx="507">
                  <c:v>405.489990234375</c:v>
                </c:pt>
                <c:pt idx="508">
                  <c:v>415.19000244140602</c:v>
                </c:pt>
                <c:pt idx="509">
                  <c:v>416.02999877929602</c:v>
                </c:pt>
                <c:pt idx="510">
                  <c:v>422.75</c:v>
                </c:pt>
                <c:pt idx="511">
                  <c:v>422.35998535156199</c:v>
                </c:pt>
                <c:pt idx="512">
                  <c:v>425.27999877929602</c:v>
                </c:pt>
                <c:pt idx="513">
                  <c:v>422.26998901367102</c:v>
                </c:pt>
                <c:pt idx="514">
                  <c:v>427.04000854492102</c:v>
                </c:pt>
                <c:pt idx="515">
                  <c:v>427.54000854492102</c:v>
                </c:pt>
                <c:pt idx="516">
                  <c:v>426.58999633789</c:v>
                </c:pt>
                <c:pt idx="517">
                  <c:v>423.83999633789</c:v>
                </c:pt>
                <c:pt idx="518">
                  <c:v>413.45999145507801</c:v>
                </c:pt>
                <c:pt idx="519">
                  <c:v>413.67999267578102</c:v>
                </c:pt>
                <c:pt idx="520">
                  <c:v>407.44000244140602</c:v>
                </c:pt>
                <c:pt idx="521">
                  <c:v>411.38000488281199</c:v>
                </c:pt>
                <c:pt idx="522">
                  <c:v>412.17001342773398</c:v>
                </c:pt>
                <c:pt idx="523">
                  <c:v>410.829986572265</c:v>
                </c:pt>
                <c:pt idx="524">
                  <c:v>411.63000488281199</c:v>
                </c:pt>
                <c:pt idx="525">
                  <c:v>411.100006103515</c:v>
                </c:pt>
                <c:pt idx="526">
                  <c:v>391.45999145507801</c:v>
                </c:pt>
                <c:pt idx="527">
                  <c:v>392.14999389648398</c:v>
                </c:pt>
                <c:pt idx="528">
                  <c:v>392.829986572265</c:v>
                </c:pt>
                <c:pt idx="529">
                  <c:v>406.95999145507801</c:v>
                </c:pt>
                <c:pt idx="530">
                  <c:v>411.29998779296801</c:v>
                </c:pt>
                <c:pt idx="531">
                  <c:v>416.94000244140602</c:v>
                </c:pt>
                <c:pt idx="532">
                  <c:v>417.38000488281199</c:v>
                </c:pt>
                <c:pt idx="533">
                  <c:v>418.89999389648398</c:v>
                </c:pt>
                <c:pt idx="534">
                  <c:v>417.02999877929602</c:v>
                </c:pt>
                <c:pt idx="535">
                  <c:v>417.92999267578102</c:v>
                </c:pt>
                <c:pt idx="536">
                  <c:v>414.60998535156199</c:v>
                </c:pt>
                <c:pt idx="537">
                  <c:v>407.02999877929602</c:v>
                </c:pt>
                <c:pt idx="538">
                  <c:v>408.88000488281199</c:v>
                </c:pt>
                <c:pt idx="539">
                  <c:v>408.26998901367102</c:v>
                </c:pt>
                <c:pt idx="540">
                  <c:v>402.30999755859301</c:v>
                </c:pt>
                <c:pt idx="541">
                  <c:v>407.850006103515</c:v>
                </c:pt>
                <c:pt idx="542">
                  <c:v>398.39999389648398</c:v>
                </c:pt>
                <c:pt idx="543">
                  <c:v>405.11999511718699</c:v>
                </c:pt>
                <c:pt idx="544">
                  <c:v>409.04998779296801</c:v>
                </c:pt>
                <c:pt idx="545">
                  <c:v>411.20001220703102</c:v>
                </c:pt>
                <c:pt idx="546">
                  <c:v>408.95001220703102</c:v>
                </c:pt>
                <c:pt idx="547">
                  <c:v>419.739990234375</c:v>
                </c:pt>
                <c:pt idx="548">
                  <c:v>418.17999267578102</c:v>
                </c:pt>
                <c:pt idx="549">
                  <c:v>416.22000122070301</c:v>
                </c:pt>
                <c:pt idx="550">
                  <c:v>420.42999267578102</c:v>
                </c:pt>
                <c:pt idx="551">
                  <c:v>422.760009765625</c:v>
                </c:pt>
                <c:pt idx="552">
                  <c:v>422.14001464843699</c:v>
                </c:pt>
                <c:pt idx="553">
                  <c:v>423.77999877929602</c:v>
                </c:pt>
                <c:pt idx="554">
                  <c:v>426.69000244140602</c:v>
                </c:pt>
                <c:pt idx="555">
                  <c:v>434.54000854492102</c:v>
                </c:pt>
                <c:pt idx="556">
                  <c:v>429.95001220703102</c:v>
                </c:pt>
                <c:pt idx="557">
                  <c:v>433.26998901367102</c:v>
                </c:pt>
                <c:pt idx="558">
                  <c:v>424.32000732421801</c:v>
                </c:pt>
                <c:pt idx="559">
                  <c:v>426.57000732421801</c:v>
                </c:pt>
                <c:pt idx="560">
                  <c:v>429.19000244140602</c:v>
                </c:pt>
                <c:pt idx="561">
                  <c:v>437.79000854492102</c:v>
                </c:pt>
                <c:pt idx="562">
                  <c:v>427.33999633789</c:v>
                </c:pt>
                <c:pt idx="563">
                  <c:v>425.17999267578102</c:v>
                </c:pt>
                <c:pt idx="564">
                  <c:v>407.63000488281199</c:v>
                </c:pt>
                <c:pt idx="565">
                  <c:v>407.95999145507801</c:v>
                </c:pt>
                <c:pt idx="566">
                  <c:v>404.67001342773398</c:v>
                </c:pt>
                <c:pt idx="567">
                  <c:v>399.26998901367102</c:v>
                </c:pt>
                <c:pt idx="568">
                  <c:v>401.88000488281199</c:v>
                </c:pt>
                <c:pt idx="569">
                  <c:v>402.64999389648398</c:v>
                </c:pt>
                <c:pt idx="570">
                  <c:v>399.94000244140602</c:v>
                </c:pt>
                <c:pt idx="571">
                  <c:v>409.10998535156199</c:v>
                </c:pt>
                <c:pt idx="572">
                  <c:v>417.67001342773398</c:v>
                </c:pt>
                <c:pt idx="573">
                  <c:v>420.350006103515</c:v>
                </c:pt>
                <c:pt idx="574">
                  <c:v>426.489990234375</c:v>
                </c:pt>
                <c:pt idx="575">
                  <c:v>423.42999267578102</c:v>
                </c:pt>
                <c:pt idx="576">
                  <c:v>425.13000488281199</c:v>
                </c:pt>
                <c:pt idx="577">
                  <c:v>441.329986572265</c:v>
                </c:pt>
                <c:pt idx="578">
                  <c:v>450.76998901367102</c:v>
                </c:pt>
                <c:pt idx="579">
                  <c:v>453.48001098632801</c:v>
                </c:pt>
                <c:pt idx="580">
                  <c:v>450.20999145507801</c:v>
                </c:pt>
                <c:pt idx="581">
                  <c:v>448.94000244140602</c:v>
                </c:pt>
                <c:pt idx="582">
                  <c:v>451.97000122070301</c:v>
                </c:pt>
                <c:pt idx="583">
                  <c:v>453.70999145507801</c:v>
                </c:pt>
                <c:pt idx="584">
                  <c:v>451.5</c:v>
                </c:pt>
                <c:pt idx="585">
                  <c:v>446.42999267578102</c:v>
                </c:pt>
                <c:pt idx="586">
                  <c:v>449.58999633789</c:v>
                </c:pt>
                <c:pt idx="587">
                  <c:v>445.73001098632801</c:v>
                </c:pt>
                <c:pt idx="588">
                  <c:v>430.10998535156199</c:v>
                </c:pt>
                <c:pt idx="589">
                  <c:v>425.27999877929602</c:v>
                </c:pt>
                <c:pt idx="590">
                  <c:v>433.32000732421801</c:v>
                </c:pt>
                <c:pt idx="591">
                  <c:v>442.91000366210898</c:v>
                </c:pt>
                <c:pt idx="592">
                  <c:v>430.97000122070301</c:v>
                </c:pt>
                <c:pt idx="593">
                  <c:v>443.64999389648398</c:v>
                </c:pt>
                <c:pt idx="594">
                  <c:v>435.63000488281199</c:v>
                </c:pt>
                <c:pt idx="595">
                  <c:v>423.25</c:v>
                </c:pt>
                <c:pt idx="596">
                  <c:v>399.510009765625</c:v>
                </c:pt>
                <c:pt idx="597">
                  <c:v>395.100006103515</c:v>
                </c:pt>
                <c:pt idx="598">
                  <c:v>403.97000122070301</c:v>
                </c:pt>
                <c:pt idx="599">
                  <c:v>398.760009765625</c:v>
                </c:pt>
                <c:pt idx="600">
                  <c:v>400.67999267578102</c:v>
                </c:pt>
                <c:pt idx="601">
                  <c:v>401.72000122070301</c:v>
                </c:pt>
                <c:pt idx="602">
                  <c:v>408.98001098632801</c:v>
                </c:pt>
                <c:pt idx="603">
                  <c:v>408.010009765625</c:v>
                </c:pt>
                <c:pt idx="604">
                  <c:v>409.579986572265</c:v>
                </c:pt>
                <c:pt idx="605">
                  <c:v>423.14999389648398</c:v>
                </c:pt>
                <c:pt idx="606">
                  <c:v>431.17001342773398</c:v>
                </c:pt>
                <c:pt idx="607">
                  <c:v>425.829986572265</c:v>
                </c:pt>
                <c:pt idx="608">
                  <c:v>432.14001464843699</c:v>
                </c:pt>
                <c:pt idx="609">
                  <c:v>433.510009765625</c:v>
                </c:pt>
                <c:pt idx="610">
                  <c:v>437.33999633789</c:v>
                </c:pt>
                <c:pt idx="611">
                  <c:v>432.89001464843699</c:v>
                </c:pt>
                <c:pt idx="612">
                  <c:v>429.39999389648398</c:v>
                </c:pt>
                <c:pt idx="613">
                  <c:v>443.92999267578102</c:v>
                </c:pt>
                <c:pt idx="614">
                  <c:v>450.04998779296801</c:v>
                </c:pt>
                <c:pt idx="615">
                  <c:v>442.08999633789</c:v>
                </c:pt>
                <c:pt idx="616">
                  <c:v>434.54000854492102</c:v>
                </c:pt>
                <c:pt idx="617">
                  <c:v>422.13000488281199</c:v>
                </c:pt>
                <c:pt idx="618">
                  <c:v>416.010009765625</c:v>
                </c:pt>
                <c:pt idx="619">
                  <c:v>406.22000122070301</c:v>
                </c:pt>
                <c:pt idx="620">
                  <c:v>405.19000244140602</c:v>
                </c:pt>
                <c:pt idx="621">
                  <c:v>408.75</c:v>
                </c:pt>
                <c:pt idx="622">
                  <c:v>415.01998901367102</c:v>
                </c:pt>
                <c:pt idx="623">
                  <c:v>411.489990234375</c:v>
                </c:pt>
                <c:pt idx="624">
                  <c:v>416.989990234375</c:v>
                </c:pt>
                <c:pt idx="625">
                  <c:v>413.260009765625</c:v>
                </c:pt>
                <c:pt idx="626">
                  <c:v>415.350006103515</c:v>
                </c:pt>
                <c:pt idx="627">
                  <c:v>415.829986572265</c:v>
                </c:pt>
                <c:pt idx="628">
                  <c:v>409.91000366210898</c:v>
                </c:pt>
                <c:pt idx="629">
                  <c:v>426.67999267578102</c:v>
                </c:pt>
                <c:pt idx="630">
                  <c:v>434.5</c:v>
                </c:pt>
                <c:pt idx="631">
                  <c:v>450.20001220703102</c:v>
                </c:pt>
                <c:pt idx="632">
                  <c:v>445.36999511718699</c:v>
                </c:pt>
                <c:pt idx="633">
                  <c:v>442</c:v>
                </c:pt>
                <c:pt idx="634">
                  <c:v>431.97000122070301</c:v>
                </c:pt>
                <c:pt idx="635">
                  <c:v>432.01998901367102</c:v>
                </c:pt>
                <c:pt idx="636">
                  <c:v>424.25</c:v>
                </c:pt>
                <c:pt idx="637">
                  <c:v>419</c:v>
                </c:pt>
                <c:pt idx="638">
                  <c:v>415</c:v>
                </c:pt>
                <c:pt idx="639">
                  <c:v>415.29998779296801</c:v>
                </c:pt>
                <c:pt idx="640">
                  <c:v>415</c:v>
                </c:pt>
                <c:pt idx="641">
                  <c:v>420.04998779296801</c:v>
                </c:pt>
                <c:pt idx="642">
                  <c:v>420.77999877929602</c:v>
                </c:pt>
                <c:pt idx="643">
                  <c:v>433.55999755859301</c:v>
                </c:pt>
                <c:pt idx="644">
                  <c:v>448.70001220703102</c:v>
                </c:pt>
                <c:pt idx="645">
                  <c:v>428.350006103515</c:v>
                </c:pt>
                <c:pt idx="646">
                  <c:v>431.02999877929602</c:v>
                </c:pt>
                <c:pt idx="647">
                  <c:v>426.72000122070301</c:v>
                </c:pt>
                <c:pt idx="648">
                  <c:v>427.92001342773398</c:v>
                </c:pt>
                <c:pt idx="649">
                  <c:v>420.760009765625</c:v>
                </c:pt>
                <c:pt idx="650">
                  <c:v>423.38000488281199</c:v>
                </c:pt>
                <c:pt idx="651">
                  <c:v>432.72000122070301</c:v>
                </c:pt>
                <c:pt idx="652">
                  <c:v>448.22000122070301</c:v>
                </c:pt>
                <c:pt idx="653">
                  <c:v>433.510009765625</c:v>
                </c:pt>
                <c:pt idx="654">
                  <c:v>429.95001220703102</c:v>
                </c:pt>
                <c:pt idx="655">
                  <c:v>429.10998535156199</c:v>
                </c:pt>
                <c:pt idx="656">
                  <c:v>431.239990234375</c:v>
                </c:pt>
                <c:pt idx="657">
                  <c:v>427.45999145507801</c:v>
                </c:pt>
                <c:pt idx="658">
                  <c:v>424.32000732421801</c:v>
                </c:pt>
                <c:pt idx="659">
                  <c:v>422.100006103515</c:v>
                </c:pt>
                <c:pt idx="660">
                  <c:v>419.32000732421801</c:v>
                </c:pt>
                <c:pt idx="661">
                  <c:v>421.23001098632801</c:v>
                </c:pt>
                <c:pt idx="662">
                  <c:v>414.82000732421801</c:v>
                </c:pt>
                <c:pt idx="663">
                  <c:v>416.19000244140602</c:v>
                </c:pt>
                <c:pt idx="664">
                  <c:v>421.39001464843699</c:v>
                </c:pt>
                <c:pt idx="665">
                  <c:v>430.85998535156199</c:v>
                </c:pt>
                <c:pt idx="666">
                  <c:v>414.92999267578102</c:v>
                </c:pt>
                <c:pt idx="667">
                  <c:v>416.20001220703102</c:v>
                </c:pt>
                <c:pt idx="668">
                  <c:v>417.32000732421801</c:v>
                </c:pt>
                <c:pt idx="669">
                  <c:v>415.579986572265</c:v>
                </c:pt>
                <c:pt idx="670">
                  <c:v>407.27999877929602</c:v>
                </c:pt>
                <c:pt idx="671">
                  <c:v>412.13000488281199</c:v>
                </c:pt>
                <c:pt idx="672">
                  <c:v>421.20001220703102</c:v>
                </c:pt>
                <c:pt idx="673">
                  <c:v>419.19000244140602</c:v>
                </c:pt>
                <c:pt idx="674">
                  <c:v>417.91000366210898</c:v>
                </c:pt>
                <c:pt idx="675">
                  <c:v>410.51998901367102</c:v>
                </c:pt>
                <c:pt idx="676">
                  <c:v>395.23001098632801</c:v>
                </c:pt>
                <c:pt idx="677">
                  <c:v>398.85998535156199</c:v>
                </c:pt>
                <c:pt idx="678">
                  <c:v>399.33999633789</c:v>
                </c:pt>
                <c:pt idx="679">
                  <c:v>393.83999633789</c:v>
                </c:pt>
                <c:pt idx="680">
                  <c:v>402.42001342773398</c:v>
                </c:pt>
                <c:pt idx="681">
                  <c:v>395.45999145507801</c:v>
                </c:pt>
                <c:pt idx="682">
                  <c:v>395.100006103515</c:v>
                </c:pt>
                <c:pt idx="683">
                  <c:v>390.97000122070301</c:v>
                </c:pt>
                <c:pt idx="684">
                  <c:v>385.350006103515</c:v>
                </c:pt>
                <c:pt idx="685">
                  <c:v>384.48001098632801</c:v>
                </c:pt>
                <c:pt idx="686">
                  <c:v>384.70999145507801</c:v>
                </c:pt>
                <c:pt idx="687">
                  <c:v>384.39001464843699</c:v>
                </c:pt>
                <c:pt idx="688">
                  <c:v>387.70999145507801</c:v>
                </c:pt>
                <c:pt idx="689">
                  <c:v>391.44000244140602</c:v>
                </c:pt>
                <c:pt idx="690">
                  <c:v>386.76998901367102</c:v>
                </c:pt>
                <c:pt idx="691">
                  <c:v>384.489990234375</c:v>
                </c:pt>
                <c:pt idx="692">
                  <c:v>381.51998901367102</c:v>
                </c:pt>
                <c:pt idx="693">
                  <c:v>382.739990234375</c:v>
                </c:pt>
                <c:pt idx="694">
                  <c:v>379.760009765625</c:v>
                </c:pt>
                <c:pt idx="695">
                  <c:v>380.45999145507801</c:v>
                </c:pt>
                <c:pt idx="696">
                  <c:v>384.76998901367102</c:v>
                </c:pt>
                <c:pt idx="697">
                  <c:v>384</c:v>
                </c:pt>
                <c:pt idx="698">
                  <c:v>387.29998779296801</c:v>
                </c:pt>
                <c:pt idx="699">
                  <c:v>395.72000122070301</c:v>
                </c:pt>
                <c:pt idx="700">
                  <c:v>396.39999389648398</c:v>
                </c:pt>
                <c:pt idx="701">
                  <c:v>401.39999389648398</c:v>
                </c:pt>
                <c:pt idx="702">
                  <c:v>406.80999755859301</c:v>
                </c:pt>
                <c:pt idx="703">
                  <c:v>413.17999267578102</c:v>
                </c:pt>
                <c:pt idx="704">
                  <c:v>414.30999755859301</c:v>
                </c:pt>
                <c:pt idx="705">
                  <c:v>417.579986572265</c:v>
                </c:pt>
                <c:pt idx="706">
                  <c:v>428.54000854492102</c:v>
                </c:pt>
                <c:pt idx="707">
                  <c:v>427.47000122070301</c:v>
                </c:pt>
                <c:pt idx="708">
                  <c:v>436.76998901367102</c:v>
                </c:pt>
                <c:pt idx="709">
                  <c:v>440.95999145507801</c:v>
                </c:pt>
                <c:pt idx="710">
                  <c:v>445.89001464843699</c:v>
                </c:pt>
                <c:pt idx="711">
                  <c:v>449.14999389648398</c:v>
                </c:pt>
                <c:pt idx="712">
                  <c:v>440.760009765625</c:v>
                </c:pt>
                <c:pt idx="713">
                  <c:v>432.35998535156199</c:v>
                </c:pt>
                <c:pt idx="714">
                  <c:v>434.19000244140602</c:v>
                </c:pt>
                <c:pt idx="715">
                  <c:v>430.02999877929602</c:v>
                </c:pt>
                <c:pt idx="716">
                  <c:v>439.45999145507801</c:v>
                </c:pt>
                <c:pt idx="717">
                  <c:v>447.22000122070301</c:v>
                </c:pt>
                <c:pt idx="718">
                  <c:v>435.47000122070301</c:v>
                </c:pt>
                <c:pt idx="719">
                  <c:v>428.54000854492102</c:v>
                </c:pt>
                <c:pt idx="720">
                  <c:v>426.70999145507801</c:v>
                </c:pt>
                <c:pt idx="721">
                  <c:v>423.760009765625</c:v>
                </c:pt>
                <c:pt idx="722">
                  <c:v>426.70001220703102</c:v>
                </c:pt>
                <c:pt idx="723">
                  <c:v>433.30999755859301</c:v>
                </c:pt>
                <c:pt idx="724">
                  <c:v>424.760009765625</c:v>
                </c:pt>
                <c:pt idx="725">
                  <c:v>429.51998901367102</c:v>
                </c:pt>
                <c:pt idx="726">
                  <c:v>430.92001342773398</c:v>
                </c:pt>
                <c:pt idx="727">
                  <c:v>439.89999389648398</c:v>
                </c:pt>
                <c:pt idx="728">
                  <c:v>442.239990234375</c:v>
                </c:pt>
                <c:pt idx="729">
                  <c:v>436.41000366210898</c:v>
                </c:pt>
                <c:pt idx="730">
                  <c:v>434.75</c:v>
                </c:pt>
                <c:pt idx="731">
                  <c:v>431.54000854492102</c:v>
                </c:pt>
                <c:pt idx="732">
                  <c:v>433.14001464843699</c:v>
                </c:pt>
                <c:pt idx="733">
                  <c:v>431.66000366210898</c:v>
                </c:pt>
                <c:pt idx="734">
                  <c:v>426.64999389648398</c:v>
                </c:pt>
                <c:pt idx="735">
                  <c:v>419.92001342773398</c:v>
                </c:pt>
                <c:pt idx="736">
                  <c:v>405.75</c:v>
                </c:pt>
                <c:pt idx="737">
                  <c:v>394.510009765625</c:v>
                </c:pt>
                <c:pt idx="738">
                  <c:v>407.97000122070301</c:v>
                </c:pt>
                <c:pt idx="739">
                  <c:v>405.79000854492102</c:v>
                </c:pt>
                <c:pt idx="740">
                  <c:v>401.10998535156199</c:v>
                </c:pt>
                <c:pt idx="741">
                  <c:v>396</c:v>
                </c:pt>
                <c:pt idx="742">
                  <c:v>409.91000366210898</c:v>
                </c:pt>
                <c:pt idx="743">
                  <c:v>417.70999145507801</c:v>
                </c:pt>
                <c:pt idx="744">
                  <c:v>415.72000122070301</c:v>
                </c:pt>
                <c:pt idx="745">
                  <c:v>420.67999267578102</c:v>
                </c:pt>
                <c:pt idx="746">
                  <c:v>416.67001342773398</c:v>
                </c:pt>
                <c:pt idx="747">
                  <c:v>413.36999511718699</c:v>
                </c:pt>
                <c:pt idx="748">
                  <c:v>409.64999389648398</c:v>
                </c:pt>
                <c:pt idx="749">
                  <c:v>412.510009765625</c:v>
                </c:pt>
                <c:pt idx="750">
                  <c:v>424.20001220703102</c:v>
                </c:pt>
                <c:pt idx="751">
                  <c:v>425.07000732421801</c:v>
                </c:pt>
                <c:pt idx="752">
                  <c:v>435.010009765625</c:v>
                </c:pt>
                <c:pt idx="753">
                  <c:v>435.33999633789</c:v>
                </c:pt>
                <c:pt idx="754">
                  <c:v>432.05999755859301</c:v>
                </c:pt>
                <c:pt idx="755">
                  <c:v>430.14999389648398</c:v>
                </c:pt>
                <c:pt idx="756">
                  <c:v>440.13000488281199</c:v>
                </c:pt>
                <c:pt idx="757">
                  <c:v>452.08999633789</c:v>
                </c:pt>
                <c:pt idx="758">
                  <c:v>441.04000854492102</c:v>
                </c:pt>
                <c:pt idx="759">
                  <c:v>445.29998779296801</c:v>
                </c:pt>
                <c:pt idx="760">
                  <c:v>444.54998779296801</c:v>
                </c:pt>
                <c:pt idx="761">
                  <c:v>445.010009765625</c:v>
                </c:pt>
                <c:pt idx="762">
                  <c:v>464.97000122070301</c:v>
                </c:pt>
                <c:pt idx="763">
                  <c:v>464.10998535156199</c:v>
                </c:pt>
                <c:pt idx="764">
                  <c:v>438.66000366210898</c:v>
                </c:pt>
                <c:pt idx="765">
                  <c:v>448.329986572265</c:v>
                </c:pt>
                <c:pt idx="766">
                  <c:v>440.30999755859301</c:v>
                </c:pt>
                <c:pt idx="767">
                  <c:v>447.39999389648398</c:v>
                </c:pt>
                <c:pt idx="768">
                  <c:v>450.57000732421801</c:v>
                </c:pt>
                <c:pt idx="769">
                  <c:v>459.69000244140602</c:v>
                </c:pt>
                <c:pt idx="770">
                  <c:v>472.02999877929602</c:v>
                </c:pt>
                <c:pt idx="771">
                  <c:v>470.64999389648398</c:v>
                </c:pt>
                <c:pt idx="772">
                  <c:v>477.100006103515</c:v>
                </c:pt>
                <c:pt idx="773">
                  <c:v>473.64999389648398</c:v>
                </c:pt>
                <c:pt idx="774">
                  <c:v>468.829986572265</c:v>
                </c:pt>
                <c:pt idx="775">
                  <c:v>471.08999633789</c:v>
                </c:pt>
                <c:pt idx="776">
                  <c:v>458.26998901367102</c:v>
                </c:pt>
                <c:pt idx="777">
                  <c:v>466.579986572265</c:v>
                </c:pt>
                <c:pt idx="778">
                  <c:v>471.010009765625</c:v>
                </c:pt>
                <c:pt idx="779">
                  <c:v>474.27999877929602</c:v>
                </c:pt>
                <c:pt idx="780">
                  <c:v>463.350006103515</c:v>
                </c:pt>
                <c:pt idx="781">
                  <c:v>458.38000488281199</c:v>
                </c:pt>
                <c:pt idx="782">
                  <c:v>478.5</c:v>
                </c:pt>
                <c:pt idx="783">
                  <c:v>478.13000488281199</c:v>
                </c:pt>
                <c:pt idx="784">
                  <c:v>478.95999145507801</c:v>
                </c:pt>
                <c:pt idx="785">
                  <c:v>475.32000732421801</c:v>
                </c:pt>
                <c:pt idx="786">
                  <c:v>495.05999755859301</c:v>
                </c:pt>
                <c:pt idx="787">
                  <c:v>492.04000854492102</c:v>
                </c:pt>
                <c:pt idx="788">
                  <c:v>492.39001464843699</c:v>
                </c:pt>
                <c:pt idx="789">
                  <c:v>487</c:v>
                </c:pt>
                <c:pt idx="790">
                  <c:v>491.05999755859301</c:v>
                </c:pt>
                <c:pt idx="791">
                  <c:v>485.19000244140602</c:v>
                </c:pt>
                <c:pt idx="792">
                  <c:v>470.489990234375</c:v>
                </c:pt>
                <c:pt idx="793">
                  <c:v>468.39999389648398</c:v>
                </c:pt>
                <c:pt idx="794">
                  <c:v>472.35998535156199</c:v>
                </c:pt>
                <c:pt idx="795">
                  <c:v>474.52999877929602</c:v>
                </c:pt>
                <c:pt idx="796">
                  <c:v>486.01998901367102</c:v>
                </c:pt>
                <c:pt idx="797">
                  <c:v>485.86999511718699</c:v>
                </c:pt>
                <c:pt idx="798">
                  <c:v>488.41000366210898</c:v>
                </c:pt>
                <c:pt idx="799">
                  <c:v>478.26998901367102</c:v>
                </c:pt>
                <c:pt idx="800">
                  <c:v>488.14001464843699</c:v>
                </c:pt>
                <c:pt idx="801">
                  <c:v>472.82000732421801</c:v>
                </c:pt>
                <c:pt idx="802">
                  <c:v>469.100006103515</c:v>
                </c:pt>
                <c:pt idx="803">
                  <c:v>454.010009765625</c:v>
                </c:pt>
                <c:pt idx="804">
                  <c:v>471.48001098632801</c:v>
                </c:pt>
                <c:pt idx="805">
                  <c:v>471.86999511718699</c:v>
                </c:pt>
                <c:pt idx="806">
                  <c:v>474.600006103515</c:v>
                </c:pt>
                <c:pt idx="807">
                  <c:v>484.48001098632801</c:v>
                </c:pt>
                <c:pt idx="808">
                  <c:v>492.05999755859301</c:v>
                </c:pt>
                <c:pt idx="809">
                  <c:v>496.05999755859301</c:v>
                </c:pt>
                <c:pt idx="810">
                  <c:v>497</c:v>
                </c:pt>
                <c:pt idx="811">
                  <c:v>497.989990234375</c:v>
                </c:pt>
                <c:pt idx="812">
                  <c:v>507.20001220703102</c:v>
                </c:pt>
                <c:pt idx="813">
                  <c:v>510.010009765625</c:v>
                </c:pt>
                <c:pt idx="814">
                  <c:v>527.28997802734295</c:v>
                </c:pt>
                <c:pt idx="815">
                  <c:v>511.010009765625</c:v>
                </c:pt>
                <c:pt idx="816">
                  <c:v>519.219970703125</c:v>
                </c:pt>
                <c:pt idx="817">
                  <c:v>528.65002441406205</c:v>
                </c:pt>
                <c:pt idx="818">
                  <c:v>537.719970703125</c:v>
                </c:pt>
                <c:pt idx="819">
                  <c:v>544.19000244140602</c:v>
                </c:pt>
                <c:pt idx="820">
                  <c:v>550.40997314453102</c:v>
                </c:pt>
                <c:pt idx="821">
                  <c:v>544.61999511718705</c:v>
                </c:pt>
                <c:pt idx="822">
                  <c:v>545.510009765625</c:v>
                </c:pt>
                <c:pt idx="823">
                  <c:v>527.010009765625</c:v>
                </c:pt>
                <c:pt idx="824">
                  <c:v>513</c:v>
                </c:pt>
                <c:pt idx="825">
                  <c:v>510.23001098632801</c:v>
                </c:pt>
                <c:pt idx="826">
                  <c:v>513.65997314453102</c:v>
                </c:pt>
                <c:pt idx="827">
                  <c:v>511.01998901367102</c:v>
                </c:pt>
                <c:pt idx="828">
                  <c:v>516.20001220703102</c:v>
                </c:pt>
                <c:pt idx="829">
                  <c:v>506.010009765625</c:v>
                </c:pt>
                <c:pt idx="830">
                  <c:v>505.27999877929602</c:v>
                </c:pt>
                <c:pt idx="831">
                  <c:v>506.70001220703102</c:v>
                </c:pt>
                <c:pt idx="832">
                  <c:v>501.92999267578102</c:v>
                </c:pt>
                <c:pt idx="833">
                  <c:v>517.94000244140602</c:v>
                </c:pt>
                <c:pt idx="834">
                  <c:v>509.22000122070301</c:v>
                </c:pt>
                <c:pt idx="835">
                  <c:v>514.989990234375</c:v>
                </c:pt>
                <c:pt idx="836">
                  <c:v>512.61999511718705</c:v>
                </c:pt>
                <c:pt idx="837">
                  <c:v>515.80999755859295</c:v>
                </c:pt>
                <c:pt idx="838">
                  <c:v>508</c:v>
                </c:pt>
                <c:pt idx="839">
                  <c:v>516.90002441406205</c:v>
                </c:pt>
                <c:pt idx="840">
                  <c:v>512.53997802734295</c:v>
                </c:pt>
                <c:pt idx="841">
                  <c:v>516.010009765625</c:v>
                </c:pt>
                <c:pt idx="842">
                  <c:v>518.35998535156205</c:v>
                </c:pt>
                <c:pt idx="843">
                  <c:v>520</c:v>
                </c:pt>
                <c:pt idx="844">
                  <c:v>523.85998535156205</c:v>
                </c:pt>
                <c:pt idx="845">
                  <c:v>525.28997802734295</c:v>
                </c:pt>
                <c:pt idx="846">
                  <c:v>527.65002441406205</c:v>
                </c:pt>
                <c:pt idx="847">
                  <c:v>540.5</c:v>
                </c:pt>
                <c:pt idx="848">
                  <c:v>541.58001708984295</c:v>
                </c:pt>
                <c:pt idx="849">
                  <c:v>542.41998291015602</c:v>
                </c:pt>
                <c:pt idx="850">
                  <c:v>544.05999755859295</c:v>
                </c:pt>
                <c:pt idx="851">
                  <c:v>549.32000732421795</c:v>
                </c:pt>
                <c:pt idx="852">
                  <c:v>544.95001220703102</c:v>
                </c:pt>
                <c:pt idx="853">
                  <c:v>544.84997558593705</c:v>
                </c:pt>
                <c:pt idx="854">
                  <c:v>547.59997558593705</c:v>
                </c:pt>
                <c:pt idx="855">
                  <c:v>546.969970703125</c:v>
                </c:pt>
                <c:pt idx="856">
                  <c:v>543.030029296875</c:v>
                </c:pt>
                <c:pt idx="857">
                  <c:v>536.64001464843705</c:v>
                </c:pt>
                <c:pt idx="858">
                  <c:v>531.19000244140602</c:v>
                </c:pt>
                <c:pt idx="859">
                  <c:v>536.03997802734295</c:v>
                </c:pt>
                <c:pt idx="860">
                  <c:v>541.969970703125</c:v>
                </c:pt>
                <c:pt idx="861">
                  <c:v>545.34002685546795</c:v>
                </c:pt>
                <c:pt idx="862">
                  <c:v>556.280029296875</c:v>
                </c:pt>
                <c:pt idx="863">
                  <c:v>557.60998535156205</c:v>
                </c:pt>
                <c:pt idx="864">
                  <c:v>564.65002441406205</c:v>
                </c:pt>
                <c:pt idx="865">
                  <c:v>562.28997802734295</c:v>
                </c:pt>
                <c:pt idx="866">
                  <c:v>551.20001220703102</c:v>
                </c:pt>
                <c:pt idx="867">
                  <c:v>552.09997558593705</c:v>
                </c:pt>
                <c:pt idx="868">
                  <c:v>559.84002685546795</c:v>
                </c:pt>
                <c:pt idx="869">
                  <c:v>556.22998046875</c:v>
                </c:pt>
                <c:pt idx="870">
                  <c:v>567.5</c:v>
                </c:pt>
                <c:pt idx="871">
                  <c:v>559.989990234375</c:v>
                </c:pt>
                <c:pt idx="872">
                  <c:v>552</c:v>
                </c:pt>
                <c:pt idx="873">
                  <c:v>549.32000732421795</c:v>
                </c:pt>
                <c:pt idx="874">
                  <c:v>549.94000244140602</c:v>
                </c:pt>
                <c:pt idx="875">
                  <c:v>548.28997802734295</c:v>
                </c:pt>
                <c:pt idx="876">
                  <c:v>536.39001464843705</c:v>
                </c:pt>
                <c:pt idx="877">
                  <c:v>541.19000244140602</c:v>
                </c:pt>
                <c:pt idx="878">
                  <c:v>533.989990234375</c:v>
                </c:pt>
                <c:pt idx="879">
                  <c:v>510.11999511718699</c:v>
                </c:pt>
                <c:pt idx="880">
                  <c:v>510.5</c:v>
                </c:pt>
                <c:pt idx="881">
                  <c:v>507.079986572265</c:v>
                </c:pt>
                <c:pt idx="882">
                  <c:v>495.83999633789</c:v>
                </c:pt>
                <c:pt idx="883">
                  <c:v>512.45001220703102</c:v>
                </c:pt>
                <c:pt idx="884">
                  <c:v>515.07000732421795</c:v>
                </c:pt>
                <c:pt idx="885">
                  <c:v>518.16998291015602</c:v>
                </c:pt>
                <c:pt idx="886">
                  <c:v>510.76998901367102</c:v>
                </c:pt>
                <c:pt idx="887">
                  <c:v>498.100006103515</c:v>
                </c:pt>
                <c:pt idx="888">
                  <c:v>500.38000488281199</c:v>
                </c:pt>
                <c:pt idx="889">
                  <c:v>499.48001098632801</c:v>
                </c:pt>
                <c:pt idx="890">
                  <c:v>507.39999389648398</c:v>
                </c:pt>
                <c:pt idx="891">
                  <c:v>509.14001464843699</c:v>
                </c:pt>
                <c:pt idx="892">
                  <c:v>501.88000488281199</c:v>
                </c:pt>
                <c:pt idx="893">
                  <c:v>503.79000854492102</c:v>
                </c:pt>
                <c:pt idx="894">
                  <c:v>508.42001342773398</c:v>
                </c:pt>
                <c:pt idx="895">
                  <c:v>513.69000244140602</c:v>
                </c:pt>
                <c:pt idx="896">
                  <c:v>514.08001708984295</c:v>
                </c:pt>
                <c:pt idx="897">
                  <c:v>514.02001953125</c:v>
                </c:pt>
                <c:pt idx="898">
                  <c:v>504.76998901367102</c:v>
                </c:pt>
                <c:pt idx="899">
                  <c:v>505.14001464843699</c:v>
                </c:pt>
                <c:pt idx="900">
                  <c:v>499.829986572265</c:v>
                </c:pt>
                <c:pt idx="901">
                  <c:v>503.72000122070301</c:v>
                </c:pt>
                <c:pt idx="902">
                  <c:v>498.39001464843699</c:v>
                </c:pt>
                <c:pt idx="903">
                  <c:v>508.89999389648398</c:v>
                </c:pt>
                <c:pt idx="904">
                  <c:v>506</c:v>
                </c:pt>
                <c:pt idx="905">
                  <c:v>494.5</c:v>
                </c:pt>
                <c:pt idx="906">
                  <c:v>496.32000732421801</c:v>
                </c:pt>
                <c:pt idx="907">
                  <c:v>490.86999511718699</c:v>
                </c:pt>
                <c:pt idx="908">
                  <c:v>492.66000366210898</c:v>
                </c:pt>
                <c:pt idx="909">
                  <c:v>486.48001098632801</c:v>
                </c:pt>
                <c:pt idx="910">
                  <c:v>499.35998535156199</c:v>
                </c:pt>
                <c:pt idx="911">
                  <c:v>497.79998779296801</c:v>
                </c:pt>
                <c:pt idx="912">
                  <c:v>494.19000244140602</c:v>
                </c:pt>
                <c:pt idx="913">
                  <c:v>493.42001342773398</c:v>
                </c:pt>
                <c:pt idx="914">
                  <c:v>502.91000366210898</c:v>
                </c:pt>
                <c:pt idx="915">
                  <c:v>505.23001098632801</c:v>
                </c:pt>
                <c:pt idx="916">
                  <c:v>509.54998779296801</c:v>
                </c:pt>
                <c:pt idx="917">
                  <c:v>512.510009765625</c:v>
                </c:pt>
                <c:pt idx="918">
                  <c:v>508</c:v>
                </c:pt>
                <c:pt idx="919">
                  <c:v>504.39999389648398</c:v>
                </c:pt>
                <c:pt idx="920">
                  <c:v>496.329986572265</c:v>
                </c:pt>
                <c:pt idx="921">
                  <c:v>488.25</c:v>
                </c:pt>
                <c:pt idx="922">
                  <c:v>486</c:v>
                </c:pt>
                <c:pt idx="923">
                  <c:v>479.30999755859301</c:v>
                </c:pt>
                <c:pt idx="924">
                  <c:v>479.010009765625</c:v>
                </c:pt>
                <c:pt idx="925">
                  <c:v>481.83999633789</c:v>
                </c:pt>
                <c:pt idx="926">
                  <c:v>476.22000122070301</c:v>
                </c:pt>
                <c:pt idx="927">
                  <c:v>474.010009765625</c:v>
                </c:pt>
                <c:pt idx="928">
                  <c:v>478.489990234375</c:v>
                </c:pt>
                <c:pt idx="929">
                  <c:v>493.19000244140602</c:v>
                </c:pt>
                <c:pt idx="930">
                  <c:v>483.42001342773398</c:v>
                </c:pt>
                <c:pt idx="931">
                  <c:v>483.42001342773398</c:v>
                </c:pt>
                <c:pt idx="932">
                  <c:v>481.100006103515</c:v>
                </c:pt>
                <c:pt idx="933">
                  <c:v>487.01998901367102</c:v>
                </c:pt>
                <c:pt idx="934">
                  <c:v>486.38000488281199</c:v>
                </c:pt>
                <c:pt idx="935">
                  <c:v>484.20001220703102</c:v>
                </c:pt>
                <c:pt idx="936">
                  <c:v>479.850006103515</c:v>
                </c:pt>
                <c:pt idx="937">
                  <c:v>489.82000732421801</c:v>
                </c:pt>
                <c:pt idx="938">
                  <c:v>481.95999145507801</c:v>
                </c:pt>
                <c:pt idx="939">
                  <c:v>484</c:v>
                </c:pt>
                <c:pt idx="940">
                  <c:v>489.70999145507801</c:v>
                </c:pt>
                <c:pt idx="941">
                  <c:v>477</c:v>
                </c:pt>
                <c:pt idx="942">
                  <c:v>470.73001098632801</c:v>
                </c:pt>
                <c:pt idx="943">
                  <c:v>468.11999511718699</c:v>
                </c:pt>
                <c:pt idx="944">
                  <c:v>452.82000732421801</c:v>
                </c:pt>
                <c:pt idx="945">
                  <c:v>437.5</c:v>
                </c:pt>
                <c:pt idx="946">
                  <c:v>458.58999633789</c:v>
                </c:pt>
                <c:pt idx="947">
                  <c:v>476.010009765625</c:v>
                </c:pt>
                <c:pt idx="948">
                  <c:v>473.92999267578102</c:v>
                </c:pt>
                <c:pt idx="949">
                  <c:v>475.079986572265</c:v>
                </c:pt>
                <c:pt idx="950">
                  <c:v>467.05999755859301</c:v>
                </c:pt>
                <c:pt idx="951">
                  <c:v>462.67999267578102</c:v>
                </c:pt>
                <c:pt idx="952">
                  <c:v>465.38000488281199</c:v>
                </c:pt>
                <c:pt idx="953">
                  <c:v>467.079986572265</c:v>
                </c:pt>
                <c:pt idx="954">
                  <c:v>469.04998779296801</c:v>
                </c:pt>
                <c:pt idx="955">
                  <c:v>469.45001220703102</c:v>
                </c:pt>
                <c:pt idx="956">
                  <c:v>467.329986572265</c:v>
                </c:pt>
                <c:pt idx="957">
                  <c:v>469.86999511718699</c:v>
                </c:pt>
                <c:pt idx="958">
                  <c:v>466.67999267578102</c:v>
                </c:pt>
                <c:pt idx="959">
                  <c:v>462.57000732421801</c:v>
                </c:pt>
                <c:pt idx="960">
                  <c:v>470.97000122070301</c:v>
                </c:pt>
                <c:pt idx="961">
                  <c:v>472.80999755859301</c:v>
                </c:pt>
                <c:pt idx="962">
                  <c:v>457.11999511718699</c:v>
                </c:pt>
                <c:pt idx="963">
                  <c:v>457.33999633789</c:v>
                </c:pt>
                <c:pt idx="964">
                  <c:v>453.989990234375</c:v>
                </c:pt>
                <c:pt idx="965">
                  <c:v>451.44000244140602</c:v>
                </c:pt>
                <c:pt idx="966">
                  <c:v>453.850006103515</c:v>
                </c:pt>
                <c:pt idx="967">
                  <c:v>454.89001464843699</c:v>
                </c:pt>
                <c:pt idx="968">
                  <c:v>461.04998779296801</c:v>
                </c:pt>
                <c:pt idx="969">
                  <c:v>458.30999755859301</c:v>
                </c:pt>
                <c:pt idx="970">
                  <c:v>467.44000244140602</c:v>
                </c:pt>
                <c:pt idx="971">
                  <c:v>485.08999633789</c:v>
                </c:pt>
                <c:pt idx="972">
                  <c:v>464.14999389648398</c:v>
                </c:pt>
                <c:pt idx="973">
                  <c:v>460.67999267578102</c:v>
                </c:pt>
                <c:pt idx="974">
                  <c:v>463</c:v>
                </c:pt>
                <c:pt idx="975">
                  <c:v>463</c:v>
                </c:pt>
                <c:pt idx="976">
                  <c:v>451.05999755859301</c:v>
                </c:pt>
                <c:pt idx="977">
                  <c:v>447.01998901367102</c:v>
                </c:pt>
                <c:pt idx="978">
                  <c:v>446.079986572265</c:v>
                </c:pt>
                <c:pt idx="979">
                  <c:v>440.600006103515</c:v>
                </c:pt>
                <c:pt idx="980">
                  <c:v>442.61999511718699</c:v>
                </c:pt>
                <c:pt idx="981">
                  <c:v>442.02999877929602</c:v>
                </c:pt>
                <c:pt idx="982">
                  <c:v>445.61999511718699</c:v>
                </c:pt>
                <c:pt idx="983">
                  <c:v>442.08999633789</c:v>
                </c:pt>
                <c:pt idx="984">
                  <c:v>439.45999145507801</c:v>
                </c:pt>
                <c:pt idx="985">
                  <c:v>436.38000488281199</c:v>
                </c:pt>
                <c:pt idx="986">
                  <c:v>436.89999389648398</c:v>
                </c:pt>
                <c:pt idx="987">
                  <c:v>442.86999511718699</c:v>
                </c:pt>
                <c:pt idx="988">
                  <c:v>439.70001220703102</c:v>
                </c:pt>
                <c:pt idx="989">
                  <c:v>439.01998901367102</c:v>
                </c:pt>
                <c:pt idx="990">
                  <c:v>441.02999877929602</c:v>
                </c:pt>
                <c:pt idx="991">
                  <c:v>442.100006103515</c:v>
                </c:pt>
                <c:pt idx="992">
                  <c:v>450.989990234375</c:v>
                </c:pt>
                <c:pt idx="993">
                  <c:v>427.04998779296801</c:v>
                </c:pt>
                <c:pt idx="994">
                  <c:v>432.57000732421801</c:v>
                </c:pt>
                <c:pt idx="995">
                  <c:v>425.58999633789</c:v>
                </c:pt>
                <c:pt idx="996">
                  <c:v>435.05999755859301</c:v>
                </c:pt>
                <c:pt idx="997">
                  <c:v>361.95001220703102</c:v>
                </c:pt>
                <c:pt idx="998">
                  <c:v>383.29000854492102</c:v>
                </c:pt>
                <c:pt idx="999">
                  <c:v>375.39999389648398</c:v>
                </c:pt>
                <c:pt idx="1000">
                  <c:v>399.100006103515</c:v>
                </c:pt>
                <c:pt idx="1001">
                  <c:v>396.20999145507801</c:v>
                </c:pt>
                <c:pt idx="1002">
                  <c:v>391.88000488281199</c:v>
                </c:pt>
                <c:pt idx="1003">
                  <c:v>388.20001220703102</c:v>
                </c:pt>
                <c:pt idx="1004">
                  <c:v>390.100006103515</c:v>
                </c:pt>
                <c:pt idx="1005">
                  <c:v>393.36999511718699</c:v>
                </c:pt>
                <c:pt idx="1006">
                  <c:v>390.489990234375</c:v>
                </c:pt>
                <c:pt idx="1007">
                  <c:v>381.579986572265</c:v>
                </c:pt>
                <c:pt idx="1008">
                  <c:v>381.72000122070301</c:v>
                </c:pt>
                <c:pt idx="1009">
                  <c:v>383.92999267578102</c:v>
                </c:pt>
                <c:pt idx="1010">
                  <c:v>375.57000732421801</c:v>
                </c:pt>
                <c:pt idx="1011">
                  <c:v>385.010009765625</c:v>
                </c:pt>
                <c:pt idx="1012">
                  <c:v>383.760009765625</c:v>
                </c:pt>
                <c:pt idx="1013">
                  <c:v>380</c:v>
                </c:pt>
                <c:pt idx="1014">
                  <c:v>391.63000488281199</c:v>
                </c:pt>
                <c:pt idx="1015">
                  <c:v>390</c:v>
                </c:pt>
                <c:pt idx="1016">
                  <c:v>395</c:v>
                </c:pt>
                <c:pt idx="1017">
                  <c:v>397.829986572265</c:v>
                </c:pt>
                <c:pt idx="1018">
                  <c:v>411.20999145507801</c:v>
                </c:pt>
                <c:pt idx="1019">
                  <c:v>403.10998535156199</c:v>
                </c:pt>
                <c:pt idx="1020">
                  <c:v>396.010009765625</c:v>
                </c:pt>
                <c:pt idx="1021">
                  <c:v>383.33999633789</c:v>
                </c:pt>
                <c:pt idx="1022">
                  <c:v>385.61999511718699</c:v>
                </c:pt>
                <c:pt idx="1023">
                  <c:v>386.10998535156199</c:v>
                </c:pt>
                <c:pt idx="1024">
                  <c:v>388.02999877929602</c:v>
                </c:pt>
                <c:pt idx="1025">
                  <c:v>391.489990234375</c:v>
                </c:pt>
                <c:pt idx="1026">
                  <c:v>390.829986572265</c:v>
                </c:pt>
                <c:pt idx="1027">
                  <c:v>397.39999389648398</c:v>
                </c:pt>
                <c:pt idx="1028">
                  <c:v>394.66000366210898</c:v>
                </c:pt>
                <c:pt idx="1029">
                  <c:v>405.35998535156199</c:v>
                </c:pt>
                <c:pt idx="1030">
                  <c:v>401.66000366210898</c:v>
                </c:pt>
                <c:pt idx="1031">
                  <c:v>403.80999755859301</c:v>
                </c:pt>
                <c:pt idx="1032">
                  <c:v>398.92999267578102</c:v>
                </c:pt>
                <c:pt idx="1033">
                  <c:v>393.510009765625</c:v>
                </c:pt>
                <c:pt idx="1034">
                  <c:v>391.04998779296801</c:v>
                </c:pt>
                <c:pt idx="1035">
                  <c:v>410.04000854492102</c:v>
                </c:pt>
                <c:pt idx="1036">
                  <c:v>402.92001342773398</c:v>
                </c:pt>
                <c:pt idx="1037">
                  <c:v>404.42999267578102</c:v>
                </c:pt>
                <c:pt idx="1038">
                  <c:v>406.70001220703102</c:v>
                </c:pt>
                <c:pt idx="1039">
                  <c:v>418.95999145507801</c:v>
                </c:pt>
                <c:pt idx="1040">
                  <c:v>411.01998901367102</c:v>
                </c:pt>
                <c:pt idx="1041">
                  <c:v>402.14999389648398</c:v>
                </c:pt>
                <c:pt idx="1042">
                  <c:v>400.760009765625</c:v>
                </c:pt>
                <c:pt idx="1043">
                  <c:v>394.42001342773398</c:v>
                </c:pt>
                <c:pt idx="1044">
                  <c:v>494.64999389648398</c:v>
                </c:pt>
                <c:pt idx="1045">
                  <c:v>506.11999511718699</c:v>
                </c:pt>
                <c:pt idx="1046">
                  <c:v>509.97000122070301</c:v>
                </c:pt>
                <c:pt idx="1047">
                  <c:v>508.29000854492102</c:v>
                </c:pt>
                <c:pt idx="1048">
                  <c:v>503.850006103515</c:v>
                </c:pt>
                <c:pt idx="1049">
                  <c:v>507.79998779296801</c:v>
                </c:pt>
                <c:pt idx="1050">
                  <c:v>504.76998901367102</c:v>
                </c:pt>
                <c:pt idx="1051">
                  <c:v>508.51998901367102</c:v>
                </c:pt>
                <c:pt idx="1052">
                  <c:v>500.27999877929602</c:v>
                </c:pt>
                <c:pt idx="1053">
                  <c:v>495.100006103515</c:v>
                </c:pt>
                <c:pt idx="1054">
                  <c:v>498.989990234375</c:v>
                </c:pt>
                <c:pt idx="1055">
                  <c:v>486.08999633789</c:v>
                </c:pt>
                <c:pt idx="1056">
                  <c:v>481.92001342773398</c:v>
                </c:pt>
                <c:pt idx="1057">
                  <c:v>474.67001342773398</c:v>
                </c:pt>
                <c:pt idx="1058">
                  <c:v>483.64001464843699</c:v>
                </c:pt>
                <c:pt idx="1059">
                  <c:v>482.66000366210898</c:v>
                </c:pt>
                <c:pt idx="1060">
                  <c:v>474.489990234375</c:v>
                </c:pt>
                <c:pt idx="1061">
                  <c:v>480.39001464843699</c:v>
                </c:pt>
                <c:pt idx="1062">
                  <c:v>479.38000488281199</c:v>
                </c:pt>
                <c:pt idx="1063">
                  <c:v>473.94000244140602</c:v>
                </c:pt>
                <c:pt idx="1064">
                  <c:v>468</c:v>
                </c:pt>
                <c:pt idx="1065">
                  <c:v>464</c:v>
                </c:pt>
                <c:pt idx="1066">
                  <c:v>469.260009765625</c:v>
                </c:pt>
                <c:pt idx="1067">
                  <c:v>471</c:v>
                </c:pt>
                <c:pt idx="1068">
                  <c:v>478.77999877929602</c:v>
                </c:pt>
                <c:pt idx="1069">
                  <c:v>469.32000732421801</c:v>
                </c:pt>
                <c:pt idx="1070">
                  <c:v>474.39999389648398</c:v>
                </c:pt>
                <c:pt idx="1071">
                  <c:v>474.51998901367102</c:v>
                </c:pt>
                <c:pt idx="1072">
                  <c:v>490.079986572265</c:v>
                </c:pt>
                <c:pt idx="1073">
                  <c:v>502.73001098632801</c:v>
                </c:pt>
                <c:pt idx="1074">
                  <c:v>505.58999633789</c:v>
                </c:pt>
                <c:pt idx="1075">
                  <c:v>501.17999267578102</c:v>
                </c:pt>
                <c:pt idx="1076">
                  <c:v>500.989990234375</c:v>
                </c:pt>
                <c:pt idx="1077">
                  <c:v>509.45001220703102</c:v>
                </c:pt>
                <c:pt idx="1078">
                  <c:v>519</c:v>
                </c:pt>
                <c:pt idx="1079">
                  <c:v>530.84997558593705</c:v>
                </c:pt>
                <c:pt idx="1080">
                  <c:v>539.78997802734295</c:v>
                </c:pt>
                <c:pt idx="1081">
                  <c:v>535.5</c:v>
                </c:pt>
                <c:pt idx="1082">
                  <c:v>521.03997802734295</c:v>
                </c:pt>
                <c:pt idx="1083">
                  <c:v>509.32000732421801</c:v>
                </c:pt>
                <c:pt idx="1084">
                  <c:v>507.30999755859301</c:v>
                </c:pt>
                <c:pt idx="1085">
                  <c:v>507.829986572265</c:v>
                </c:pt>
                <c:pt idx="1086">
                  <c:v>510.70999145507801</c:v>
                </c:pt>
                <c:pt idx="1087">
                  <c:v>515.760009765625</c:v>
                </c:pt>
                <c:pt idx="1088">
                  <c:v>522.66998291015602</c:v>
                </c:pt>
                <c:pt idx="1089">
                  <c:v>513.14001464843705</c:v>
                </c:pt>
                <c:pt idx="1090">
                  <c:v>504.17001342773398</c:v>
                </c:pt>
                <c:pt idx="1091">
                  <c:v>514.19000244140602</c:v>
                </c:pt>
                <c:pt idx="1092">
                  <c:v>510</c:v>
                </c:pt>
                <c:pt idx="1093">
                  <c:v>509</c:v>
                </c:pt>
                <c:pt idx="1094">
                  <c:v>494.30999755859301</c:v>
                </c:pt>
                <c:pt idx="1095">
                  <c:v>479.989990234375</c:v>
                </c:pt>
                <c:pt idx="1096">
                  <c:v>500.010009765625</c:v>
                </c:pt>
                <c:pt idx="1097">
                  <c:v>488.05999755859301</c:v>
                </c:pt>
                <c:pt idx="1098">
                  <c:v>485.26998901367102</c:v>
                </c:pt>
                <c:pt idx="1099">
                  <c:v>492.95001220703102</c:v>
                </c:pt>
                <c:pt idx="1100">
                  <c:v>495.80999755859301</c:v>
                </c:pt>
                <c:pt idx="1101">
                  <c:v>490.239990234375</c:v>
                </c:pt>
                <c:pt idx="1102">
                  <c:v>496.42999267578102</c:v>
                </c:pt>
                <c:pt idx="1103">
                  <c:v>495.29998779296801</c:v>
                </c:pt>
                <c:pt idx="1104">
                  <c:v>496.36999511718699</c:v>
                </c:pt>
                <c:pt idx="1105">
                  <c:v>508.98001098632801</c:v>
                </c:pt>
                <c:pt idx="1106">
                  <c:v>512.530029296875</c:v>
                </c:pt>
                <c:pt idx="1107">
                  <c:v>510.850006103515</c:v>
                </c:pt>
                <c:pt idx="1108">
                  <c:v>506.850006103515</c:v>
                </c:pt>
                <c:pt idx="1109">
                  <c:v>510</c:v>
                </c:pt>
                <c:pt idx="1110">
                  <c:v>509.989990234375</c:v>
                </c:pt>
                <c:pt idx="1111">
                  <c:v>517.20001220703102</c:v>
                </c:pt>
                <c:pt idx="1112">
                  <c:v>519.59002685546795</c:v>
                </c:pt>
                <c:pt idx="1113">
                  <c:v>524.91998291015602</c:v>
                </c:pt>
                <c:pt idx="1114">
                  <c:v>525.59997558593705</c:v>
                </c:pt>
                <c:pt idx="1115">
                  <c:v>528.66998291015602</c:v>
                </c:pt>
                <c:pt idx="1116">
                  <c:v>536.63000488281205</c:v>
                </c:pt>
                <c:pt idx="1117">
                  <c:v>535.75</c:v>
                </c:pt>
                <c:pt idx="1118">
                  <c:v>544.65997314453102</c:v>
                </c:pt>
                <c:pt idx="1119">
                  <c:v>541.280029296875</c:v>
                </c:pt>
                <c:pt idx="1120">
                  <c:v>539.89001464843705</c:v>
                </c:pt>
                <c:pt idx="1121">
                  <c:v>537.38000488281205</c:v>
                </c:pt>
                <c:pt idx="1122">
                  <c:v>531.79998779296795</c:v>
                </c:pt>
                <c:pt idx="1123">
                  <c:v>527.510009765625</c:v>
                </c:pt>
                <c:pt idx="1124">
                  <c:v>526.03997802734295</c:v>
                </c:pt>
                <c:pt idx="1125">
                  <c:v>525.09002685546795</c:v>
                </c:pt>
                <c:pt idx="1126">
                  <c:v>526.469970703125</c:v>
                </c:pt>
                <c:pt idx="1127">
                  <c:v>513.760009765625</c:v>
                </c:pt>
                <c:pt idx="1128">
                  <c:v>526.78997802734295</c:v>
                </c:pt>
                <c:pt idx="1129">
                  <c:v>525.510009765625</c:v>
                </c:pt>
                <c:pt idx="1130">
                  <c:v>540.09997558593705</c:v>
                </c:pt>
                <c:pt idx="1131">
                  <c:v>574.69000244140602</c:v>
                </c:pt>
                <c:pt idx="1132">
                  <c:v>578.739990234375</c:v>
                </c:pt>
                <c:pt idx="1133">
                  <c:v>597.15002441406205</c:v>
                </c:pt>
                <c:pt idx="1134">
                  <c:v>608.85998535156205</c:v>
                </c:pt>
                <c:pt idx="1135">
                  <c:v>605.989990234375</c:v>
                </c:pt>
                <c:pt idx="1136">
                  <c:v>589.90002441406205</c:v>
                </c:pt>
                <c:pt idx="1137">
                  <c:v>570.44000244140602</c:v>
                </c:pt>
                <c:pt idx="1138">
                  <c:v>575.20001220703102</c:v>
                </c:pt>
                <c:pt idx="1139">
                  <c:v>582.34002685546795</c:v>
                </c:pt>
                <c:pt idx="1140">
                  <c:v>565.989990234375</c:v>
                </c:pt>
                <c:pt idx="1141">
                  <c:v>578.63000488281205</c:v>
                </c:pt>
                <c:pt idx="1142">
                  <c:v>581.39001464843705</c:v>
                </c:pt>
                <c:pt idx="1143">
                  <c:v>585.15002441406205</c:v>
                </c:pt>
                <c:pt idx="1144">
                  <c:v>589.22998046875</c:v>
                </c:pt>
                <c:pt idx="1145">
                  <c:v>591.79998779296795</c:v>
                </c:pt>
                <c:pt idx="1146">
                  <c:v>579.35998535156205</c:v>
                </c:pt>
                <c:pt idx="1147">
                  <c:v>593.92999267578102</c:v>
                </c:pt>
                <c:pt idx="1148">
                  <c:v>586.94000244140602</c:v>
                </c:pt>
                <c:pt idx="1149">
                  <c:v>588.02001953125</c:v>
                </c:pt>
                <c:pt idx="1150">
                  <c:v>577.96002197265602</c:v>
                </c:pt>
                <c:pt idx="1151">
                  <c:v>583.32000732421795</c:v>
                </c:pt>
                <c:pt idx="1152">
                  <c:v>581.55999755859295</c:v>
                </c:pt>
                <c:pt idx="1153">
                  <c:v>556.510009765625</c:v>
                </c:pt>
                <c:pt idx="1154">
                  <c:v>568.69000244140602</c:v>
                </c:pt>
                <c:pt idx="1155">
                  <c:v>545.52001953125</c:v>
                </c:pt>
                <c:pt idx="1156">
                  <c:v>558.47998046875</c:v>
                </c:pt>
                <c:pt idx="1157">
                  <c:v>571.69000244140602</c:v>
                </c:pt>
                <c:pt idx="1158">
                  <c:v>572.719970703125</c:v>
                </c:pt>
                <c:pt idx="1159">
                  <c:v>535.92999267578102</c:v>
                </c:pt>
                <c:pt idx="1160">
                  <c:v>555.20001220703102</c:v>
                </c:pt>
                <c:pt idx="1161">
                  <c:v>575.34002685546795</c:v>
                </c:pt>
                <c:pt idx="1162">
                  <c:v>578.53997802734295</c:v>
                </c:pt>
                <c:pt idx="1163">
                  <c:v>565.96002197265602</c:v>
                </c:pt>
                <c:pt idx="1164">
                  <c:v>568.489990234375</c:v>
                </c:pt>
                <c:pt idx="1165">
                  <c:v>568.030029296875</c:v>
                </c:pt>
                <c:pt idx="1166">
                  <c:v>568.88000488281205</c:v>
                </c:pt>
                <c:pt idx="1167">
                  <c:v>564.59997558593705</c:v>
                </c:pt>
                <c:pt idx="1168">
                  <c:v>564.03997802734295</c:v>
                </c:pt>
                <c:pt idx="1169">
                  <c:v>565.44000244140602</c:v>
                </c:pt>
                <c:pt idx="1170">
                  <c:v>575.760009765625</c:v>
                </c:pt>
                <c:pt idx="1171">
                  <c:v>563.41998291015602</c:v>
                </c:pt>
                <c:pt idx="1172">
                  <c:v>574.44000244140602</c:v>
                </c:pt>
                <c:pt idx="1173">
                  <c:v>575.5</c:v>
                </c:pt>
                <c:pt idx="1174">
                  <c:v>576.46002197265602</c:v>
                </c:pt>
                <c:pt idx="1175">
                  <c:v>556</c:v>
                </c:pt>
                <c:pt idx="1176">
                  <c:v>547.80999755859295</c:v>
                </c:pt>
                <c:pt idx="1177">
                  <c:v>547.13000488281205</c:v>
                </c:pt>
                <c:pt idx="1178">
                  <c:v>551.54998779296795</c:v>
                </c:pt>
                <c:pt idx="1179">
                  <c:v>554.33001708984295</c:v>
                </c:pt>
                <c:pt idx="1180">
                  <c:v>537.030029296875</c:v>
                </c:pt>
                <c:pt idx="1181">
                  <c:v>543.719970703125</c:v>
                </c:pt>
                <c:pt idx="1182">
                  <c:v>541.95001220703102</c:v>
                </c:pt>
                <c:pt idx="1183">
                  <c:v>532.83001708984295</c:v>
                </c:pt>
                <c:pt idx="1184">
                  <c:v>540.96002197265602</c:v>
                </c:pt>
                <c:pt idx="1185">
                  <c:v>542.91998291015602</c:v>
                </c:pt>
                <c:pt idx="1186">
                  <c:v>557.72998046875</c:v>
                </c:pt>
                <c:pt idx="1187">
                  <c:v>550.010009765625</c:v>
                </c:pt>
                <c:pt idx="1188">
                  <c:v>558.989990234375</c:v>
                </c:pt>
                <c:pt idx="1189">
                  <c:v>553.989990234375</c:v>
                </c:pt>
                <c:pt idx="1190">
                  <c:v>557.91998291015602</c:v>
                </c:pt>
                <c:pt idx="1191">
                  <c:v>553.03997802734295</c:v>
                </c:pt>
                <c:pt idx="1192">
                  <c:v>554.010009765625</c:v>
                </c:pt>
                <c:pt idx="1193">
                  <c:v>556.40002441406205</c:v>
                </c:pt>
                <c:pt idx="1194">
                  <c:v>567.57000732421795</c:v>
                </c:pt>
                <c:pt idx="1195">
                  <c:v>567.52001953125</c:v>
                </c:pt>
                <c:pt idx="1196">
                  <c:v>570</c:v>
                </c:pt>
                <c:pt idx="1197">
                  <c:v>559.67999267578102</c:v>
                </c:pt>
                <c:pt idx="1198">
                  <c:v>559.71002197265602</c:v>
                </c:pt>
                <c:pt idx="1199">
                  <c:v>549.969970703125</c:v>
                </c:pt>
                <c:pt idx="1200">
                  <c:v>554.59997558593705</c:v>
                </c:pt>
                <c:pt idx="1201">
                  <c:v>559.54998779296795</c:v>
                </c:pt>
                <c:pt idx="1202">
                  <c:v>548.67999267578102</c:v>
                </c:pt>
                <c:pt idx="1203">
                  <c:v>534</c:v>
                </c:pt>
                <c:pt idx="1204">
                  <c:v>527.34997558593705</c:v>
                </c:pt>
                <c:pt idx="1205">
                  <c:v>532.52001953125</c:v>
                </c:pt>
                <c:pt idx="1206">
                  <c:v>520.510009765625</c:v>
                </c:pt>
                <c:pt idx="1207">
                  <c:v>522.54998779296795</c:v>
                </c:pt>
                <c:pt idx="1208">
                  <c:v>511.52999877929602</c:v>
                </c:pt>
                <c:pt idx="1209">
                  <c:v>513.77001953125</c:v>
                </c:pt>
                <c:pt idx="1210">
                  <c:v>522.27001953125</c:v>
                </c:pt>
                <c:pt idx="1211">
                  <c:v>524.42999267578102</c:v>
                </c:pt>
                <c:pt idx="1212">
                  <c:v>524.19000244140602</c:v>
                </c:pt>
                <c:pt idx="1213">
                  <c:v>525.25</c:v>
                </c:pt>
                <c:pt idx="1214">
                  <c:v>531.60998535156205</c:v>
                </c:pt>
                <c:pt idx="1215">
                  <c:v>531.010009765625</c:v>
                </c:pt>
                <c:pt idx="1216">
                  <c:v>530.969970703125</c:v>
                </c:pt>
                <c:pt idx="1217">
                  <c:v>527.09002685546795</c:v>
                </c:pt>
                <c:pt idx="1218">
                  <c:v>527.239990234375</c:v>
                </c:pt>
                <c:pt idx="1219">
                  <c:v>529.59997558593705</c:v>
                </c:pt>
                <c:pt idx="1220">
                  <c:v>522.010009765625</c:v>
                </c:pt>
                <c:pt idx="1221">
                  <c:v>532.010009765625</c:v>
                </c:pt>
                <c:pt idx="1222">
                  <c:v>533.57000732421795</c:v>
                </c:pt>
                <c:pt idx="1223">
                  <c:v>527.719970703125</c:v>
                </c:pt>
                <c:pt idx="1224">
                  <c:v>529.989990234375</c:v>
                </c:pt>
                <c:pt idx="1225">
                  <c:v>526.40002441406205</c:v>
                </c:pt>
                <c:pt idx="1226">
                  <c:v>529.16998291015602</c:v>
                </c:pt>
                <c:pt idx="1227">
                  <c:v>525.65997314453102</c:v>
                </c:pt>
                <c:pt idx="1228">
                  <c:v>516.05999755859295</c:v>
                </c:pt>
                <c:pt idx="1229">
                  <c:v>519.52001953125</c:v>
                </c:pt>
                <c:pt idx="1230">
                  <c:v>526.32000732421795</c:v>
                </c:pt>
                <c:pt idx="1231">
                  <c:v>529.71002197265602</c:v>
                </c:pt>
                <c:pt idx="1232">
                  <c:v>543.010009765625</c:v>
                </c:pt>
                <c:pt idx="1233">
                  <c:v>540.78997802734295</c:v>
                </c:pt>
                <c:pt idx="1234">
                  <c:v>554.59002685546795</c:v>
                </c:pt>
                <c:pt idx="1235">
                  <c:v>560.219970703125</c:v>
                </c:pt>
                <c:pt idx="1236">
                  <c:v>556.60998535156205</c:v>
                </c:pt>
                <c:pt idx="1237">
                  <c:v>562.59002685546795</c:v>
                </c:pt>
                <c:pt idx="1238">
                  <c:v>569.44000244140602</c:v>
                </c:pt>
                <c:pt idx="1239">
                  <c:v>565.260009765625</c:v>
                </c:pt>
                <c:pt idx="1240">
                  <c:v>560.10998535156205</c:v>
                </c:pt>
                <c:pt idx="1241">
                  <c:v>562.530029296875</c:v>
                </c:pt>
                <c:pt idx="1242">
                  <c:v>561.530029296875</c:v>
                </c:pt>
                <c:pt idx="1243">
                  <c:v>556.40997314453102</c:v>
                </c:pt>
                <c:pt idx="1244">
                  <c:v>531.90997314453102</c:v>
                </c:pt>
                <c:pt idx="1245">
                  <c:v>523.36999511718705</c:v>
                </c:pt>
                <c:pt idx="1246">
                  <c:v>535</c:v>
                </c:pt>
                <c:pt idx="1247">
                  <c:v>537.82000732421795</c:v>
                </c:pt>
                <c:pt idx="1248">
                  <c:v>525.30999755859295</c:v>
                </c:pt>
                <c:pt idx="1249">
                  <c:v>536.47998046875</c:v>
                </c:pt>
                <c:pt idx="1250">
                  <c:v>539.60998535156205</c:v>
                </c:pt>
                <c:pt idx="1251">
                  <c:v>541</c:v>
                </c:pt>
                <c:pt idx="1252">
                  <c:v>545.66998291015602</c:v>
                </c:pt>
                <c:pt idx="1253">
                  <c:v>548.71002197265602</c:v>
                </c:pt>
                <c:pt idx="1254">
                  <c:v>558.47998046875</c:v>
                </c:pt>
                <c:pt idx="1255">
                  <c:v>550.65002441406205</c:v>
                </c:pt>
                <c:pt idx="1256">
                  <c:v>557</c:v>
                </c:pt>
                <c:pt idx="1257">
                  <c:v>558.11999511718705</c:v>
                </c:pt>
                <c:pt idx="1258">
                  <c:v>551.29998779296795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8C-41E7-917F-73EA39181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587113"/>
        <c:axId val="1617257665"/>
      </c:lineChart>
      <c:catAx>
        <c:axId val="875587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617257665"/>
        <c:crosses val="autoZero"/>
        <c:auto val="1"/>
        <c:lblAlgn val="ctr"/>
        <c:lblOffset val="100"/>
        <c:noMultiLvlLbl val="1"/>
      </c:catAx>
      <c:valAx>
        <c:axId val="1617257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ASUR.MX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755871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942975</xdr:colOff>
      <xdr:row>4</xdr:row>
      <xdr:rowOff>0</xdr:rowOff>
    </xdr:from>
    <xdr:ext cx="9191625" cy="57150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942975</xdr:colOff>
      <xdr:row>3</xdr:row>
      <xdr:rowOff>171450</xdr:rowOff>
    </xdr:from>
    <xdr:ext cx="8858250" cy="54768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933450</xdr:colOff>
      <xdr:row>3</xdr:row>
      <xdr:rowOff>161925</xdr:rowOff>
    </xdr:from>
    <xdr:ext cx="8477250" cy="5238750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952500</xdr:colOff>
      <xdr:row>3</xdr:row>
      <xdr:rowOff>190500</xdr:rowOff>
    </xdr:from>
    <xdr:ext cx="8286750" cy="5124450"/>
    <xdr:graphicFrame macro="">
      <xdr:nvGraphicFramePr>
        <xdr:cNvPr id="4" name="Chart 4" title="Gráfic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8420100" cy="5210175"/>
    <xdr:graphicFrame macro="">
      <xdr:nvGraphicFramePr>
        <xdr:cNvPr id="5" name="Chart 5" title="Gráfic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190500</xdr:colOff>
      <xdr:row>8</xdr:row>
      <xdr:rowOff>152400</xdr:rowOff>
    </xdr:from>
    <xdr:ext cx="7486650" cy="47434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bimboa.mx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yotepresto.com/prestamos-personales?utm_source=googleads&amp;utm_medium=g&amp;utm_content=79605897483:626835688024&amp;utm_campaign=6944045184&amp;utm_term=kwd-14280251&amp;keyword=prestamos&amp;adposition=&amp;gad_source=1&amp;gbraid=0AAAAADcws_xJ-xHGQD9lS5VKXullXyWSy&amp;gclid=Cj0KCQiA88a5BhDPARIsAFj595iRg0Cm058UDves8XV4Z5H1MgPcfJWBM40iceRNkh_Mzv95fgJbtvkaApyT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61"/>
  <sheetViews>
    <sheetView workbookViewId="0"/>
  </sheetViews>
  <sheetFormatPr baseColWidth="10" defaultColWidth="12.6640625" defaultRowHeight="15.75" customHeight="1" x14ac:dyDescent="0.25"/>
  <cols>
    <col min="2" max="2" width="14.6640625" customWidth="1"/>
    <col min="3" max="3" width="16.88671875" customWidth="1"/>
    <col min="6" max="6" width="14.109375" customWidth="1"/>
  </cols>
  <sheetData>
    <row r="1" spans="1:6" ht="15.75" customHeight="1" x14ac:dyDescent="0.3">
      <c r="A1" s="1"/>
      <c r="B1" s="2" t="s">
        <v>0</v>
      </c>
      <c r="C1" s="3" t="s">
        <v>1</v>
      </c>
      <c r="E1" s="4" t="s">
        <v>2</v>
      </c>
      <c r="F1" s="5">
        <f>AVERAGE(C3:C1260)</f>
        <v>5.1938849544619294E-4</v>
      </c>
    </row>
    <row r="2" spans="1:6" x14ac:dyDescent="0.25">
      <c r="A2" s="6">
        <v>0</v>
      </c>
      <c r="B2" s="7">
        <v>33.610000610351499</v>
      </c>
      <c r="C2" s="5"/>
      <c r="E2" s="4" t="s">
        <v>3</v>
      </c>
      <c r="F2" s="5">
        <f>_xlfn.VAR.S(C:C)</f>
        <v>4.6028741970920167E-4</v>
      </c>
    </row>
    <row r="3" spans="1:6" x14ac:dyDescent="0.25">
      <c r="A3" s="6">
        <v>1</v>
      </c>
      <c r="B3" s="7">
        <v>33.919998168945298</v>
      </c>
      <c r="C3" s="5">
        <f>+LN(B3/B2)</f>
        <v>9.1810970453027711E-3</v>
      </c>
      <c r="E3" s="4" t="s">
        <v>4</v>
      </c>
      <c r="F3" s="5">
        <f>SQRT(F2)</f>
        <v>2.1454310049712662E-2</v>
      </c>
    </row>
    <row r="4" spans="1:6" x14ac:dyDescent="0.25">
      <c r="A4" s="6">
        <v>2</v>
      </c>
      <c r="B4" s="7">
        <v>35.889999389648402</v>
      </c>
      <c r="C4" s="5">
        <f t="shared" ref="C4:C258" si="0">LN(B4/B3)</f>
        <v>5.6453931211205968E-2</v>
      </c>
    </row>
    <row r="5" spans="1:6" x14ac:dyDescent="0.25">
      <c r="A5" s="6">
        <v>3</v>
      </c>
      <c r="B5" s="7">
        <v>36.049999237060497</v>
      </c>
      <c r="C5" s="5">
        <f t="shared" si="0"/>
        <v>4.4481544142460716E-3</v>
      </c>
    </row>
    <row r="6" spans="1:6" x14ac:dyDescent="0.25">
      <c r="A6" s="6">
        <v>4</v>
      </c>
      <c r="B6" s="7">
        <v>36.950000762939403</v>
      </c>
      <c r="C6" s="5">
        <f t="shared" si="0"/>
        <v>2.4658825474509611E-2</v>
      </c>
    </row>
    <row r="7" spans="1:6" x14ac:dyDescent="0.25">
      <c r="A7" s="6">
        <v>5</v>
      </c>
      <c r="B7" s="7">
        <v>36.959999084472599</v>
      </c>
      <c r="C7" s="5">
        <f t="shared" si="0"/>
        <v>2.705539606231054E-4</v>
      </c>
    </row>
    <row r="8" spans="1:6" x14ac:dyDescent="0.25">
      <c r="A8" s="6">
        <v>6</v>
      </c>
      <c r="B8" s="7">
        <v>35.740001678466797</v>
      </c>
      <c r="C8" s="5">
        <f t="shared" si="0"/>
        <v>-3.3565665308182446E-2</v>
      </c>
    </row>
    <row r="9" spans="1:6" x14ac:dyDescent="0.25">
      <c r="A9" s="6">
        <v>7</v>
      </c>
      <c r="B9" s="7">
        <v>36.409999847412102</v>
      </c>
      <c r="C9" s="5">
        <f t="shared" si="0"/>
        <v>1.85729013019806E-2</v>
      </c>
    </row>
    <row r="10" spans="1:6" x14ac:dyDescent="0.25">
      <c r="A10" s="6">
        <v>8</v>
      </c>
      <c r="B10" s="7">
        <v>36.540000915527301</v>
      </c>
      <c r="C10" s="5">
        <f t="shared" si="0"/>
        <v>3.5641180088239193E-3</v>
      </c>
    </row>
    <row r="11" spans="1:6" x14ac:dyDescent="0.25">
      <c r="A11" s="6">
        <v>9</v>
      </c>
      <c r="B11" s="7">
        <v>36.889999389648402</v>
      </c>
      <c r="C11" s="5">
        <f t="shared" si="0"/>
        <v>9.5329190580646095E-3</v>
      </c>
    </row>
    <row r="12" spans="1:6" x14ac:dyDescent="0.25">
      <c r="A12" s="6">
        <v>10</v>
      </c>
      <c r="B12" s="7">
        <v>36.189998626708899</v>
      </c>
      <c r="C12" s="5">
        <f t="shared" si="0"/>
        <v>-1.9157695434457014E-2</v>
      </c>
    </row>
    <row r="13" spans="1:6" x14ac:dyDescent="0.25">
      <c r="A13" s="6">
        <v>11</v>
      </c>
      <c r="B13" s="7">
        <v>36.720001220703097</v>
      </c>
      <c r="C13" s="5">
        <f t="shared" si="0"/>
        <v>1.4538799366887952E-2</v>
      </c>
    </row>
    <row r="14" spans="1:6" x14ac:dyDescent="0.25">
      <c r="A14" s="6">
        <v>12</v>
      </c>
      <c r="B14" s="7">
        <v>35.869998931884702</v>
      </c>
      <c r="C14" s="5">
        <f t="shared" si="0"/>
        <v>-2.3420337229045723E-2</v>
      </c>
    </row>
    <row r="15" spans="1:6" x14ac:dyDescent="0.25">
      <c r="A15" s="6">
        <v>13</v>
      </c>
      <c r="B15" s="7">
        <v>36.540000915527301</v>
      </c>
      <c r="C15" s="5">
        <f t="shared" si="0"/>
        <v>1.8506314238550266E-2</v>
      </c>
    </row>
    <row r="16" spans="1:6" x14ac:dyDescent="0.25">
      <c r="A16" s="6">
        <v>14</v>
      </c>
      <c r="B16" s="7">
        <v>35.200000762939403</v>
      </c>
      <c r="C16" s="5">
        <f t="shared" si="0"/>
        <v>-3.7361471726876032E-2</v>
      </c>
    </row>
    <row r="17" spans="1:3" x14ac:dyDescent="0.25">
      <c r="A17" s="6">
        <v>15</v>
      </c>
      <c r="B17" s="7">
        <v>35.110000610351499</v>
      </c>
      <c r="C17" s="5">
        <f t="shared" si="0"/>
        <v>-2.560096714146416E-3</v>
      </c>
    </row>
    <row r="18" spans="1:3" x14ac:dyDescent="0.25">
      <c r="A18" s="6">
        <v>16</v>
      </c>
      <c r="B18" s="7">
        <v>34.959999084472599</v>
      </c>
      <c r="C18" s="5">
        <f t="shared" si="0"/>
        <v>-4.2814829648399142E-3</v>
      </c>
    </row>
    <row r="19" spans="1:3" x14ac:dyDescent="0.25">
      <c r="A19" s="6">
        <v>17</v>
      </c>
      <c r="B19" s="7">
        <v>35.180000305175703</v>
      </c>
      <c r="C19" s="5">
        <f t="shared" si="0"/>
        <v>6.2732233846254639E-3</v>
      </c>
    </row>
    <row r="20" spans="1:3" x14ac:dyDescent="0.25">
      <c r="A20" s="6">
        <v>18</v>
      </c>
      <c r="B20" s="7">
        <v>34.619998931884702</v>
      </c>
      <c r="C20" s="5">
        <f t="shared" si="0"/>
        <v>-1.6046229088592944E-2</v>
      </c>
    </row>
    <row r="21" spans="1:3" x14ac:dyDescent="0.25">
      <c r="A21" s="6">
        <v>19</v>
      </c>
      <c r="B21" s="7">
        <v>34.389999389648402</v>
      </c>
      <c r="C21" s="5">
        <f t="shared" si="0"/>
        <v>-6.6657121992758266E-3</v>
      </c>
    </row>
    <row r="22" spans="1:3" x14ac:dyDescent="0.25">
      <c r="A22" s="6">
        <v>20</v>
      </c>
      <c r="B22" s="7">
        <v>34.180000305175703</v>
      </c>
      <c r="C22" s="5">
        <f t="shared" si="0"/>
        <v>-6.1251200803040936E-3</v>
      </c>
    </row>
    <row r="23" spans="1:3" x14ac:dyDescent="0.25">
      <c r="A23" s="6">
        <v>21</v>
      </c>
      <c r="B23" s="7">
        <v>34.049999237060497</v>
      </c>
      <c r="C23" s="5">
        <f t="shared" si="0"/>
        <v>-3.8106764268576207E-3</v>
      </c>
    </row>
    <row r="24" spans="1:3" x14ac:dyDescent="0.25">
      <c r="A24" s="6">
        <v>22</v>
      </c>
      <c r="B24" s="7">
        <v>34.169998168945298</v>
      </c>
      <c r="C24" s="5">
        <f t="shared" si="0"/>
        <v>3.5180023515073966E-3</v>
      </c>
    </row>
    <row r="25" spans="1:3" x14ac:dyDescent="0.25">
      <c r="A25" s="6">
        <v>23</v>
      </c>
      <c r="B25" s="7">
        <v>33.430000305175703</v>
      </c>
      <c r="C25" s="5">
        <f t="shared" si="0"/>
        <v>-2.1894302979777226E-2</v>
      </c>
    </row>
    <row r="26" spans="1:3" x14ac:dyDescent="0.25">
      <c r="A26" s="6">
        <v>24</v>
      </c>
      <c r="B26" s="7">
        <v>33.360000610351499</v>
      </c>
      <c r="C26" s="5">
        <f t="shared" si="0"/>
        <v>-2.0961137743507074E-3</v>
      </c>
    </row>
    <row r="27" spans="1:3" x14ac:dyDescent="0.25">
      <c r="A27" s="6">
        <v>25</v>
      </c>
      <c r="B27" s="7">
        <v>33.580001831054602</v>
      </c>
      <c r="C27" s="5">
        <f t="shared" si="0"/>
        <v>6.5731103910690843E-3</v>
      </c>
    </row>
    <row r="28" spans="1:3" x14ac:dyDescent="0.25">
      <c r="A28" s="6">
        <v>26</v>
      </c>
      <c r="B28" s="7">
        <v>33.799999237060497</v>
      </c>
      <c r="C28" s="5">
        <f t="shared" si="0"/>
        <v>6.5300737392750873E-3</v>
      </c>
    </row>
    <row r="29" spans="1:3" x14ac:dyDescent="0.25">
      <c r="A29" s="6">
        <v>27</v>
      </c>
      <c r="B29" s="7">
        <v>33.849998474121001</v>
      </c>
      <c r="C29" s="5">
        <f t="shared" si="0"/>
        <v>1.4781743638186877E-3</v>
      </c>
    </row>
    <row r="30" spans="1:3" x14ac:dyDescent="0.25">
      <c r="A30" s="6">
        <v>28</v>
      </c>
      <c r="B30" s="7">
        <v>33.720001220703097</v>
      </c>
      <c r="C30" s="5">
        <f t="shared" si="0"/>
        <v>-3.8477849458033145E-3</v>
      </c>
    </row>
    <row r="31" spans="1:3" ht="13.2" x14ac:dyDescent="0.25">
      <c r="A31" s="6">
        <v>29</v>
      </c>
      <c r="B31" s="7">
        <v>33.720001220703097</v>
      </c>
      <c r="C31" s="5">
        <f t="shared" si="0"/>
        <v>0</v>
      </c>
    </row>
    <row r="32" spans="1:3" ht="13.2" x14ac:dyDescent="0.25">
      <c r="A32" s="6">
        <v>30</v>
      </c>
      <c r="B32" s="7">
        <v>33.279998779296797</v>
      </c>
      <c r="C32" s="5">
        <f t="shared" si="0"/>
        <v>-1.313459006159011E-2</v>
      </c>
    </row>
    <row r="33" spans="1:9" ht="13.2" x14ac:dyDescent="0.25">
      <c r="A33" s="6">
        <v>31</v>
      </c>
      <c r="B33" s="7">
        <v>33.040000915527301</v>
      </c>
      <c r="C33" s="5">
        <f t="shared" si="0"/>
        <v>-7.2376029107823672E-3</v>
      </c>
    </row>
    <row r="34" spans="1:9" ht="13.2" x14ac:dyDescent="0.25">
      <c r="A34" s="6">
        <v>32</v>
      </c>
      <c r="B34" s="7">
        <v>32.930000305175703</v>
      </c>
      <c r="C34" s="5">
        <f t="shared" si="0"/>
        <v>-3.3348707067614026E-3</v>
      </c>
    </row>
    <row r="35" spans="1:9" ht="13.2" x14ac:dyDescent="0.25">
      <c r="A35" s="6">
        <v>33</v>
      </c>
      <c r="B35" s="7">
        <v>33.259998321533203</v>
      </c>
      <c r="C35" s="5">
        <f t="shared" si="0"/>
        <v>9.9713176440736923E-3</v>
      </c>
      <c r="I35" s="8"/>
    </row>
    <row r="36" spans="1:9" ht="13.2" x14ac:dyDescent="0.25">
      <c r="A36" s="6">
        <v>34</v>
      </c>
      <c r="B36" s="7">
        <v>34.310001373291001</v>
      </c>
      <c r="C36" s="5">
        <f t="shared" si="0"/>
        <v>3.1081473596573345E-2</v>
      </c>
    </row>
    <row r="37" spans="1:9" ht="13.2" x14ac:dyDescent="0.25">
      <c r="A37" s="6">
        <v>35</v>
      </c>
      <c r="B37" s="7">
        <v>33.75</v>
      </c>
      <c r="C37" s="5">
        <f t="shared" si="0"/>
        <v>-1.6456479577787852E-2</v>
      </c>
    </row>
    <row r="38" spans="1:9" ht="13.2" x14ac:dyDescent="0.25">
      <c r="A38" s="6">
        <v>36</v>
      </c>
      <c r="B38" s="7">
        <v>33.819999694824197</v>
      </c>
      <c r="C38" s="5">
        <f t="shared" si="0"/>
        <v>2.0719171283648196E-3</v>
      </c>
    </row>
    <row r="39" spans="1:9" ht="13.2" x14ac:dyDescent="0.25">
      <c r="A39" s="6">
        <v>37</v>
      </c>
      <c r="B39" s="7">
        <v>33.779998779296797</v>
      </c>
      <c r="C39" s="5">
        <f t="shared" si="0"/>
        <v>-1.183459204112401E-3</v>
      </c>
    </row>
    <row r="40" spans="1:9" ht="13.2" x14ac:dyDescent="0.25">
      <c r="A40" s="6">
        <v>38</v>
      </c>
      <c r="B40" s="7">
        <v>34.189998626708899</v>
      </c>
      <c r="C40" s="5">
        <f t="shared" si="0"/>
        <v>1.206428824196281E-2</v>
      </c>
    </row>
    <row r="41" spans="1:9" ht="13.2" x14ac:dyDescent="0.25">
      <c r="A41" s="6">
        <v>39</v>
      </c>
      <c r="B41" s="7">
        <v>34.509998321533203</v>
      </c>
      <c r="C41" s="5">
        <f t="shared" si="0"/>
        <v>9.3159249880430273E-3</v>
      </c>
    </row>
    <row r="42" spans="1:9" ht="13.2" x14ac:dyDescent="0.25">
      <c r="A42" s="6">
        <v>40</v>
      </c>
      <c r="B42" s="7">
        <v>34.849998474121001</v>
      </c>
      <c r="C42" s="5">
        <f t="shared" si="0"/>
        <v>9.8040049495454629E-3</v>
      </c>
    </row>
    <row r="43" spans="1:9" ht="13.2" x14ac:dyDescent="0.25">
      <c r="A43" s="6">
        <v>41</v>
      </c>
      <c r="B43" s="7">
        <v>34.130001068115199</v>
      </c>
      <c r="C43" s="5">
        <f t="shared" si="0"/>
        <v>-2.0876299208233699E-2</v>
      </c>
    </row>
    <row r="44" spans="1:9" ht="13.2" x14ac:dyDescent="0.25">
      <c r="A44" s="6">
        <v>42</v>
      </c>
      <c r="B44" s="7">
        <v>33.810001373291001</v>
      </c>
      <c r="C44" s="5">
        <f t="shared" si="0"/>
        <v>-9.4201368764209367E-3</v>
      </c>
    </row>
    <row r="45" spans="1:9" ht="13.2" x14ac:dyDescent="0.25">
      <c r="A45" s="6">
        <v>43</v>
      </c>
      <c r="B45" s="7">
        <v>33.740001678466797</v>
      </c>
      <c r="C45" s="5">
        <f t="shared" si="0"/>
        <v>-2.0725304727775879E-3</v>
      </c>
    </row>
    <row r="46" spans="1:9" ht="13.2" x14ac:dyDescent="0.25">
      <c r="A46" s="6">
        <v>44</v>
      </c>
      <c r="B46" s="7">
        <v>34.880001068115199</v>
      </c>
      <c r="C46" s="5">
        <f t="shared" si="0"/>
        <v>3.3229502798436714E-2</v>
      </c>
    </row>
    <row r="47" spans="1:9" ht="13.2" x14ac:dyDescent="0.25">
      <c r="A47" s="6">
        <v>45</v>
      </c>
      <c r="B47" s="7">
        <v>34.880001068115199</v>
      </c>
      <c r="C47" s="5">
        <f t="shared" si="0"/>
        <v>0</v>
      </c>
    </row>
    <row r="48" spans="1:9" ht="13.2" x14ac:dyDescent="0.25">
      <c r="A48" s="6">
        <v>46</v>
      </c>
      <c r="B48" s="7">
        <v>34.880001068115199</v>
      </c>
      <c r="C48" s="5">
        <f t="shared" si="0"/>
        <v>0</v>
      </c>
    </row>
    <row r="49" spans="1:3" ht="13.2" x14ac:dyDescent="0.25">
      <c r="A49" s="6">
        <v>47</v>
      </c>
      <c r="B49" s="7">
        <v>35.360000610351499</v>
      </c>
      <c r="C49" s="5">
        <f t="shared" si="0"/>
        <v>1.3667625367167171E-2</v>
      </c>
    </row>
    <row r="50" spans="1:3" ht="13.2" x14ac:dyDescent="0.25">
      <c r="A50" s="6">
        <v>48</v>
      </c>
      <c r="B50" s="7">
        <v>35.369998931884702</v>
      </c>
      <c r="C50" s="5">
        <f t="shared" si="0"/>
        <v>2.8271798853421833E-4</v>
      </c>
    </row>
    <row r="51" spans="1:3" ht="13.2" x14ac:dyDescent="0.25">
      <c r="A51" s="6">
        <v>49</v>
      </c>
      <c r="B51" s="7">
        <v>35.525001525878899</v>
      </c>
      <c r="C51" s="5">
        <f t="shared" si="0"/>
        <v>4.3727439163711293E-3</v>
      </c>
    </row>
    <row r="52" spans="1:3" ht="13.2" x14ac:dyDescent="0.25">
      <c r="A52" s="6">
        <v>50</v>
      </c>
      <c r="B52" s="7">
        <v>35.049999237060497</v>
      </c>
      <c r="C52" s="5">
        <f t="shared" si="0"/>
        <v>-1.3461125221996256E-2</v>
      </c>
    </row>
    <row r="53" spans="1:3" ht="13.2" x14ac:dyDescent="0.25">
      <c r="A53" s="6">
        <v>51</v>
      </c>
      <c r="B53" s="7">
        <v>35.020000457763601</v>
      </c>
      <c r="C53" s="5">
        <f t="shared" si="0"/>
        <v>-8.5625178422703101E-4</v>
      </c>
    </row>
    <row r="54" spans="1:3" ht="13.2" x14ac:dyDescent="0.25">
      <c r="A54" s="6">
        <v>52</v>
      </c>
      <c r="B54" s="7">
        <v>35.830001831054602</v>
      </c>
      <c r="C54" s="5">
        <f t="shared" si="0"/>
        <v>2.2866242491616881E-2</v>
      </c>
    </row>
    <row r="55" spans="1:3" ht="13.2" x14ac:dyDescent="0.25">
      <c r="A55" s="6">
        <v>53</v>
      </c>
      <c r="B55" s="7">
        <v>35.689998626708899</v>
      </c>
      <c r="C55" s="5">
        <f t="shared" si="0"/>
        <v>-3.9150833970610227E-3</v>
      </c>
    </row>
    <row r="56" spans="1:3" ht="13.2" x14ac:dyDescent="0.25">
      <c r="A56" s="6">
        <v>54</v>
      </c>
      <c r="B56" s="7">
        <v>35.790000915527301</v>
      </c>
      <c r="C56" s="5">
        <f t="shared" si="0"/>
        <v>2.7980513347156339E-3</v>
      </c>
    </row>
    <row r="57" spans="1:3" ht="13.2" x14ac:dyDescent="0.25">
      <c r="A57" s="6">
        <v>55</v>
      </c>
      <c r="B57" s="7">
        <v>35.580001831054602</v>
      </c>
      <c r="C57" s="5">
        <f t="shared" si="0"/>
        <v>-5.8848166577501609E-3</v>
      </c>
    </row>
    <row r="58" spans="1:3" ht="13.2" x14ac:dyDescent="0.25">
      <c r="A58" s="6">
        <v>56</v>
      </c>
      <c r="B58" s="7">
        <v>34.9799995422363</v>
      </c>
      <c r="C58" s="5">
        <f t="shared" si="0"/>
        <v>-1.7007277196702485E-2</v>
      </c>
    </row>
    <row r="59" spans="1:3" ht="13.2" x14ac:dyDescent="0.25">
      <c r="A59" s="6">
        <v>57</v>
      </c>
      <c r="B59" s="7">
        <v>35.299999237060497</v>
      </c>
      <c r="C59" s="5">
        <f t="shared" si="0"/>
        <v>9.1064858222186552E-3</v>
      </c>
    </row>
    <row r="60" spans="1:3" ht="13.2" x14ac:dyDescent="0.25">
      <c r="A60" s="6">
        <v>58</v>
      </c>
      <c r="B60" s="7">
        <v>35.689998626708899</v>
      </c>
      <c r="C60" s="5">
        <f t="shared" si="0"/>
        <v>1.0987556697518421E-2</v>
      </c>
    </row>
    <row r="61" spans="1:3" ht="13.2" x14ac:dyDescent="0.25">
      <c r="A61" s="6">
        <v>59</v>
      </c>
      <c r="B61" s="7">
        <v>36.040000915527301</v>
      </c>
      <c r="C61" s="5">
        <f t="shared" si="0"/>
        <v>9.7589591194728702E-3</v>
      </c>
    </row>
    <row r="62" spans="1:3" ht="13.2" x14ac:dyDescent="0.25">
      <c r="A62" s="6">
        <v>60</v>
      </c>
      <c r="B62" s="7">
        <v>35.819999694824197</v>
      </c>
      <c r="C62" s="5">
        <f t="shared" si="0"/>
        <v>-6.12307003036362E-3</v>
      </c>
    </row>
    <row r="63" spans="1:3" ht="13.2" x14ac:dyDescent="0.25">
      <c r="A63" s="6">
        <v>61</v>
      </c>
      <c r="B63" s="7">
        <v>34.810001373291001</v>
      </c>
      <c r="C63" s="5">
        <f t="shared" si="0"/>
        <v>-2.8601646838466228E-2</v>
      </c>
    </row>
    <row r="64" spans="1:3" ht="13.2" x14ac:dyDescent="0.25">
      <c r="A64" s="6">
        <v>62</v>
      </c>
      <c r="B64" s="7">
        <v>34.529998779296797</v>
      </c>
      <c r="C64" s="5">
        <f t="shared" si="0"/>
        <v>-8.0762652244556875E-3</v>
      </c>
    </row>
    <row r="65" spans="1:3" ht="13.2" x14ac:dyDescent="0.25">
      <c r="A65" s="6">
        <v>63</v>
      </c>
      <c r="B65" s="7">
        <v>33.5</v>
      </c>
      <c r="C65" s="5">
        <f t="shared" si="0"/>
        <v>-3.028303721891883E-2</v>
      </c>
    </row>
    <row r="66" spans="1:3" ht="13.2" x14ac:dyDescent="0.25">
      <c r="A66" s="6">
        <v>64</v>
      </c>
      <c r="B66" s="7">
        <v>32.724998474121001</v>
      </c>
      <c r="C66" s="5">
        <f t="shared" si="0"/>
        <v>-2.3406173662376767E-2</v>
      </c>
    </row>
    <row r="67" spans="1:3" ht="13.2" x14ac:dyDescent="0.25">
      <c r="A67" s="6">
        <v>65</v>
      </c>
      <c r="B67" s="7">
        <v>33.869998931884702</v>
      </c>
      <c r="C67" s="5">
        <f t="shared" si="0"/>
        <v>3.439037012530214E-2</v>
      </c>
    </row>
    <row r="68" spans="1:3" ht="13.2" x14ac:dyDescent="0.25">
      <c r="A68" s="6">
        <v>66</v>
      </c>
      <c r="B68" s="7">
        <v>33.880001068115199</v>
      </c>
      <c r="C68" s="5">
        <f t="shared" si="0"/>
        <v>2.952660163296589E-4</v>
      </c>
    </row>
    <row r="69" spans="1:3" ht="13.2" x14ac:dyDescent="0.25">
      <c r="A69" s="6">
        <v>67</v>
      </c>
      <c r="B69" s="7">
        <v>34.049999237060497</v>
      </c>
      <c r="C69" s="5">
        <f t="shared" si="0"/>
        <v>5.0051088787988725E-3</v>
      </c>
    </row>
    <row r="70" spans="1:3" ht="13.2" x14ac:dyDescent="0.25">
      <c r="A70" s="6">
        <v>68</v>
      </c>
      <c r="B70" s="7">
        <v>33.805000305175703</v>
      </c>
      <c r="C70" s="5">
        <f t="shared" si="0"/>
        <v>-7.2212806189018916E-3</v>
      </c>
    </row>
    <row r="71" spans="1:3" ht="13.2" x14ac:dyDescent="0.25">
      <c r="A71" s="6">
        <v>69</v>
      </c>
      <c r="B71" s="7">
        <v>34.284999847412102</v>
      </c>
      <c r="C71" s="5">
        <f t="shared" si="0"/>
        <v>1.4099206715582055E-2</v>
      </c>
    </row>
    <row r="72" spans="1:3" ht="13.2" x14ac:dyDescent="0.25">
      <c r="A72" s="6">
        <v>70</v>
      </c>
      <c r="B72" s="7">
        <v>33.9799995422363</v>
      </c>
      <c r="C72" s="5">
        <f t="shared" si="0"/>
        <v>-8.9358335135314541E-3</v>
      </c>
    </row>
    <row r="73" spans="1:3" ht="13.2" x14ac:dyDescent="0.25">
      <c r="A73" s="6">
        <v>71</v>
      </c>
      <c r="B73" s="7">
        <v>33.130001068115199</v>
      </c>
      <c r="C73" s="5">
        <f t="shared" si="0"/>
        <v>-2.53328542202985E-2</v>
      </c>
    </row>
    <row r="74" spans="1:3" ht="13.2" x14ac:dyDescent="0.25">
      <c r="A74" s="6">
        <v>72</v>
      </c>
      <c r="B74" s="7">
        <v>33.169998168945298</v>
      </c>
      <c r="C74" s="5">
        <f t="shared" si="0"/>
        <v>1.2065492049033325E-3</v>
      </c>
    </row>
    <row r="75" spans="1:3" ht="13.2" x14ac:dyDescent="0.25">
      <c r="A75" s="6">
        <v>73</v>
      </c>
      <c r="B75" s="7">
        <v>32.974998474121001</v>
      </c>
      <c r="C75" s="5">
        <f t="shared" si="0"/>
        <v>-5.8961454272642355E-3</v>
      </c>
    </row>
    <row r="76" spans="1:3" ht="13.2" x14ac:dyDescent="0.25">
      <c r="A76" s="6">
        <v>74</v>
      </c>
      <c r="B76" s="7">
        <v>33.849998474121001</v>
      </c>
      <c r="C76" s="5">
        <f t="shared" si="0"/>
        <v>2.6189301951052991E-2</v>
      </c>
    </row>
    <row r="77" spans="1:3" ht="13.2" x14ac:dyDescent="0.25">
      <c r="A77" s="6">
        <v>75</v>
      </c>
      <c r="B77" s="7">
        <v>34.080001831054602</v>
      </c>
      <c r="C77" s="5">
        <f t="shared" si="0"/>
        <v>6.7718014086246697E-3</v>
      </c>
    </row>
    <row r="78" spans="1:3" ht="13.2" x14ac:dyDescent="0.25">
      <c r="A78" s="6">
        <v>76</v>
      </c>
      <c r="B78" s="7">
        <v>33.740001678466797</v>
      </c>
      <c r="C78" s="5">
        <f t="shared" si="0"/>
        <v>-1.0026628824331066E-2</v>
      </c>
    </row>
    <row r="79" spans="1:3" ht="13.2" x14ac:dyDescent="0.25">
      <c r="A79" s="6">
        <v>77</v>
      </c>
      <c r="B79" s="7">
        <v>32.930000305175703</v>
      </c>
      <c r="C79" s="5">
        <f t="shared" si="0"/>
        <v>-2.4300021209230863E-2</v>
      </c>
    </row>
    <row r="80" spans="1:3" ht="13.2" x14ac:dyDescent="0.25">
      <c r="A80" s="6">
        <v>78</v>
      </c>
      <c r="B80" s="7">
        <v>32.900001525878899</v>
      </c>
      <c r="C80" s="5">
        <f t="shared" si="0"/>
        <v>-9.1140150505663448E-4</v>
      </c>
    </row>
    <row r="81" spans="1:3" ht="13.2" x14ac:dyDescent="0.25">
      <c r="A81" s="6">
        <v>79</v>
      </c>
      <c r="B81" s="7">
        <v>32.419998168945298</v>
      </c>
      <c r="C81" s="5">
        <f t="shared" si="0"/>
        <v>-1.4697244322264828E-2</v>
      </c>
    </row>
    <row r="82" spans="1:3" ht="13.2" x14ac:dyDescent="0.25">
      <c r="A82" s="6">
        <v>80</v>
      </c>
      <c r="B82" s="7">
        <v>31.7299995422363</v>
      </c>
      <c r="C82" s="5">
        <f t="shared" si="0"/>
        <v>-2.151286866009619E-2</v>
      </c>
    </row>
    <row r="83" spans="1:3" ht="13.2" x14ac:dyDescent="0.25">
      <c r="A83" s="6">
        <v>81</v>
      </c>
      <c r="B83" s="7">
        <v>30.899999618530199</v>
      </c>
      <c r="C83" s="5">
        <f t="shared" si="0"/>
        <v>-2.6506419609863326E-2</v>
      </c>
    </row>
    <row r="84" spans="1:3" ht="13.2" x14ac:dyDescent="0.25">
      <c r="A84" s="6">
        <v>82</v>
      </c>
      <c r="B84" s="7">
        <v>32.119998931884702</v>
      </c>
      <c r="C84" s="5">
        <f t="shared" si="0"/>
        <v>3.8722684266260722E-2</v>
      </c>
    </row>
    <row r="85" spans="1:3" ht="13.2" x14ac:dyDescent="0.25">
      <c r="A85" s="6">
        <v>83</v>
      </c>
      <c r="B85" s="7">
        <v>32.310001373291001</v>
      </c>
      <c r="C85" s="5">
        <f t="shared" si="0"/>
        <v>5.8979665153367413E-3</v>
      </c>
    </row>
    <row r="86" spans="1:3" ht="13.2" x14ac:dyDescent="0.25">
      <c r="A86" s="6">
        <v>84</v>
      </c>
      <c r="B86" s="7">
        <v>31.399999618530199</v>
      </c>
      <c r="C86" s="5">
        <f t="shared" si="0"/>
        <v>-2.8568941574508452E-2</v>
      </c>
    </row>
    <row r="87" spans="1:3" ht="13.2" x14ac:dyDescent="0.25">
      <c r="A87" s="6">
        <v>85</v>
      </c>
      <c r="B87" s="7">
        <v>31.530000686645501</v>
      </c>
      <c r="C87" s="5">
        <f t="shared" si="0"/>
        <v>4.1316145690108155E-3</v>
      </c>
    </row>
    <row r="88" spans="1:3" ht="13.2" x14ac:dyDescent="0.25">
      <c r="A88" s="6">
        <v>86</v>
      </c>
      <c r="B88" s="7">
        <v>30.129999160766602</v>
      </c>
      <c r="C88" s="5">
        <f t="shared" si="0"/>
        <v>-4.5418170046036148E-2</v>
      </c>
    </row>
    <row r="89" spans="1:3" ht="13.2" x14ac:dyDescent="0.25">
      <c r="A89" s="6">
        <v>87</v>
      </c>
      <c r="B89" s="7">
        <v>29.690000534057599</v>
      </c>
      <c r="C89" s="5">
        <f t="shared" si="0"/>
        <v>-1.4711018525000268E-2</v>
      </c>
    </row>
    <row r="90" spans="1:3" ht="13.2" x14ac:dyDescent="0.25">
      <c r="A90" s="6">
        <v>88</v>
      </c>
      <c r="B90" s="7">
        <v>30.840000152587798</v>
      </c>
      <c r="C90" s="5">
        <f t="shared" si="0"/>
        <v>3.8002246879390258E-2</v>
      </c>
    </row>
    <row r="91" spans="1:3" ht="13.2" x14ac:dyDescent="0.25">
      <c r="A91" s="6">
        <v>89</v>
      </c>
      <c r="B91" s="7">
        <v>31.159999847412099</v>
      </c>
      <c r="C91" s="5">
        <f t="shared" si="0"/>
        <v>1.0322662462779049E-2</v>
      </c>
    </row>
    <row r="92" spans="1:3" ht="13.2" x14ac:dyDescent="0.25">
      <c r="A92" s="6">
        <v>90</v>
      </c>
      <c r="B92" s="7">
        <v>32.020000457763601</v>
      </c>
      <c r="C92" s="5">
        <f t="shared" si="0"/>
        <v>2.722550575911439E-2</v>
      </c>
    </row>
    <row r="93" spans="1:3" ht="13.2" x14ac:dyDescent="0.25">
      <c r="A93" s="6">
        <v>91</v>
      </c>
      <c r="B93" s="7">
        <v>30.940000534057599</v>
      </c>
      <c r="C93" s="5">
        <f t="shared" si="0"/>
        <v>-3.4310859458752979E-2</v>
      </c>
    </row>
    <row r="94" spans="1:3" ht="13.2" x14ac:dyDescent="0.25">
      <c r="A94" s="6">
        <v>92</v>
      </c>
      <c r="B94" s="7">
        <v>29.899999618530199</v>
      </c>
      <c r="C94" s="5">
        <f t="shared" si="0"/>
        <v>-3.4191394767539636E-2</v>
      </c>
    </row>
    <row r="95" spans="1:3" ht="13.2" x14ac:dyDescent="0.25">
      <c r="A95" s="6">
        <v>93</v>
      </c>
      <c r="B95" s="7">
        <v>26.9500007629394</v>
      </c>
      <c r="C95" s="5">
        <f t="shared" si="0"/>
        <v>-0.10387514197400781</v>
      </c>
    </row>
    <row r="96" spans="1:3" ht="13.2" x14ac:dyDescent="0.25">
      <c r="A96" s="6">
        <v>94</v>
      </c>
      <c r="B96" s="7">
        <v>28.110000610351499</v>
      </c>
      <c r="C96" s="5">
        <f t="shared" si="0"/>
        <v>4.214208096696162E-2</v>
      </c>
    </row>
    <row r="97" spans="1:3" ht="13.2" x14ac:dyDescent="0.25">
      <c r="A97" s="6">
        <v>95</v>
      </c>
      <c r="B97" s="7">
        <v>27.9500007629394</v>
      </c>
      <c r="C97" s="5">
        <f t="shared" si="0"/>
        <v>-5.708179733719761E-3</v>
      </c>
    </row>
    <row r="98" spans="1:3" ht="13.2" x14ac:dyDescent="0.25">
      <c r="A98" s="6">
        <v>96</v>
      </c>
      <c r="B98" s="7">
        <v>28.069999694824201</v>
      </c>
      <c r="C98" s="5">
        <f t="shared" si="0"/>
        <v>4.2841526041477807E-3</v>
      </c>
    </row>
    <row r="99" spans="1:3" ht="13.2" x14ac:dyDescent="0.25">
      <c r="A99" s="6">
        <v>97</v>
      </c>
      <c r="B99" s="7">
        <v>29.4899997711181</v>
      </c>
      <c r="C99" s="5">
        <f t="shared" si="0"/>
        <v>4.9349835564010146E-2</v>
      </c>
    </row>
    <row r="100" spans="1:3" ht="13.2" x14ac:dyDescent="0.25">
      <c r="A100" s="6">
        <v>98</v>
      </c>
      <c r="B100" s="7">
        <v>31.459999084472599</v>
      </c>
      <c r="C100" s="5">
        <f t="shared" si="0"/>
        <v>6.466565346296993E-2</v>
      </c>
    </row>
    <row r="101" spans="1:3" ht="13.2" x14ac:dyDescent="0.25">
      <c r="A101" s="6">
        <v>99</v>
      </c>
      <c r="B101" s="7">
        <v>31.030000686645501</v>
      </c>
      <c r="C101" s="5">
        <f t="shared" si="0"/>
        <v>-1.3762367940086515E-2</v>
      </c>
    </row>
    <row r="102" spans="1:3" ht="13.2" x14ac:dyDescent="0.25">
      <c r="A102" s="6">
        <v>100</v>
      </c>
      <c r="B102" s="7">
        <v>31.610000610351499</v>
      </c>
      <c r="C102" s="5">
        <f t="shared" si="0"/>
        <v>1.8519044947607845E-2</v>
      </c>
    </row>
    <row r="103" spans="1:3" ht="13.2" x14ac:dyDescent="0.25">
      <c r="A103" s="6">
        <v>101</v>
      </c>
      <c r="B103" s="7">
        <v>30.399999618530199</v>
      </c>
      <c r="C103" s="5">
        <f t="shared" si="0"/>
        <v>-3.9030949672509398E-2</v>
      </c>
    </row>
    <row r="104" spans="1:3" ht="13.2" x14ac:dyDescent="0.25">
      <c r="A104" s="6">
        <v>102</v>
      </c>
      <c r="B104" s="7">
        <v>29.549999237060501</v>
      </c>
      <c r="C104" s="5">
        <f t="shared" si="0"/>
        <v>-2.8358877830315932E-2</v>
      </c>
    </row>
    <row r="105" spans="1:3" ht="13.2" x14ac:dyDescent="0.25">
      <c r="A105" s="6">
        <v>103</v>
      </c>
      <c r="B105" s="7">
        <v>31.9899997711181</v>
      </c>
      <c r="C105" s="5">
        <f t="shared" si="0"/>
        <v>7.9339628773119994E-2</v>
      </c>
    </row>
    <row r="106" spans="1:3" ht="13.2" x14ac:dyDescent="0.25">
      <c r="A106" s="6">
        <v>104</v>
      </c>
      <c r="B106" s="7">
        <v>34.400001525878899</v>
      </c>
      <c r="C106" s="5">
        <f t="shared" si="0"/>
        <v>7.2633261929665127E-2</v>
      </c>
    </row>
    <row r="107" spans="1:3" ht="13.2" x14ac:dyDescent="0.25">
      <c r="A107" s="6">
        <v>105</v>
      </c>
      <c r="B107" s="7">
        <v>35.790000915527301</v>
      </c>
      <c r="C107" s="5">
        <f t="shared" si="0"/>
        <v>3.9611941622171458E-2</v>
      </c>
    </row>
    <row r="108" spans="1:3" ht="13.2" x14ac:dyDescent="0.25">
      <c r="A108" s="6">
        <v>106</v>
      </c>
      <c r="B108" s="7">
        <v>31.569999694824201</v>
      </c>
      <c r="C108" s="5">
        <f t="shared" si="0"/>
        <v>-0.1254612574552067</v>
      </c>
    </row>
    <row r="109" spans="1:3" ht="13.2" x14ac:dyDescent="0.25">
      <c r="A109" s="6">
        <v>107</v>
      </c>
      <c r="B109" s="7">
        <v>34.279998779296797</v>
      </c>
      <c r="C109" s="5">
        <f t="shared" si="0"/>
        <v>8.235476521653888E-2</v>
      </c>
    </row>
    <row r="110" spans="1:3" ht="13.2" x14ac:dyDescent="0.25">
      <c r="A110" s="6">
        <v>108</v>
      </c>
      <c r="B110" s="7">
        <v>34.4799995422363</v>
      </c>
      <c r="C110" s="5">
        <f t="shared" si="0"/>
        <v>5.8173743994829035E-3</v>
      </c>
    </row>
    <row r="111" spans="1:3" ht="13.2" x14ac:dyDescent="0.25">
      <c r="A111" s="6">
        <v>109</v>
      </c>
      <c r="B111" s="7">
        <v>32.75</v>
      </c>
      <c r="C111" s="5">
        <f t="shared" si="0"/>
        <v>-5.1476470438021879E-2</v>
      </c>
    </row>
    <row r="112" spans="1:3" ht="13.2" x14ac:dyDescent="0.25">
      <c r="A112" s="6">
        <v>110</v>
      </c>
      <c r="B112" s="7">
        <v>33.220001220703097</v>
      </c>
      <c r="C112" s="5">
        <f t="shared" si="0"/>
        <v>1.424917884991665E-2</v>
      </c>
    </row>
    <row r="113" spans="1:3" ht="13.2" x14ac:dyDescent="0.25">
      <c r="A113" s="6">
        <v>111</v>
      </c>
      <c r="B113" s="7">
        <v>31.5100002288818</v>
      </c>
      <c r="C113" s="5">
        <f t="shared" si="0"/>
        <v>-5.2847177898211327E-2</v>
      </c>
    </row>
    <row r="114" spans="1:3" ht="13.2" x14ac:dyDescent="0.25">
      <c r="A114" s="6">
        <v>112</v>
      </c>
      <c r="B114" s="7">
        <v>31.670000076293899</v>
      </c>
      <c r="C114" s="5">
        <f t="shared" si="0"/>
        <v>5.0648999266098222E-3</v>
      </c>
    </row>
    <row r="115" spans="1:3" ht="13.2" x14ac:dyDescent="0.25">
      <c r="A115" s="6">
        <v>113</v>
      </c>
      <c r="B115" s="7">
        <v>32.720001220703097</v>
      </c>
      <c r="C115" s="5">
        <f t="shared" si="0"/>
        <v>3.2616686082521489E-2</v>
      </c>
    </row>
    <row r="116" spans="1:3" ht="13.2" x14ac:dyDescent="0.25">
      <c r="A116" s="6">
        <v>114</v>
      </c>
      <c r="B116" s="7">
        <v>33.459999084472599</v>
      </c>
      <c r="C116" s="5">
        <f t="shared" si="0"/>
        <v>2.2364119154733103E-2</v>
      </c>
    </row>
    <row r="117" spans="1:3" ht="13.2" x14ac:dyDescent="0.25">
      <c r="A117" s="6">
        <v>115</v>
      </c>
      <c r="B117" s="7">
        <v>32.290000915527301</v>
      </c>
      <c r="C117" s="5">
        <f t="shared" si="0"/>
        <v>-3.5593055073370468E-2</v>
      </c>
    </row>
    <row r="118" spans="1:3" ht="13.2" x14ac:dyDescent="0.25">
      <c r="A118" s="6">
        <v>116</v>
      </c>
      <c r="B118" s="7">
        <v>33.650001525878899</v>
      </c>
      <c r="C118" s="5">
        <f t="shared" si="0"/>
        <v>4.125548831285962E-2</v>
      </c>
    </row>
    <row r="119" spans="1:3" ht="13.2" x14ac:dyDescent="0.25">
      <c r="A119" s="6">
        <v>117</v>
      </c>
      <c r="B119" s="7">
        <v>32.509998321533203</v>
      </c>
      <c r="C119" s="5">
        <f t="shared" si="0"/>
        <v>-3.4465418749753333E-2</v>
      </c>
    </row>
    <row r="120" spans="1:3" ht="13.2" x14ac:dyDescent="0.25">
      <c r="A120" s="6">
        <v>118</v>
      </c>
      <c r="B120" s="7">
        <v>32.2299995422363</v>
      </c>
      <c r="C120" s="5">
        <f t="shared" si="0"/>
        <v>-8.6500010622513248E-3</v>
      </c>
    </row>
    <row r="121" spans="1:3" ht="13.2" x14ac:dyDescent="0.25">
      <c r="A121" s="6">
        <v>119</v>
      </c>
      <c r="B121" s="7">
        <v>33.470001220703097</v>
      </c>
      <c r="C121" s="5">
        <f t="shared" si="0"/>
        <v>3.7751870070479129E-2</v>
      </c>
    </row>
    <row r="122" spans="1:3" ht="13.2" x14ac:dyDescent="0.25">
      <c r="A122" s="6">
        <v>120</v>
      </c>
      <c r="B122" s="7">
        <v>31.920000076293899</v>
      </c>
      <c r="C122" s="5">
        <f t="shared" si="0"/>
        <v>-4.7416776723026334E-2</v>
      </c>
    </row>
    <row r="123" spans="1:3" ht="13.2" x14ac:dyDescent="0.25">
      <c r="A123" s="6">
        <v>121</v>
      </c>
      <c r="B123" s="7">
        <v>32.380001068115199</v>
      </c>
      <c r="C123" s="5">
        <f t="shared" si="0"/>
        <v>1.4308206264601418E-2</v>
      </c>
    </row>
    <row r="124" spans="1:3" ht="13.2" x14ac:dyDescent="0.25">
      <c r="A124" s="6">
        <v>122</v>
      </c>
      <c r="B124" s="7">
        <v>32.75</v>
      </c>
      <c r="C124" s="5">
        <f t="shared" si="0"/>
        <v>1.1361980844891742E-2</v>
      </c>
    </row>
    <row r="125" spans="1:3" ht="13.2" x14ac:dyDescent="0.25">
      <c r="A125" s="6">
        <v>123</v>
      </c>
      <c r="B125" s="7">
        <v>31.909999847412099</v>
      </c>
      <c r="C125" s="5">
        <f t="shared" si="0"/>
        <v>-2.5983526572929568E-2</v>
      </c>
    </row>
    <row r="126" spans="1:3" ht="13.2" x14ac:dyDescent="0.25">
      <c r="A126" s="6">
        <v>124</v>
      </c>
      <c r="B126" s="7">
        <v>32.630001068115199</v>
      </c>
      <c r="C126" s="5">
        <f t="shared" si="0"/>
        <v>2.2312707831043822E-2</v>
      </c>
    </row>
    <row r="127" spans="1:3" ht="13.2" x14ac:dyDescent="0.25">
      <c r="A127" s="6">
        <v>125</v>
      </c>
      <c r="B127" s="7">
        <v>33.150001525878899</v>
      </c>
      <c r="C127" s="5">
        <f t="shared" si="0"/>
        <v>1.5810619322024641E-2</v>
      </c>
    </row>
    <row r="128" spans="1:3" ht="13.2" x14ac:dyDescent="0.25">
      <c r="A128" s="6">
        <v>126</v>
      </c>
      <c r="B128" s="7">
        <v>36.4799995422363</v>
      </c>
      <c r="C128" s="5">
        <f t="shared" si="0"/>
        <v>9.5721389996383757E-2</v>
      </c>
    </row>
    <row r="129" spans="1:3" ht="13.2" x14ac:dyDescent="0.25">
      <c r="A129" s="6">
        <v>127</v>
      </c>
      <c r="B129" s="7">
        <v>34.909999847412102</v>
      </c>
      <c r="C129" s="5">
        <f t="shared" si="0"/>
        <v>-4.3990835911732529E-2</v>
      </c>
    </row>
    <row r="130" spans="1:3" ht="13.2" x14ac:dyDescent="0.25">
      <c r="A130" s="6">
        <v>128</v>
      </c>
      <c r="B130" s="7">
        <v>35.590000152587798</v>
      </c>
      <c r="C130" s="5">
        <f t="shared" si="0"/>
        <v>1.9291387063428731E-2</v>
      </c>
    </row>
    <row r="131" spans="1:3" ht="13.2" x14ac:dyDescent="0.25">
      <c r="A131" s="6">
        <v>129</v>
      </c>
      <c r="B131" s="7">
        <v>36.099998474121001</v>
      </c>
      <c r="C131" s="5">
        <f t="shared" si="0"/>
        <v>1.4228119261238206E-2</v>
      </c>
    </row>
    <row r="132" spans="1:3" ht="13.2" x14ac:dyDescent="0.25">
      <c r="A132" s="6">
        <v>130</v>
      </c>
      <c r="B132" s="7">
        <v>35.680000305175703</v>
      </c>
      <c r="C132" s="5">
        <f t="shared" si="0"/>
        <v>-1.1702506805778772E-2</v>
      </c>
    </row>
    <row r="133" spans="1:3" ht="13.2" x14ac:dyDescent="0.25">
      <c r="A133" s="6">
        <v>131</v>
      </c>
      <c r="B133" s="7">
        <v>34.950000762939403</v>
      </c>
      <c r="C133" s="5">
        <f t="shared" si="0"/>
        <v>-2.067182575566668E-2</v>
      </c>
    </row>
    <row r="134" spans="1:3" ht="13.2" x14ac:dyDescent="0.25">
      <c r="A134" s="6">
        <v>132</v>
      </c>
      <c r="B134" s="7">
        <v>34.869998931884702</v>
      </c>
      <c r="C134" s="5">
        <f t="shared" si="0"/>
        <v>-2.291660453066802E-3</v>
      </c>
    </row>
    <row r="135" spans="1:3" ht="13.2" x14ac:dyDescent="0.25">
      <c r="A135" s="6">
        <v>133</v>
      </c>
      <c r="B135" s="7">
        <v>34.5</v>
      </c>
      <c r="C135" s="5">
        <f t="shared" si="0"/>
        <v>-1.0667506018891741E-2</v>
      </c>
    </row>
    <row r="136" spans="1:3" ht="13.2" x14ac:dyDescent="0.25">
      <c r="A136" s="6">
        <v>134</v>
      </c>
      <c r="B136" s="7">
        <v>36.330001831054602</v>
      </c>
      <c r="C136" s="5">
        <f t="shared" si="0"/>
        <v>5.1684572596417379E-2</v>
      </c>
    </row>
    <row r="137" spans="1:3" ht="13.2" x14ac:dyDescent="0.25">
      <c r="A137" s="6">
        <v>135</v>
      </c>
      <c r="B137" s="7">
        <v>37.110000610351499</v>
      </c>
      <c r="C137" s="5">
        <f t="shared" si="0"/>
        <v>2.1242594885864351E-2</v>
      </c>
    </row>
    <row r="138" spans="1:3" ht="13.2" x14ac:dyDescent="0.25">
      <c r="A138" s="6">
        <v>136</v>
      </c>
      <c r="B138" s="7">
        <v>36.610000610351499</v>
      </c>
      <c r="C138" s="5">
        <f t="shared" si="0"/>
        <v>-1.3565047715735724E-2</v>
      </c>
    </row>
    <row r="139" spans="1:3" ht="13.2" x14ac:dyDescent="0.25">
      <c r="A139" s="6">
        <v>137</v>
      </c>
      <c r="B139" s="7">
        <v>35.669998168945298</v>
      </c>
      <c r="C139" s="5">
        <f t="shared" si="0"/>
        <v>-2.6011495766246014E-2</v>
      </c>
    </row>
    <row r="140" spans="1:3" ht="13.2" x14ac:dyDescent="0.25">
      <c r="A140" s="6">
        <v>138</v>
      </c>
      <c r="B140" s="7">
        <v>35.599998474121001</v>
      </c>
      <c r="C140" s="5">
        <f t="shared" si="0"/>
        <v>-1.9643530413998526E-3</v>
      </c>
    </row>
    <row r="141" spans="1:3" ht="13.2" x14ac:dyDescent="0.25">
      <c r="A141" s="6">
        <v>139</v>
      </c>
      <c r="B141" s="7">
        <v>37</v>
      </c>
      <c r="C141" s="5">
        <f t="shared" si="0"/>
        <v>3.8572317648010161E-2</v>
      </c>
    </row>
    <row r="142" spans="1:3" ht="13.2" x14ac:dyDescent="0.25">
      <c r="A142" s="6">
        <v>140</v>
      </c>
      <c r="B142" s="7">
        <v>35.990001678466797</v>
      </c>
      <c r="C142" s="5">
        <f t="shared" si="0"/>
        <v>-2.7676743916253733E-2</v>
      </c>
    </row>
    <row r="143" spans="1:3" ht="13.2" x14ac:dyDescent="0.25">
      <c r="A143" s="6">
        <v>141</v>
      </c>
      <c r="B143" s="7">
        <v>35.880001068115199</v>
      </c>
      <c r="C143" s="5">
        <f t="shared" si="0"/>
        <v>-3.061101768278833E-3</v>
      </c>
    </row>
    <row r="144" spans="1:3" ht="13.2" x14ac:dyDescent="0.25">
      <c r="A144" s="6">
        <v>142</v>
      </c>
      <c r="B144" s="7">
        <v>35.689998626708899</v>
      </c>
      <c r="C144" s="5">
        <f t="shared" si="0"/>
        <v>-5.3095679359397687E-3</v>
      </c>
    </row>
    <row r="145" spans="1:3" ht="13.2" x14ac:dyDescent="0.25">
      <c r="A145" s="6">
        <v>143</v>
      </c>
      <c r="B145" s="7">
        <v>35.540000915527301</v>
      </c>
      <c r="C145" s="5">
        <f t="shared" si="0"/>
        <v>-4.2116505367716167E-3</v>
      </c>
    </row>
    <row r="146" spans="1:3" ht="13.2" x14ac:dyDescent="0.25">
      <c r="A146" s="6">
        <v>144</v>
      </c>
      <c r="B146" s="7">
        <v>35.259998321533203</v>
      </c>
      <c r="C146" s="5">
        <f t="shared" si="0"/>
        <v>-7.909719119832577E-3</v>
      </c>
    </row>
    <row r="147" spans="1:3" ht="13.2" x14ac:dyDescent="0.25">
      <c r="A147" s="6">
        <v>145</v>
      </c>
      <c r="B147" s="7">
        <v>35.830001831054602</v>
      </c>
      <c r="C147" s="5">
        <f t="shared" si="0"/>
        <v>1.6036453053665172E-2</v>
      </c>
    </row>
    <row r="148" spans="1:3" ht="13.2" x14ac:dyDescent="0.25">
      <c r="A148" s="6">
        <v>146</v>
      </c>
      <c r="B148" s="7">
        <v>36.029998779296797</v>
      </c>
      <c r="C148" s="5">
        <f t="shared" si="0"/>
        <v>5.566308458999269E-3</v>
      </c>
    </row>
    <row r="149" spans="1:3" ht="13.2" x14ac:dyDescent="0.25">
      <c r="A149" s="6">
        <v>147</v>
      </c>
      <c r="B149" s="7">
        <v>35.130001068115199</v>
      </c>
      <c r="C149" s="5">
        <f t="shared" si="0"/>
        <v>-2.5296394197431654E-2</v>
      </c>
    </row>
    <row r="150" spans="1:3" ht="13.2" x14ac:dyDescent="0.25">
      <c r="A150" s="6">
        <v>148</v>
      </c>
      <c r="B150" s="7">
        <v>34.669998168945298</v>
      </c>
      <c r="C150" s="5">
        <f t="shared" si="0"/>
        <v>-1.3180789799257516E-2</v>
      </c>
    </row>
    <row r="151" spans="1:3" ht="13.2" x14ac:dyDescent="0.25">
      <c r="A151" s="6">
        <v>149</v>
      </c>
      <c r="B151" s="7">
        <v>36.389999389648402</v>
      </c>
      <c r="C151" s="5">
        <f t="shared" si="0"/>
        <v>4.8419287968436052E-2</v>
      </c>
    </row>
    <row r="152" spans="1:3" ht="13.2" x14ac:dyDescent="0.25">
      <c r="A152" s="6">
        <v>150</v>
      </c>
      <c r="B152" s="7">
        <v>37.040000915527301</v>
      </c>
      <c r="C152" s="5">
        <f t="shared" si="0"/>
        <v>1.7704439643678724E-2</v>
      </c>
    </row>
    <row r="153" spans="1:3" ht="13.2" x14ac:dyDescent="0.25">
      <c r="A153" s="6">
        <v>151</v>
      </c>
      <c r="B153" s="7">
        <v>36.560001373291001</v>
      </c>
      <c r="C153" s="5">
        <f t="shared" si="0"/>
        <v>-1.3043650346625406E-2</v>
      </c>
    </row>
    <row r="154" spans="1:3" ht="13.2" x14ac:dyDescent="0.25">
      <c r="A154" s="6">
        <v>152</v>
      </c>
      <c r="B154" s="7">
        <v>35.860000610351499</v>
      </c>
      <c r="C154" s="5">
        <f t="shared" si="0"/>
        <v>-1.9332298951227345E-2</v>
      </c>
    </row>
    <row r="155" spans="1:3" ht="13.2" x14ac:dyDescent="0.25">
      <c r="A155" s="6">
        <v>153</v>
      </c>
      <c r="B155" s="7">
        <v>35.270000457763601</v>
      </c>
      <c r="C155" s="5">
        <f t="shared" si="0"/>
        <v>-1.6589727970587338E-2</v>
      </c>
    </row>
    <row r="156" spans="1:3" ht="13.2" x14ac:dyDescent="0.25">
      <c r="A156" s="6">
        <v>154</v>
      </c>
      <c r="B156" s="7">
        <v>36.259998321533203</v>
      </c>
      <c r="C156" s="5">
        <f t="shared" si="0"/>
        <v>2.7682401810142993E-2</v>
      </c>
    </row>
    <row r="157" spans="1:3" ht="13.2" x14ac:dyDescent="0.25">
      <c r="A157" s="6">
        <v>155</v>
      </c>
      <c r="B157" s="7">
        <v>35.560001373291001</v>
      </c>
      <c r="C157" s="5">
        <f t="shared" si="0"/>
        <v>-1.9493709772256028E-2</v>
      </c>
    </row>
    <row r="158" spans="1:3" ht="13.2" x14ac:dyDescent="0.25">
      <c r="A158" s="6">
        <v>156</v>
      </c>
      <c r="B158" s="7">
        <v>35.330001831054602</v>
      </c>
      <c r="C158" s="5">
        <f t="shared" si="0"/>
        <v>-6.4889360664431529E-3</v>
      </c>
    </row>
    <row r="159" spans="1:3" ht="13.2" x14ac:dyDescent="0.25">
      <c r="A159" s="6">
        <v>157</v>
      </c>
      <c r="B159" s="7">
        <v>34.509998321533203</v>
      </c>
      <c r="C159" s="5">
        <f t="shared" si="0"/>
        <v>-2.3483424725444881E-2</v>
      </c>
    </row>
    <row r="160" spans="1:3" ht="13.2" x14ac:dyDescent="0.25">
      <c r="A160" s="6">
        <v>158</v>
      </c>
      <c r="B160" s="7">
        <v>35.090000152587798</v>
      </c>
      <c r="C160" s="5">
        <f t="shared" si="0"/>
        <v>1.6667105470796216E-2</v>
      </c>
    </row>
    <row r="161" spans="1:3" ht="13.2" x14ac:dyDescent="0.25">
      <c r="A161" s="6">
        <v>159</v>
      </c>
      <c r="B161" s="7">
        <v>35.159999847412102</v>
      </c>
      <c r="C161" s="5">
        <f t="shared" si="0"/>
        <v>1.9928745335677325E-3</v>
      </c>
    </row>
    <row r="162" spans="1:3" ht="13.2" x14ac:dyDescent="0.25">
      <c r="A162" s="6">
        <v>160</v>
      </c>
      <c r="B162" s="7">
        <v>35.650001525878899</v>
      </c>
      <c r="C162" s="5">
        <f t="shared" si="0"/>
        <v>1.3840121184794978E-2</v>
      </c>
    </row>
    <row r="163" spans="1:3" ht="13.2" x14ac:dyDescent="0.25">
      <c r="A163" s="6">
        <v>161</v>
      </c>
      <c r="B163" s="7">
        <v>37.540000915527301</v>
      </c>
      <c r="C163" s="5">
        <f t="shared" si="0"/>
        <v>5.1657865884453799E-2</v>
      </c>
    </row>
    <row r="164" spans="1:3" ht="13.2" x14ac:dyDescent="0.25">
      <c r="A164" s="6">
        <v>162</v>
      </c>
      <c r="B164" s="7">
        <v>37.020000457763601</v>
      </c>
      <c r="C164" s="5">
        <f t="shared" si="0"/>
        <v>-1.394873603575323E-2</v>
      </c>
    </row>
    <row r="165" spans="1:3" ht="13.2" x14ac:dyDescent="0.25">
      <c r="A165" s="6">
        <v>163</v>
      </c>
      <c r="B165" s="7">
        <v>37.830001831054602</v>
      </c>
      <c r="C165" s="5">
        <f t="shared" si="0"/>
        <v>2.1644167536463674E-2</v>
      </c>
    </row>
    <row r="166" spans="1:3" ht="13.2" x14ac:dyDescent="0.25">
      <c r="A166" s="6">
        <v>164</v>
      </c>
      <c r="B166" s="7">
        <v>38.520000457763601</v>
      </c>
      <c r="C166" s="5">
        <f t="shared" si="0"/>
        <v>1.8075111766594727E-2</v>
      </c>
    </row>
    <row r="167" spans="1:3" ht="13.2" x14ac:dyDescent="0.25">
      <c r="A167" s="6">
        <v>165</v>
      </c>
      <c r="B167" s="7">
        <v>39.4799995422363</v>
      </c>
      <c r="C167" s="5">
        <f t="shared" si="0"/>
        <v>2.4616604156740482E-2</v>
      </c>
    </row>
    <row r="168" spans="1:3" ht="13.2" x14ac:dyDescent="0.25">
      <c r="A168" s="6">
        <v>166</v>
      </c>
      <c r="B168" s="7">
        <v>38.990001678466797</v>
      </c>
      <c r="C168" s="5">
        <f t="shared" si="0"/>
        <v>-1.2488956927302241E-2</v>
      </c>
    </row>
    <row r="169" spans="1:3" ht="13.2" x14ac:dyDescent="0.25">
      <c r="A169" s="6">
        <v>167</v>
      </c>
      <c r="B169" s="7">
        <v>39.240001678466797</v>
      </c>
      <c r="C169" s="5">
        <f t="shared" si="0"/>
        <v>6.391431428391295E-3</v>
      </c>
    </row>
    <row r="170" spans="1:3" ht="13.2" x14ac:dyDescent="0.25">
      <c r="A170" s="6">
        <v>168</v>
      </c>
      <c r="B170" s="7">
        <v>39.470001220703097</v>
      </c>
      <c r="C170" s="5">
        <f t="shared" si="0"/>
        <v>5.8442431305756413E-3</v>
      </c>
    </row>
    <row r="171" spans="1:3" ht="13.2" x14ac:dyDescent="0.25">
      <c r="A171" s="6">
        <v>169</v>
      </c>
      <c r="B171" s="7">
        <v>38.970001220703097</v>
      </c>
      <c r="C171" s="5">
        <f t="shared" si="0"/>
        <v>-1.2748769927327959E-2</v>
      </c>
    </row>
    <row r="172" spans="1:3" ht="13.2" x14ac:dyDescent="0.25">
      <c r="A172" s="6">
        <v>170</v>
      </c>
      <c r="B172" s="7">
        <v>38.470001220703097</v>
      </c>
      <c r="C172" s="5">
        <f t="shared" si="0"/>
        <v>-1.2913402179289379E-2</v>
      </c>
    </row>
    <row r="173" spans="1:3" ht="13.2" x14ac:dyDescent="0.25">
      <c r="A173" s="6">
        <v>171</v>
      </c>
      <c r="B173" s="7">
        <v>38.990001678466797</v>
      </c>
      <c r="C173" s="5">
        <f t="shared" si="0"/>
        <v>1.342649754765044E-2</v>
      </c>
    </row>
    <row r="174" spans="1:3" ht="13.2" x14ac:dyDescent="0.25">
      <c r="A174" s="6">
        <v>172</v>
      </c>
      <c r="B174" s="7">
        <v>39</v>
      </c>
      <c r="C174" s="5">
        <f t="shared" si="0"/>
        <v>2.5640008649301869E-4</v>
      </c>
    </row>
    <row r="175" spans="1:3" ht="13.2" x14ac:dyDescent="0.25">
      <c r="A175" s="6">
        <v>173</v>
      </c>
      <c r="B175" s="7">
        <v>38.840000152587798</v>
      </c>
      <c r="C175" s="5">
        <f t="shared" si="0"/>
        <v>-4.1109987778972382E-3</v>
      </c>
    </row>
    <row r="176" spans="1:3" ht="13.2" x14ac:dyDescent="0.25">
      <c r="A176" s="6">
        <v>174</v>
      </c>
      <c r="B176" s="7">
        <v>39.119998931884702</v>
      </c>
      <c r="C176" s="5">
        <f t="shared" si="0"/>
        <v>7.1831705113061433E-3</v>
      </c>
    </row>
    <row r="177" spans="1:3" ht="13.2" x14ac:dyDescent="0.25">
      <c r="A177" s="6">
        <v>175</v>
      </c>
      <c r="B177" s="7">
        <v>39.520000457763601</v>
      </c>
      <c r="C177" s="5">
        <f t="shared" si="0"/>
        <v>1.0173066599698549E-2</v>
      </c>
    </row>
    <row r="178" spans="1:3" ht="13.2" x14ac:dyDescent="0.25">
      <c r="A178" s="6">
        <v>176</v>
      </c>
      <c r="B178" s="7">
        <v>38.439998626708899</v>
      </c>
      <c r="C178" s="5">
        <f t="shared" si="0"/>
        <v>-2.7708336086237868E-2</v>
      </c>
    </row>
    <row r="179" spans="1:3" ht="13.2" x14ac:dyDescent="0.25">
      <c r="A179" s="6">
        <v>177</v>
      </c>
      <c r="B179" s="7">
        <v>37.369998931884702</v>
      </c>
      <c r="C179" s="5">
        <f t="shared" si="0"/>
        <v>-2.8230333461283452E-2</v>
      </c>
    </row>
    <row r="180" spans="1:3" ht="13.2" x14ac:dyDescent="0.25">
      <c r="A180" s="6">
        <v>178</v>
      </c>
      <c r="B180" s="7">
        <v>37.509998321533203</v>
      </c>
      <c r="C180" s="5">
        <f t="shared" si="0"/>
        <v>3.739304431380213E-3</v>
      </c>
    </row>
    <row r="181" spans="1:3" ht="13.2" x14ac:dyDescent="0.25">
      <c r="A181" s="6">
        <v>179</v>
      </c>
      <c r="B181" s="7">
        <v>37</v>
      </c>
      <c r="C181" s="5">
        <f t="shared" si="0"/>
        <v>-1.3689606702388491E-2</v>
      </c>
    </row>
    <row r="182" spans="1:3" ht="13.2" x14ac:dyDescent="0.25">
      <c r="A182" s="6">
        <v>180</v>
      </c>
      <c r="B182" s="7">
        <v>36.189998626708899</v>
      </c>
      <c r="C182" s="5">
        <f t="shared" si="0"/>
        <v>-2.2135113015274904E-2</v>
      </c>
    </row>
    <row r="183" spans="1:3" ht="13.2" x14ac:dyDescent="0.25">
      <c r="A183" s="6">
        <v>181</v>
      </c>
      <c r="B183" s="7">
        <v>35.799999237060497</v>
      </c>
      <c r="C183" s="5">
        <f t="shared" si="0"/>
        <v>-1.0834927533454504E-2</v>
      </c>
    </row>
    <row r="184" spans="1:3" ht="13.2" x14ac:dyDescent="0.25">
      <c r="A184" s="6">
        <v>182</v>
      </c>
      <c r="B184" s="7">
        <v>35.819999694824197</v>
      </c>
      <c r="C184" s="5">
        <f t="shared" si="0"/>
        <v>5.5851601736637982E-4</v>
      </c>
    </row>
    <row r="185" spans="1:3" ht="13.2" x14ac:dyDescent="0.25">
      <c r="A185" s="6">
        <v>183</v>
      </c>
      <c r="B185" s="7">
        <v>36.360000610351499</v>
      </c>
      <c r="C185" s="5">
        <f t="shared" si="0"/>
        <v>1.4962897982761193E-2</v>
      </c>
    </row>
    <row r="186" spans="1:3" ht="13.2" x14ac:dyDescent="0.25">
      <c r="A186" s="6">
        <v>184</v>
      </c>
      <c r="B186" s="7">
        <v>36.220001220703097</v>
      </c>
      <c r="C186" s="5">
        <f t="shared" si="0"/>
        <v>-3.8577999378962115E-3</v>
      </c>
    </row>
    <row r="187" spans="1:3" ht="13.2" x14ac:dyDescent="0.25">
      <c r="A187" s="6">
        <v>185</v>
      </c>
      <c r="B187" s="7">
        <v>36.770000457763601</v>
      </c>
      <c r="C187" s="5">
        <f t="shared" si="0"/>
        <v>1.5070821604831213E-2</v>
      </c>
    </row>
    <row r="188" spans="1:3" ht="13.2" x14ac:dyDescent="0.25">
      <c r="A188" s="6">
        <v>186</v>
      </c>
      <c r="B188" s="7">
        <v>37.369998931884702</v>
      </c>
      <c r="C188" s="5">
        <f t="shared" si="0"/>
        <v>1.6185907152674983E-2</v>
      </c>
    </row>
    <row r="189" spans="1:3" ht="13.2" x14ac:dyDescent="0.25">
      <c r="A189" s="6">
        <v>187</v>
      </c>
      <c r="B189" s="7">
        <v>37.779998779296797</v>
      </c>
      <c r="C189" s="5">
        <f t="shared" si="0"/>
        <v>1.0911614847299071E-2</v>
      </c>
    </row>
    <row r="190" spans="1:3" ht="13.2" x14ac:dyDescent="0.25">
      <c r="A190" s="6">
        <v>188</v>
      </c>
      <c r="B190" s="7">
        <v>38.939998626708899</v>
      </c>
      <c r="C190" s="5">
        <f t="shared" si="0"/>
        <v>3.024213491467221E-2</v>
      </c>
    </row>
    <row r="191" spans="1:3" ht="13.2" x14ac:dyDescent="0.25">
      <c r="A191" s="6">
        <v>189</v>
      </c>
      <c r="B191" s="7">
        <v>39.209999084472599</v>
      </c>
      <c r="C191" s="5">
        <f t="shared" si="0"/>
        <v>6.9098282777017199E-3</v>
      </c>
    </row>
    <row r="192" spans="1:3" ht="13.2" x14ac:dyDescent="0.25">
      <c r="A192" s="6">
        <v>190</v>
      </c>
      <c r="B192" s="7">
        <v>44.7299995422363</v>
      </c>
      <c r="C192" s="5">
        <f t="shared" si="0"/>
        <v>0.13171261425592079</v>
      </c>
    </row>
    <row r="193" spans="1:3" ht="13.2" x14ac:dyDescent="0.25">
      <c r="A193" s="6">
        <v>191</v>
      </c>
      <c r="B193" s="7">
        <v>42.130001068115199</v>
      </c>
      <c r="C193" s="5">
        <f t="shared" si="0"/>
        <v>-5.9884305867060436E-2</v>
      </c>
    </row>
    <row r="194" spans="1:3" ht="13.2" x14ac:dyDescent="0.25">
      <c r="A194" s="6">
        <v>192</v>
      </c>
      <c r="B194" s="7">
        <v>40.930000305175703</v>
      </c>
      <c r="C194" s="5">
        <f t="shared" si="0"/>
        <v>-2.8896803383414778E-2</v>
      </c>
    </row>
    <row r="195" spans="1:3" ht="13.2" x14ac:dyDescent="0.25">
      <c r="A195" s="6">
        <v>193</v>
      </c>
      <c r="B195" s="7">
        <v>40.090000152587798</v>
      </c>
      <c r="C195" s="5">
        <f t="shared" si="0"/>
        <v>-2.0736367499804495E-2</v>
      </c>
    </row>
    <row r="196" spans="1:3" ht="13.2" x14ac:dyDescent="0.25">
      <c r="A196" s="6">
        <v>194</v>
      </c>
      <c r="B196" s="7">
        <v>41.290000915527301</v>
      </c>
      <c r="C196" s="5">
        <f t="shared" si="0"/>
        <v>2.9493431610551825E-2</v>
      </c>
    </row>
    <row r="197" spans="1:3" ht="13.2" x14ac:dyDescent="0.25">
      <c r="A197" s="6">
        <v>195</v>
      </c>
      <c r="B197" s="7">
        <v>41.130001068115199</v>
      </c>
      <c r="C197" s="5">
        <f t="shared" si="0"/>
        <v>-3.8825538595175456E-3</v>
      </c>
    </row>
    <row r="198" spans="1:3" ht="13.2" x14ac:dyDescent="0.25">
      <c r="A198" s="6">
        <v>196</v>
      </c>
      <c r="B198" s="7">
        <v>41.7299995422363</v>
      </c>
      <c r="C198" s="5">
        <f t="shared" si="0"/>
        <v>1.4482475422225152E-2</v>
      </c>
    </row>
    <row r="199" spans="1:3" ht="13.2" x14ac:dyDescent="0.25">
      <c r="A199" s="6">
        <v>197</v>
      </c>
      <c r="B199" s="7">
        <v>40.709999084472599</v>
      </c>
      <c r="C199" s="5">
        <f t="shared" si="0"/>
        <v>-2.4746543607924172E-2</v>
      </c>
    </row>
    <row r="200" spans="1:3" ht="13.2" x14ac:dyDescent="0.25">
      <c r="A200" s="6">
        <v>198</v>
      </c>
      <c r="B200" s="7">
        <v>40.040000915527301</v>
      </c>
      <c r="C200" s="5">
        <f t="shared" si="0"/>
        <v>-1.6594762713545212E-2</v>
      </c>
    </row>
    <row r="201" spans="1:3" ht="13.2" x14ac:dyDescent="0.25">
      <c r="A201" s="6">
        <v>199</v>
      </c>
      <c r="B201" s="7">
        <v>41.549999237060497</v>
      </c>
      <c r="C201" s="5">
        <f t="shared" si="0"/>
        <v>3.701852562715871E-2</v>
      </c>
    </row>
    <row r="202" spans="1:3" ht="13.2" x14ac:dyDescent="0.25">
      <c r="A202" s="6">
        <v>200</v>
      </c>
      <c r="B202" s="7">
        <v>41.619998931884702</v>
      </c>
      <c r="C202" s="5">
        <f t="shared" si="0"/>
        <v>1.683292362482167E-3</v>
      </c>
    </row>
    <row r="203" spans="1:3" ht="13.2" x14ac:dyDescent="0.25">
      <c r="A203" s="6">
        <v>201</v>
      </c>
      <c r="B203" s="7">
        <v>41.299999237060497</v>
      </c>
      <c r="C203" s="5">
        <f t="shared" si="0"/>
        <v>-7.7183138081023282E-3</v>
      </c>
    </row>
    <row r="204" spans="1:3" ht="13.2" x14ac:dyDescent="0.25">
      <c r="A204" s="6">
        <v>202</v>
      </c>
      <c r="B204" s="7">
        <v>41.299999237060497</v>
      </c>
      <c r="C204" s="5">
        <f t="shared" si="0"/>
        <v>0</v>
      </c>
    </row>
    <row r="205" spans="1:3" ht="13.2" x14ac:dyDescent="0.25">
      <c r="A205" s="6">
        <v>203</v>
      </c>
      <c r="B205" s="7">
        <v>41.450000762939403</v>
      </c>
      <c r="C205" s="5">
        <f t="shared" si="0"/>
        <v>3.6254184936865695E-3</v>
      </c>
    </row>
    <row r="206" spans="1:3" ht="13.2" x14ac:dyDescent="0.25">
      <c r="A206" s="6">
        <v>204</v>
      </c>
      <c r="B206" s="7">
        <v>43.590000152587798</v>
      </c>
      <c r="C206" s="5">
        <f t="shared" si="0"/>
        <v>5.033986976326222E-2</v>
      </c>
    </row>
    <row r="207" spans="1:3" ht="13.2" x14ac:dyDescent="0.25">
      <c r="A207" s="6">
        <v>205</v>
      </c>
      <c r="B207" s="7">
        <v>44.830001831054602</v>
      </c>
      <c r="C207" s="5">
        <f t="shared" si="0"/>
        <v>2.8049829260926439E-2</v>
      </c>
    </row>
    <row r="208" spans="1:3" ht="13.2" x14ac:dyDescent="0.25">
      <c r="A208" s="6">
        <v>206</v>
      </c>
      <c r="B208" s="7">
        <v>44.860000610351499</v>
      </c>
      <c r="C208" s="5">
        <f t="shared" si="0"/>
        <v>6.6894368600703728E-4</v>
      </c>
    </row>
    <row r="209" spans="1:3" ht="13.2" x14ac:dyDescent="0.25">
      <c r="A209" s="6">
        <v>207</v>
      </c>
      <c r="B209" s="7">
        <v>43.650001525878899</v>
      </c>
      <c r="C209" s="5">
        <f t="shared" si="0"/>
        <v>-2.7343225455013036E-2</v>
      </c>
    </row>
    <row r="210" spans="1:3" ht="13.2" x14ac:dyDescent="0.25">
      <c r="A210" s="6">
        <v>208</v>
      </c>
      <c r="B210" s="7">
        <v>42.959999084472599</v>
      </c>
      <c r="C210" s="5">
        <f t="shared" si="0"/>
        <v>-1.5933888353294859E-2</v>
      </c>
    </row>
    <row r="211" spans="1:3" ht="13.2" x14ac:dyDescent="0.25">
      <c r="A211" s="6">
        <v>209</v>
      </c>
      <c r="B211" s="7">
        <v>42.060001373291001</v>
      </c>
      <c r="C211" s="5">
        <f t="shared" si="0"/>
        <v>-2.1172225964135764E-2</v>
      </c>
    </row>
    <row r="212" spans="1:3" ht="13.2" x14ac:dyDescent="0.25">
      <c r="A212" s="6">
        <v>210</v>
      </c>
      <c r="B212" s="7">
        <v>43.799999237060497</v>
      </c>
      <c r="C212" s="5">
        <f t="shared" si="0"/>
        <v>4.0536597038376046E-2</v>
      </c>
    </row>
    <row r="213" spans="1:3" ht="13.2" x14ac:dyDescent="0.25">
      <c r="A213" s="6">
        <v>211</v>
      </c>
      <c r="B213" s="7">
        <v>43.069999694824197</v>
      </c>
      <c r="C213" s="5">
        <f t="shared" si="0"/>
        <v>-1.6807107983248009E-2</v>
      </c>
    </row>
    <row r="214" spans="1:3" ht="13.2" x14ac:dyDescent="0.25">
      <c r="A214" s="6">
        <v>212</v>
      </c>
      <c r="B214" s="7">
        <v>43.029998779296797</v>
      </c>
      <c r="C214" s="5">
        <f t="shared" si="0"/>
        <v>-9.2917349858881058E-4</v>
      </c>
    </row>
    <row r="215" spans="1:3" ht="13.2" x14ac:dyDescent="0.25">
      <c r="A215" s="6">
        <v>213</v>
      </c>
      <c r="B215" s="7">
        <v>41.970001220703097</v>
      </c>
      <c r="C215" s="5">
        <f t="shared" si="0"/>
        <v>-2.4942412051219789E-2</v>
      </c>
    </row>
    <row r="216" spans="1:3" ht="13.2" x14ac:dyDescent="0.25">
      <c r="A216" s="6">
        <v>214</v>
      </c>
      <c r="B216" s="7">
        <v>40.419998168945298</v>
      </c>
      <c r="C216" s="5">
        <f t="shared" si="0"/>
        <v>-3.7630439755869806E-2</v>
      </c>
    </row>
    <row r="217" spans="1:3" ht="13.2" x14ac:dyDescent="0.25">
      <c r="A217" s="6">
        <v>215</v>
      </c>
      <c r="B217" s="7">
        <v>42.080001831054602</v>
      </c>
      <c r="C217" s="5">
        <f t="shared" si="0"/>
        <v>4.0247945268344569E-2</v>
      </c>
    </row>
    <row r="218" spans="1:3" ht="13.2" x14ac:dyDescent="0.25">
      <c r="A218" s="6">
        <v>216</v>
      </c>
      <c r="B218" s="7">
        <v>41.200000762939403</v>
      </c>
      <c r="C218" s="5">
        <f t="shared" si="0"/>
        <v>-2.113433706968126E-2</v>
      </c>
    </row>
    <row r="219" spans="1:3" ht="13.2" x14ac:dyDescent="0.25">
      <c r="A219" s="6">
        <v>217</v>
      </c>
      <c r="B219" s="7">
        <v>40.259998321533203</v>
      </c>
      <c r="C219" s="5">
        <f t="shared" si="0"/>
        <v>-2.3079896352463117E-2</v>
      </c>
    </row>
    <row r="220" spans="1:3" ht="13.2" x14ac:dyDescent="0.25">
      <c r="A220" s="6">
        <v>218</v>
      </c>
      <c r="B220" s="7">
        <v>40.080001831054602</v>
      </c>
      <c r="C220" s="5">
        <f t="shared" si="0"/>
        <v>-4.4808760593606275E-3</v>
      </c>
    </row>
    <row r="221" spans="1:3" ht="13.2" x14ac:dyDescent="0.25">
      <c r="A221" s="6">
        <v>219</v>
      </c>
      <c r="B221" s="7">
        <v>41.189998626708899</v>
      </c>
      <c r="C221" s="5">
        <f t="shared" si="0"/>
        <v>2.7317972645984744E-2</v>
      </c>
    </row>
    <row r="222" spans="1:3" ht="13.2" x14ac:dyDescent="0.25">
      <c r="A222" s="6">
        <v>220</v>
      </c>
      <c r="B222" s="7">
        <v>40.099998474121001</v>
      </c>
      <c r="C222" s="5">
        <f t="shared" si="0"/>
        <v>-2.6819178846910732E-2</v>
      </c>
    </row>
    <row r="223" spans="1:3" ht="13.2" x14ac:dyDescent="0.25">
      <c r="A223" s="6">
        <v>221</v>
      </c>
      <c r="B223" s="7">
        <v>40.959999084472599</v>
      </c>
      <c r="C223" s="5">
        <f t="shared" si="0"/>
        <v>2.1219662118831428E-2</v>
      </c>
    </row>
    <row r="224" spans="1:3" ht="13.2" x14ac:dyDescent="0.25">
      <c r="A224" s="6">
        <v>222</v>
      </c>
      <c r="B224" s="7">
        <v>40.009998321533203</v>
      </c>
      <c r="C224" s="5">
        <f t="shared" si="0"/>
        <v>-2.3466577461548302E-2</v>
      </c>
    </row>
    <row r="225" spans="1:3" ht="13.2" x14ac:dyDescent="0.25">
      <c r="A225" s="6">
        <v>223</v>
      </c>
      <c r="B225" s="7">
        <v>39.630001068115199</v>
      </c>
      <c r="C225" s="5">
        <f t="shared" si="0"/>
        <v>-9.5429467634296564E-3</v>
      </c>
    </row>
    <row r="226" spans="1:3" ht="13.2" x14ac:dyDescent="0.25">
      <c r="A226" s="6">
        <v>224</v>
      </c>
      <c r="B226" s="7">
        <v>40.099998474121001</v>
      </c>
      <c r="C226" s="5">
        <f t="shared" si="0"/>
        <v>1.1789862106146472E-2</v>
      </c>
    </row>
    <row r="227" spans="1:3" ht="13.2" x14ac:dyDescent="0.25">
      <c r="A227" s="6">
        <v>225</v>
      </c>
      <c r="B227" s="7">
        <v>39.919998168945298</v>
      </c>
      <c r="C227" s="5">
        <f t="shared" si="0"/>
        <v>-4.4988906855189829E-3</v>
      </c>
    </row>
    <row r="228" spans="1:3" ht="13.2" x14ac:dyDescent="0.25">
      <c r="A228" s="6">
        <v>226</v>
      </c>
      <c r="B228" s="7">
        <v>38.889999389648402</v>
      </c>
      <c r="C228" s="5">
        <f t="shared" si="0"/>
        <v>-2.6140273101809573E-2</v>
      </c>
    </row>
    <row r="229" spans="1:3" ht="13.2" x14ac:dyDescent="0.25">
      <c r="A229" s="6">
        <v>227</v>
      </c>
      <c r="B229" s="7">
        <v>37.409999847412102</v>
      </c>
      <c r="C229" s="5">
        <f t="shared" si="0"/>
        <v>-3.8799088192093753E-2</v>
      </c>
    </row>
    <row r="230" spans="1:3" ht="13.2" x14ac:dyDescent="0.25">
      <c r="A230" s="6">
        <v>228</v>
      </c>
      <c r="B230" s="7">
        <v>39.090000152587798</v>
      </c>
      <c r="C230" s="5">
        <f t="shared" si="0"/>
        <v>4.3928639427107938E-2</v>
      </c>
    </row>
    <row r="231" spans="1:3" ht="13.2" x14ac:dyDescent="0.25">
      <c r="A231" s="6">
        <v>229</v>
      </c>
      <c r="B231" s="7">
        <v>39.709999084472599</v>
      </c>
      <c r="C231" s="5">
        <f t="shared" si="0"/>
        <v>1.5736338379460649E-2</v>
      </c>
    </row>
    <row r="232" spans="1:3" ht="13.2" x14ac:dyDescent="0.25">
      <c r="A232" s="6">
        <v>230</v>
      </c>
      <c r="B232" s="7">
        <v>39.740001678466797</v>
      </c>
      <c r="C232" s="5">
        <f t="shared" si="0"/>
        <v>7.5525727205148243E-4</v>
      </c>
    </row>
    <row r="233" spans="1:3" ht="13.2" x14ac:dyDescent="0.25">
      <c r="A233" s="6">
        <v>231</v>
      </c>
      <c r="B233" s="7">
        <v>39.380001068115199</v>
      </c>
      <c r="C233" s="5">
        <f t="shared" si="0"/>
        <v>-9.1001790256050562E-3</v>
      </c>
    </row>
    <row r="234" spans="1:3" ht="13.2" x14ac:dyDescent="0.25">
      <c r="A234" s="6">
        <v>232</v>
      </c>
      <c r="B234" s="7">
        <v>39.619998931884702</v>
      </c>
      <c r="C234" s="5">
        <f t="shared" si="0"/>
        <v>6.0759139771415175E-3</v>
      </c>
    </row>
    <row r="235" spans="1:3" ht="13.2" x14ac:dyDescent="0.25">
      <c r="A235" s="6">
        <v>233</v>
      </c>
      <c r="B235" s="7">
        <v>39.900001525878899</v>
      </c>
      <c r="C235" s="5">
        <f t="shared" si="0"/>
        <v>7.0423478269843126E-3</v>
      </c>
    </row>
    <row r="236" spans="1:3" ht="13.2" x14ac:dyDescent="0.25">
      <c r="A236" s="6">
        <v>234</v>
      </c>
      <c r="B236" s="7">
        <v>40.919998168945298</v>
      </c>
      <c r="C236" s="5">
        <f t="shared" si="0"/>
        <v>2.5242534197846452E-2</v>
      </c>
    </row>
    <row r="237" spans="1:3" ht="13.2" x14ac:dyDescent="0.25">
      <c r="A237" s="6">
        <v>235</v>
      </c>
      <c r="B237" s="7">
        <v>41.369998931884702</v>
      </c>
      <c r="C237" s="5">
        <f t="shared" si="0"/>
        <v>1.0937058318481891E-2</v>
      </c>
    </row>
    <row r="238" spans="1:3" ht="13.2" x14ac:dyDescent="0.25">
      <c r="A238" s="6">
        <v>236</v>
      </c>
      <c r="B238" s="7">
        <v>39.310001373291001</v>
      </c>
      <c r="C238" s="5">
        <f t="shared" si="0"/>
        <v>-5.1076980286053765E-2</v>
      </c>
    </row>
    <row r="239" spans="1:3" ht="13.2" x14ac:dyDescent="0.25">
      <c r="A239" s="6">
        <v>237</v>
      </c>
      <c r="B239" s="7">
        <v>38.939998626708899</v>
      </c>
      <c r="C239" s="5">
        <f t="shared" si="0"/>
        <v>-9.4570096914664403E-3</v>
      </c>
    </row>
    <row r="240" spans="1:3" ht="13.2" x14ac:dyDescent="0.25">
      <c r="A240" s="6">
        <v>238</v>
      </c>
      <c r="B240" s="7">
        <v>39.470001220703097</v>
      </c>
      <c r="C240" s="5">
        <f t="shared" si="0"/>
        <v>1.3518955924916353E-2</v>
      </c>
    </row>
    <row r="241" spans="1:3" ht="13.2" x14ac:dyDescent="0.25">
      <c r="A241" s="6">
        <v>239</v>
      </c>
      <c r="B241" s="7">
        <v>39.240001678466797</v>
      </c>
      <c r="C241" s="5">
        <f t="shared" si="0"/>
        <v>-5.8442431305756421E-3</v>
      </c>
    </row>
    <row r="242" spans="1:3" ht="13.2" x14ac:dyDescent="0.25">
      <c r="A242" s="6">
        <v>240</v>
      </c>
      <c r="B242" s="7">
        <v>40.590000152587798</v>
      </c>
      <c r="C242" s="5">
        <f t="shared" si="0"/>
        <v>3.3825057138507753E-2</v>
      </c>
    </row>
    <row r="243" spans="1:3" ht="13.2" x14ac:dyDescent="0.25">
      <c r="A243" s="6">
        <v>241</v>
      </c>
      <c r="B243" s="7">
        <v>41.549999237060497</v>
      </c>
      <c r="C243" s="5">
        <f t="shared" si="0"/>
        <v>2.3375768329443051E-2</v>
      </c>
    </row>
    <row r="244" spans="1:3" ht="13.2" x14ac:dyDescent="0.25">
      <c r="A244" s="6">
        <v>242</v>
      </c>
      <c r="B244" s="7">
        <v>41.549999237060497</v>
      </c>
      <c r="C244" s="5">
        <f t="shared" si="0"/>
        <v>0</v>
      </c>
    </row>
    <row r="245" spans="1:3" ht="13.2" x14ac:dyDescent="0.25">
      <c r="A245" s="6">
        <v>243</v>
      </c>
      <c r="B245" s="7">
        <v>40.590000152587798</v>
      </c>
      <c r="C245" s="5">
        <f t="shared" si="0"/>
        <v>-2.3375768329443092E-2</v>
      </c>
    </row>
    <row r="246" spans="1:3" ht="13.2" x14ac:dyDescent="0.25">
      <c r="A246" s="6">
        <v>244</v>
      </c>
      <c r="B246" s="7">
        <v>40.740001678466797</v>
      </c>
      <c r="C246" s="5">
        <f t="shared" si="0"/>
        <v>3.6887173880859503E-3</v>
      </c>
    </row>
    <row r="247" spans="1:3" ht="13.2" x14ac:dyDescent="0.25">
      <c r="A247" s="6">
        <v>245</v>
      </c>
      <c r="B247" s="7">
        <v>41.349998474121001</v>
      </c>
      <c r="C247" s="5">
        <f t="shared" si="0"/>
        <v>1.486193257001339E-2</v>
      </c>
    </row>
    <row r="248" spans="1:3" ht="13.2" x14ac:dyDescent="0.25">
      <c r="A248" s="6">
        <v>246</v>
      </c>
      <c r="B248" s="7">
        <v>41.25</v>
      </c>
      <c r="C248" s="5">
        <f t="shared" si="0"/>
        <v>-2.4212717874619715E-3</v>
      </c>
    </row>
    <row r="249" spans="1:3" ht="13.2" x14ac:dyDescent="0.25">
      <c r="A249" s="6">
        <v>247</v>
      </c>
      <c r="B249" s="7">
        <v>41.189998626708899</v>
      </c>
      <c r="C249" s="5">
        <f t="shared" si="0"/>
        <v>-1.4556376731017886E-3</v>
      </c>
    </row>
    <row r="250" spans="1:3" ht="13.2" x14ac:dyDescent="0.25">
      <c r="A250" s="6">
        <v>248</v>
      </c>
      <c r="B250" s="7">
        <v>41.189998626708899</v>
      </c>
      <c r="C250" s="5">
        <f t="shared" si="0"/>
        <v>0</v>
      </c>
    </row>
    <row r="251" spans="1:3" ht="13.2" x14ac:dyDescent="0.25">
      <c r="A251" s="6">
        <v>249</v>
      </c>
      <c r="B251" s="7">
        <v>41.400001525878899</v>
      </c>
      <c r="C251" s="5">
        <f t="shared" si="0"/>
        <v>5.0854425806579869E-3</v>
      </c>
    </row>
    <row r="252" spans="1:3" ht="13.2" x14ac:dyDescent="0.25">
      <c r="A252" s="6">
        <v>250</v>
      </c>
      <c r="B252" s="7">
        <v>42.319999694824197</v>
      </c>
      <c r="C252" s="5">
        <f t="shared" si="0"/>
        <v>2.1978862650649175E-2</v>
      </c>
    </row>
    <row r="253" spans="1:3" ht="13.2" x14ac:dyDescent="0.25">
      <c r="A253" s="6">
        <v>251</v>
      </c>
      <c r="B253" s="7">
        <v>41.310001373291001</v>
      </c>
      <c r="C253" s="5">
        <f t="shared" si="0"/>
        <v>-2.4155145686674078E-2</v>
      </c>
    </row>
    <row r="254" spans="1:3" ht="13.2" x14ac:dyDescent="0.25">
      <c r="A254" s="6">
        <v>252</v>
      </c>
      <c r="B254" s="7">
        <v>41.290000915527301</v>
      </c>
      <c r="C254" s="5">
        <f t="shared" si="0"/>
        <v>-4.8427258112272438E-4</v>
      </c>
    </row>
    <row r="255" spans="1:3" ht="13.2" x14ac:dyDescent="0.25">
      <c r="A255" s="6">
        <v>253</v>
      </c>
      <c r="B255" s="7">
        <v>42.400001525878899</v>
      </c>
      <c r="C255" s="5">
        <f t="shared" si="0"/>
        <v>2.6528036154522542E-2</v>
      </c>
    </row>
    <row r="256" spans="1:3" ht="13.2" x14ac:dyDescent="0.25">
      <c r="A256" s="6">
        <v>254</v>
      </c>
      <c r="B256" s="7">
        <v>43.459999084472599</v>
      </c>
      <c r="C256" s="5">
        <f t="shared" si="0"/>
        <v>2.4692555536684216E-2</v>
      </c>
    </row>
    <row r="257" spans="1:3" ht="13.2" x14ac:dyDescent="0.25">
      <c r="A257" s="6">
        <v>255</v>
      </c>
      <c r="B257" s="7">
        <v>42.779998779296797</v>
      </c>
      <c r="C257" s="5">
        <f t="shared" si="0"/>
        <v>-1.5770278642483031E-2</v>
      </c>
    </row>
    <row r="258" spans="1:3" ht="13.2" x14ac:dyDescent="0.25">
      <c r="A258" s="6">
        <v>256</v>
      </c>
      <c r="B258" s="7">
        <v>40.650001525878899</v>
      </c>
      <c r="C258" s="5">
        <f t="shared" si="0"/>
        <v>-5.1071801589007294E-2</v>
      </c>
    </row>
    <row r="259" spans="1:3" ht="13.2" x14ac:dyDescent="0.25">
      <c r="A259" s="6">
        <v>257</v>
      </c>
      <c r="B259" s="7">
        <v>40.990001678466797</v>
      </c>
      <c r="C259" s="5">
        <f t="shared" ref="C259:C513" si="1">LN(B259/B258)</f>
        <v>8.3293019336320301E-3</v>
      </c>
    </row>
    <row r="260" spans="1:3" ht="13.2" x14ac:dyDescent="0.25">
      <c r="A260" s="6">
        <v>258</v>
      </c>
      <c r="B260" s="7">
        <v>41.659999847412102</v>
      </c>
      <c r="C260" s="5">
        <f t="shared" si="1"/>
        <v>1.6213256705683077E-2</v>
      </c>
    </row>
    <row r="261" spans="1:3" ht="13.2" x14ac:dyDescent="0.25">
      <c r="A261" s="6">
        <v>259</v>
      </c>
      <c r="B261" s="7">
        <v>42.049999237060497</v>
      </c>
      <c r="C261" s="5">
        <f t="shared" si="1"/>
        <v>9.3179361051997662E-3</v>
      </c>
    </row>
    <row r="262" spans="1:3" ht="13.2" x14ac:dyDescent="0.25">
      <c r="A262" s="6">
        <v>260</v>
      </c>
      <c r="B262" s="7">
        <v>42.340000152587798</v>
      </c>
      <c r="C262" s="5">
        <f t="shared" si="1"/>
        <v>6.8729010352575814E-3</v>
      </c>
    </row>
    <row r="263" spans="1:3" ht="13.2" x14ac:dyDescent="0.25">
      <c r="A263" s="6">
        <v>261</v>
      </c>
      <c r="B263" s="7">
        <v>41.790000915527301</v>
      </c>
      <c r="C263" s="5">
        <f t="shared" si="1"/>
        <v>-1.3075170942955853E-2</v>
      </c>
    </row>
    <row r="264" spans="1:3" ht="13.2" x14ac:dyDescent="0.25">
      <c r="A264" s="6">
        <v>262</v>
      </c>
      <c r="B264" s="7">
        <v>41.169998168945298</v>
      </c>
      <c r="C264" s="5">
        <f t="shared" si="1"/>
        <v>-1.4947307061279945E-2</v>
      </c>
    </row>
    <row r="265" spans="1:3" ht="13.2" x14ac:dyDescent="0.25">
      <c r="A265" s="6">
        <v>263</v>
      </c>
      <c r="B265" s="7">
        <v>42.939998626708899</v>
      </c>
      <c r="C265" s="5">
        <f t="shared" si="1"/>
        <v>4.2093969162654572E-2</v>
      </c>
    </row>
    <row r="266" spans="1:3" ht="13.2" x14ac:dyDescent="0.25">
      <c r="A266" s="6">
        <v>264</v>
      </c>
      <c r="B266" s="7">
        <v>43.020000457763601</v>
      </c>
      <c r="C266" s="5">
        <f t="shared" si="1"/>
        <v>1.8613740112932886E-3</v>
      </c>
    </row>
    <row r="267" spans="1:3" ht="13.2" x14ac:dyDescent="0.25">
      <c r="A267" s="6">
        <v>265</v>
      </c>
      <c r="B267" s="7">
        <v>43.7299995422363</v>
      </c>
      <c r="C267" s="5">
        <f t="shared" si="1"/>
        <v>1.6369220476573732E-2</v>
      </c>
    </row>
    <row r="268" spans="1:3" ht="13.2" x14ac:dyDescent="0.25">
      <c r="A268" s="6">
        <v>266</v>
      </c>
      <c r="B268" s="7">
        <v>43.490001678466797</v>
      </c>
      <c r="C268" s="5">
        <f t="shared" si="1"/>
        <v>-5.5032897530114333E-3</v>
      </c>
    </row>
    <row r="269" spans="1:3" ht="13.2" x14ac:dyDescent="0.25">
      <c r="A269" s="6">
        <v>267</v>
      </c>
      <c r="B269" s="7">
        <v>45.090000152587798</v>
      </c>
      <c r="C269" s="5">
        <f t="shared" si="1"/>
        <v>3.612943061320243E-2</v>
      </c>
    </row>
    <row r="270" spans="1:3" ht="13.2" x14ac:dyDescent="0.25">
      <c r="A270" s="6">
        <v>268</v>
      </c>
      <c r="B270" s="7">
        <v>44.759998321533203</v>
      </c>
      <c r="C270" s="5">
        <f t="shared" si="1"/>
        <v>-7.3456498725990868E-3</v>
      </c>
    </row>
    <row r="271" spans="1:3" ht="13.2" x14ac:dyDescent="0.25">
      <c r="A271" s="6">
        <v>269</v>
      </c>
      <c r="B271" s="7">
        <v>43.150001525878899</v>
      </c>
      <c r="C271" s="5">
        <f t="shared" si="1"/>
        <v>-3.6632393052829997E-2</v>
      </c>
    </row>
    <row r="272" spans="1:3" ht="13.2" x14ac:dyDescent="0.25">
      <c r="A272" s="6">
        <v>270</v>
      </c>
      <c r="B272" s="7">
        <v>41.909999847412102</v>
      </c>
      <c r="C272" s="5">
        <f t="shared" si="1"/>
        <v>-2.915799459550247E-2</v>
      </c>
    </row>
    <row r="273" spans="1:3" ht="13.2" x14ac:dyDescent="0.25">
      <c r="A273" s="6">
        <v>271</v>
      </c>
      <c r="B273" s="7">
        <v>42.7299995422363</v>
      </c>
      <c r="C273" s="5">
        <f t="shared" si="1"/>
        <v>1.9376780646865582E-2</v>
      </c>
    </row>
    <row r="274" spans="1:3" ht="13.2" x14ac:dyDescent="0.25">
      <c r="A274" s="6">
        <v>272</v>
      </c>
      <c r="B274" s="7">
        <v>42.810001373291001</v>
      </c>
      <c r="C274" s="5">
        <f t="shared" si="1"/>
        <v>1.8705132925988122E-3</v>
      </c>
    </row>
    <row r="275" spans="1:3" ht="13.2" x14ac:dyDescent="0.25">
      <c r="A275" s="6">
        <v>273</v>
      </c>
      <c r="B275" s="7">
        <v>42.5</v>
      </c>
      <c r="C275" s="5">
        <f t="shared" si="1"/>
        <v>-7.2676763052263891E-3</v>
      </c>
    </row>
    <row r="276" spans="1:3" ht="13.2" x14ac:dyDescent="0.25">
      <c r="A276" s="6">
        <v>274</v>
      </c>
      <c r="B276" s="7">
        <v>43</v>
      </c>
      <c r="C276" s="5">
        <f t="shared" si="1"/>
        <v>1.1696039763191236E-2</v>
      </c>
    </row>
    <row r="277" spans="1:3" ht="13.2" x14ac:dyDescent="0.25">
      <c r="A277" s="6">
        <v>275</v>
      </c>
      <c r="B277" s="7">
        <v>43.130001068115199</v>
      </c>
      <c r="C277" s="5">
        <f t="shared" si="1"/>
        <v>3.0187197312065077E-3</v>
      </c>
    </row>
    <row r="278" spans="1:3" ht="13.2" x14ac:dyDescent="0.25">
      <c r="A278" s="6">
        <v>276</v>
      </c>
      <c r="B278" s="7">
        <v>42.759998321533203</v>
      </c>
      <c r="C278" s="5">
        <f t="shared" si="1"/>
        <v>-8.6157885211242541E-3</v>
      </c>
    </row>
    <row r="279" spans="1:3" ht="13.2" x14ac:dyDescent="0.25">
      <c r="A279" s="6">
        <v>277</v>
      </c>
      <c r="B279" s="7">
        <v>42.799999237060497</v>
      </c>
      <c r="C279" s="5">
        <f t="shared" si="1"/>
        <v>9.3503785841703808E-4</v>
      </c>
    </row>
    <row r="280" spans="1:3" ht="13.2" x14ac:dyDescent="0.25">
      <c r="A280" s="6">
        <v>278</v>
      </c>
      <c r="B280" s="7">
        <v>43.819999694824197</v>
      </c>
      <c r="C280" s="5">
        <f t="shared" si="1"/>
        <v>2.355224244095477E-2</v>
      </c>
    </row>
    <row r="281" spans="1:3" ht="13.2" x14ac:dyDescent="0.25">
      <c r="A281" s="6">
        <v>279</v>
      </c>
      <c r="B281" s="7">
        <v>43.459999084472599</v>
      </c>
      <c r="C281" s="5">
        <f t="shared" si="1"/>
        <v>-8.2493734407109234E-3</v>
      </c>
    </row>
    <row r="282" spans="1:3" ht="13.2" x14ac:dyDescent="0.25">
      <c r="A282" s="6">
        <v>280</v>
      </c>
      <c r="B282" s="7">
        <v>43.4799995422363</v>
      </c>
      <c r="C282" s="5">
        <f t="shared" si="1"/>
        <v>4.600979625592172E-4</v>
      </c>
    </row>
    <row r="283" spans="1:3" ht="13.2" x14ac:dyDescent="0.25">
      <c r="A283" s="6">
        <v>281</v>
      </c>
      <c r="B283" s="7">
        <v>42.909999847412102</v>
      </c>
      <c r="C283" s="5">
        <f t="shared" si="1"/>
        <v>-1.3196156277429828E-2</v>
      </c>
    </row>
    <row r="284" spans="1:3" ht="13.2" x14ac:dyDescent="0.25">
      <c r="A284" s="6">
        <v>282</v>
      </c>
      <c r="B284" s="7">
        <v>42.939998626708899</v>
      </c>
      <c r="C284" s="5">
        <f t="shared" si="1"/>
        <v>6.9886502157184057E-4</v>
      </c>
    </row>
    <row r="285" spans="1:3" ht="13.2" x14ac:dyDescent="0.25">
      <c r="A285" s="6">
        <v>283</v>
      </c>
      <c r="B285" s="7">
        <v>42.540000915527301</v>
      </c>
      <c r="C285" s="5">
        <f t="shared" si="1"/>
        <v>-9.3589291753524203E-3</v>
      </c>
    </row>
    <row r="286" spans="1:3" ht="13.2" x14ac:dyDescent="0.25">
      <c r="A286" s="6">
        <v>284</v>
      </c>
      <c r="B286" s="7">
        <v>42.040000915527301</v>
      </c>
      <c r="C286" s="5">
        <f t="shared" si="1"/>
        <v>-1.1823263507375446E-2</v>
      </c>
    </row>
    <row r="287" spans="1:3" ht="13.2" x14ac:dyDescent="0.25">
      <c r="A287" s="6">
        <v>285</v>
      </c>
      <c r="B287" s="7">
        <v>42.040000915527301</v>
      </c>
      <c r="C287" s="5">
        <f t="shared" si="1"/>
        <v>0</v>
      </c>
    </row>
    <row r="288" spans="1:3" ht="13.2" x14ac:dyDescent="0.25">
      <c r="A288" s="6">
        <v>286</v>
      </c>
      <c r="B288" s="7">
        <v>42.919998168945298</v>
      </c>
      <c r="C288" s="5">
        <f t="shared" si="1"/>
        <v>2.0716307314179342E-2</v>
      </c>
    </row>
    <row r="289" spans="1:3" ht="13.2" x14ac:dyDescent="0.25">
      <c r="A289" s="6">
        <v>287</v>
      </c>
      <c r="B289" s="7">
        <v>42.849998474121001</v>
      </c>
      <c r="C289" s="5">
        <f t="shared" si="1"/>
        <v>-1.632265666448193E-3</v>
      </c>
    </row>
    <row r="290" spans="1:3" ht="13.2" x14ac:dyDescent="0.25">
      <c r="A290" s="6">
        <v>288</v>
      </c>
      <c r="B290" s="7">
        <v>43.049999237060497</v>
      </c>
      <c r="C290" s="5">
        <f t="shared" si="1"/>
        <v>4.656603717557879E-3</v>
      </c>
    </row>
    <row r="291" spans="1:3" ht="13.2" x14ac:dyDescent="0.25">
      <c r="A291" s="6">
        <v>289</v>
      </c>
      <c r="B291" s="7">
        <v>43.389999389648402</v>
      </c>
      <c r="C291" s="5">
        <f t="shared" si="1"/>
        <v>7.8667725920495753E-3</v>
      </c>
    </row>
    <row r="292" spans="1:3" ht="13.2" x14ac:dyDescent="0.25">
      <c r="A292" s="6">
        <v>290</v>
      </c>
      <c r="B292" s="7">
        <v>43.029998779296797</v>
      </c>
      <c r="C292" s="5">
        <f t="shared" si="1"/>
        <v>-8.3314672617638419E-3</v>
      </c>
    </row>
    <row r="293" spans="1:3" ht="13.2" x14ac:dyDescent="0.25">
      <c r="A293" s="6">
        <v>291</v>
      </c>
      <c r="B293" s="7">
        <v>41.970001220703097</v>
      </c>
      <c r="C293" s="5">
        <f t="shared" si="1"/>
        <v>-2.4942412051219789E-2</v>
      </c>
    </row>
    <row r="294" spans="1:3" ht="13.2" x14ac:dyDescent="0.25">
      <c r="A294" s="6">
        <v>292</v>
      </c>
      <c r="B294" s="7">
        <v>42.139999389648402</v>
      </c>
      <c r="C294" s="5">
        <f t="shared" si="1"/>
        <v>4.0422874615080231E-3</v>
      </c>
    </row>
    <row r="295" spans="1:3" ht="13.2" x14ac:dyDescent="0.25">
      <c r="A295" s="6">
        <v>293</v>
      </c>
      <c r="B295" s="7">
        <v>43.25</v>
      </c>
      <c r="C295" s="5">
        <f t="shared" si="1"/>
        <v>2.5999839485746606E-2</v>
      </c>
    </row>
    <row r="296" spans="1:3" ht="13.2" x14ac:dyDescent="0.25">
      <c r="A296" s="6">
        <v>294</v>
      </c>
      <c r="B296" s="7">
        <v>42.590000152587798</v>
      </c>
      <c r="C296" s="5">
        <f t="shared" si="1"/>
        <v>-1.5377745860052049E-2</v>
      </c>
    </row>
    <row r="297" spans="1:3" ht="13.2" x14ac:dyDescent="0.25">
      <c r="A297" s="6">
        <v>295</v>
      </c>
      <c r="B297" s="7">
        <v>43.069999694824197</v>
      </c>
      <c r="C297" s="5">
        <f t="shared" si="1"/>
        <v>1.1207204462605881E-2</v>
      </c>
    </row>
    <row r="298" spans="1:3" ht="13.2" x14ac:dyDescent="0.25">
      <c r="A298" s="6">
        <v>296</v>
      </c>
      <c r="B298" s="7">
        <v>43.709999084472599</v>
      </c>
      <c r="C298" s="5">
        <f t="shared" si="1"/>
        <v>1.4750195949290008E-2</v>
      </c>
    </row>
    <row r="299" spans="1:3" ht="13.2" x14ac:dyDescent="0.25">
      <c r="A299" s="6">
        <v>297</v>
      </c>
      <c r="B299" s="7">
        <v>43.209999084472599</v>
      </c>
      <c r="C299" s="5">
        <f t="shared" si="1"/>
        <v>-1.150495917374989E-2</v>
      </c>
    </row>
    <row r="300" spans="1:3" ht="13.2" x14ac:dyDescent="0.25">
      <c r="A300" s="6">
        <v>298</v>
      </c>
      <c r="B300" s="7">
        <v>43.240001678466797</v>
      </c>
      <c r="C300" s="5">
        <f t="shared" si="1"/>
        <v>6.9410283248055253E-4</v>
      </c>
    </row>
    <row r="301" spans="1:3" ht="13.2" x14ac:dyDescent="0.25">
      <c r="A301" s="6">
        <v>299</v>
      </c>
      <c r="B301" s="7">
        <v>42.849998474121001</v>
      </c>
      <c r="C301" s="5">
        <f t="shared" si="1"/>
        <v>-9.060422154452916E-3</v>
      </c>
    </row>
    <row r="302" spans="1:3" ht="13.2" x14ac:dyDescent="0.25">
      <c r="A302" s="6">
        <v>300</v>
      </c>
      <c r="B302" s="7">
        <v>43.049999237060497</v>
      </c>
      <c r="C302" s="5">
        <f t="shared" si="1"/>
        <v>4.656603717557879E-3</v>
      </c>
    </row>
    <row r="303" spans="1:3" ht="13.2" x14ac:dyDescent="0.25">
      <c r="A303" s="6">
        <v>301</v>
      </c>
      <c r="B303" s="7">
        <v>42.919998168945298</v>
      </c>
      <c r="C303" s="5">
        <f t="shared" si="1"/>
        <v>-3.0243380511096119E-3</v>
      </c>
    </row>
    <row r="304" spans="1:3" ht="13.2" x14ac:dyDescent="0.25">
      <c r="A304" s="6">
        <v>302</v>
      </c>
      <c r="B304" s="7">
        <v>43.520000457763601</v>
      </c>
      <c r="C304" s="5">
        <f t="shared" si="1"/>
        <v>1.388273796569405E-2</v>
      </c>
    </row>
    <row r="305" spans="1:3" ht="13.2" x14ac:dyDescent="0.25">
      <c r="A305" s="6">
        <v>303</v>
      </c>
      <c r="B305" s="7">
        <v>43.360000610351499</v>
      </c>
      <c r="C305" s="5">
        <f t="shared" si="1"/>
        <v>-3.6832418583893269E-3</v>
      </c>
    </row>
    <row r="306" spans="1:3" ht="13.2" x14ac:dyDescent="0.25">
      <c r="A306" s="6">
        <v>304</v>
      </c>
      <c r="B306" s="7">
        <v>43.669998168945298</v>
      </c>
      <c r="C306" s="5">
        <f t="shared" si="1"/>
        <v>7.1239543603561417E-3</v>
      </c>
    </row>
    <row r="307" spans="1:3" ht="13.2" x14ac:dyDescent="0.25">
      <c r="A307" s="6">
        <v>305</v>
      </c>
      <c r="B307" s="7">
        <v>43.119998931884702</v>
      </c>
      <c r="C307" s="5">
        <f t="shared" si="1"/>
        <v>-1.2674423738140551E-2</v>
      </c>
    </row>
    <row r="308" spans="1:3" ht="13.2" x14ac:dyDescent="0.25">
      <c r="A308" s="6">
        <v>306</v>
      </c>
      <c r="B308" s="7">
        <v>43.349998474121001</v>
      </c>
      <c r="C308" s="5">
        <f t="shared" si="1"/>
        <v>5.3197661975176586E-3</v>
      </c>
    </row>
    <row r="309" spans="1:3" ht="13.2" x14ac:dyDescent="0.25">
      <c r="A309" s="6">
        <v>307</v>
      </c>
      <c r="B309" s="7">
        <v>42.669998168945298</v>
      </c>
      <c r="C309" s="5">
        <f t="shared" si="1"/>
        <v>-1.5810613739580457E-2</v>
      </c>
    </row>
    <row r="310" spans="1:3" ht="13.2" x14ac:dyDescent="0.25">
      <c r="A310" s="6">
        <v>308</v>
      </c>
      <c r="B310" s="7">
        <v>42.569999694824197</v>
      </c>
      <c r="C310" s="5">
        <f t="shared" si="1"/>
        <v>-2.3462816166543343E-3</v>
      </c>
    </row>
    <row r="311" spans="1:3" ht="13.2" x14ac:dyDescent="0.25">
      <c r="A311" s="6">
        <v>309</v>
      </c>
      <c r="B311" s="7">
        <v>43.2299995422363</v>
      </c>
      <c r="C311" s="5">
        <f t="shared" si="1"/>
        <v>1.5384915419250573E-2</v>
      </c>
    </row>
    <row r="312" spans="1:3" ht="13.2" x14ac:dyDescent="0.25">
      <c r="A312" s="6">
        <v>310</v>
      </c>
      <c r="B312" s="7">
        <v>42.599998474121001</v>
      </c>
      <c r="C312" s="5">
        <f t="shared" si="1"/>
        <v>-1.4680470633943621E-2</v>
      </c>
    </row>
    <row r="313" spans="1:3" ht="13.2" x14ac:dyDescent="0.25">
      <c r="A313" s="6">
        <v>311</v>
      </c>
      <c r="B313" s="7">
        <v>42.9799995422363</v>
      </c>
      <c r="C313" s="5">
        <f t="shared" si="1"/>
        <v>8.8806631071749031E-3</v>
      </c>
    </row>
    <row r="314" spans="1:3" ht="13.2" x14ac:dyDescent="0.25">
      <c r="A314" s="6">
        <v>312</v>
      </c>
      <c r="B314" s="7">
        <v>42.549999237060497</v>
      </c>
      <c r="C314" s="5">
        <f t="shared" si="1"/>
        <v>-1.0055043474783268E-2</v>
      </c>
    </row>
    <row r="315" spans="1:3" ht="13.2" x14ac:dyDescent="0.25">
      <c r="A315" s="6">
        <v>313</v>
      </c>
      <c r="B315" s="7">
        <v>42.159999847412102</v>
      </c>
      <c r="C315" s="5">
        <f t="shared" si="1"/>
        <v>-9.2079364751105047E-3</v>
      </c>
    </row>
    <row r="316" spans="1:3" ht="13.2" x14ac:dyDescent="0.25">
      <c r="A316" s="6">
        <v>314</v>
      </c>
      <c r="B316" s="7">
        <v>42.25</v>
      </c>
      <c r="C316" s="5">
        <f t="shared" si="1"/>
        <v>2.1324531893335006E-3</v>
      </c>
    </row>
    <row r="317" spans="1:3" ht="13.2" x14ac:dyDescent="0.25">
      <c r="A317" s="6">
        <v>315</v>
      </c>
      <c r="B317" s="7">
        <v>41.9799995422363</v>
      </c>
      <c r="C317" s="5">
        <f t="shared" si="1"/>
        <v>-6.4110503150242E-3</v>
      </c>
    </row>
    <row r="318" spans="1:3" ht="13.2" x14ac:dyDescent="0.25">
      <c r="A318" s="6">
        <v>316</v>
      </c>
      <c r="B318" s="7">
        <v>40.4799995422363</v>
      </c>
      <c r="C318" s="5">
        <f t="shared" si="1"/>
        <v>-3.638528981734037E-2</v>
      </c>
    </row>
    <row r="319" spans="1:3" ht="13.2" x14ac:dyDescent="0.25">
      <c r="A319" s="6">
        <v>317</v>
      </c>
      <c r="B319" s="7">
        <v>40.130001068115199</v>
      </c>
      <c r="C319" s="5">
        <f t="shared" si="1"/>
        <v>-8.6838027756164747E-3</v>
      </c>
    </row>
    <row r="320" spans="1:3" ht="13.2" x14ac:dyDescent="0.25">
      <c r="A320" s="6">
        <v>318</v>
      </c>
      <c r="B320" s="7">
        <v>38.520000457763601</v>
      </c>
      <c r="C320" s="5">
        <f t="shared" si="1"/>
        <v>-4.0946612081486741E-2</v>
      </c>
    </row>
    <row r="321" spans="1:3" ht="13.2" x14ac:dyDescent="0.25">
      <c r="A321" s="6">
        <v>319</v>
      </c>
      <c r="B321" s="7">
        <v>40.060001373291001</v>
      </c>
      <c r="C321" s="5">
        <f t="shared" si="1"/>
        <v>3.9200765704810285E-2</v>
      </c>
    </row>
    <row r="322" spans="1:3" ht="13.2" x14ac:dyDescent="0.25">
      <c r="A322" s="6">
        <v>320</v>
      </c>
      <c r="B322" s="7">
        <v>40.150001525878899</v>
      </c>
      <c r="C322" s="5">
        <f t="shared" si="1"/>
        <v>2.2441138787004642E-3</v>
      </c>
    </row>
    <row r="323" spans="1:3" ht="13.2" x14ac:dyDescent="0.25">
      <c r="A323" s="6">
        <v>321</v>
      </c>
      <c r="B323" s="7">
        <v>39.990001678466797</v>
      </c>
      <c r="C323" s="5">
        <f t="shared" si="1"/>
        <v>-3.9930135663366765E-3</v>
      </c>
    </row>
    <row r="324" spans="1:3" ht="13.2" x14ac:dyDescent="0.25">
      <c r="A324" s="6">
        <v>322</v>
      </c>
      <c r="B324" s="7">
        <v>39.549999237060497</v>
      </c>
      <c r="C324" s="5">
        <f t="shared" si="1"/>
        <v>-1.1063789907732135E-2</v>
      </c>
    </row>
    <row r="325" spans="1:3" ht="13.2" x14ac:dyDescent="0.25">
      <c r="A325" s="6">
        <v>323</v>
      </c>
      <c r="B325" s="7">
        <v>39.490001678466797</v>
      </c>
      <c r="C325" s="5">
        <f t="shared" si="1"/>
        <v>-1.5181571210090745E-3</v>
      </c>
    </row>
    <row r="326" spans="1:3" ht="13.2" x14ac:dyDescent="0.25">
      <c r="A326" s="6">
        <v>324</v>
      </c>
      <c r="B326" s="7">
        <v>39.700000762939403</v>
      </c>
      <c r="C326" s="5">
        <f t="shared" si="1"/>
        <v>5.3036891086138578E-3</v>
      </c>
    </row>
    <row r="327" spans="1:3" ht="13.2" x14ac:dyDescent="0.25">
      <c r="A327" s="6">
        <v>325</v>
      </c>
      <c r="B327" s="7">
        <v>39.659999847412102</v>
      </c>
      <c r="C327" s="5">
        <f t="shared" si="1"/>
        <v>-1.0080876665121501E-3</v>
      </c>
    </row>
    <row r="328" spans="1:3" ht="13.2" x14ac:dyDescent="0.25">
      <c r="A328" s="6">
        <v>326</v>
      </c>
      <c r="B328" s="7">
        <v>39.200000762939403</v>
      </c>
      <c r="C328" s="5">
        <f t="shared" si="1"/>
        <v>-1.1666352985092981E-2</v>
      </c>
    </row>
    <row r="329" spans="1:3" ht="13.2" x14ac:dyDescent="0.25">
      <c r="A329" s="6">
        <v>327</v>
      </c>
      <c r="B329" s="7">
        <v>39.159999847412102</v>
      </c>
      <c r="C329" s="5">
        <f t="shared" si="1"/>
        <v>-1.0209524933714133E-3</v>
      </c>
    </row>
    <row r="330" spans="1:3" ht="13.2" x14ac:dyDescent="0.25">
      <c r="A330" s="6">
        <v>328</v>
      </c>
      <c r="B330" s="7">
        <v>39.110000610351499</v>
      </c>
      <c r="C330" s="5">
        <f t="shared" si="1"/>
        <v>-1.2776093923410937E-3</v>
      </c>
    </row>
    <row r="331" spans="1:3" ht="13.2" x14ac:dyDescent="0.25">
      <c r="A331" s="6">
        <v>329</v>
      </c>
      <c r="B331" s="7">
        <v>38.990001678466797</v>
      </c>
      <c r="C331" s="5">
        <f t="shared" si="1"/>
        <v>-3.0729583302907975E-3</v>
      </c>
    </row>
    <row r="332" spans="1:3" ht="13.2" x14ac:dyDescent="0.25">
      <c r="A332" s="6">
        <v>330</v>
      </c>
      <c r="B332" s="7">
        <v>38.860000610351499</v>
      </c>
      <c r="C332" s="5">
        <f t="shared" si="1"/>
        <v>-3.3397863874390196E-3</v>
      </c>
    </row>
    <row r="333" spans="1:3" ht="13.2" x14ac:dyDescent="0.25">
      <c r="A333" s="6">
        <v>331</v>
      </c>
      <c r="B333" s="7">
        <v>38.330001831054602</v>
      </c>
      <c r="C333" s="5">
        <f t="shared" si="1"/>
        <v>-1.3732532492455953E-2</v>
      </c>
    </row>
    <row r="334" spans="1:3" ht="13.2" x14ac:dyDescent="0.25">
      <c r="A334" s="6">
        <v>332</v>
      </c>
      <c r="B334" s="7">
        <v>38.360000610351499</v>
      </c>
      <c r="C334" s="5">
        <f t="shared" si="1"/>
        <v>7.8233876312329843E-4</v>
      </c>
    </row>
    <row r="335" spans="1:3" ht="13.2" x14ac:dyDescent="0.25">
      <c r="A335" s="6">
        <v>333</v>
      </c>
      <c r="B335" s="7">
        <v>37.099998474121001</v>
      </c>
      <c r="C335" s="5">
        <f t="shared" si="1"/>
        <v>-3.3398337441807147E-2</v>
      </c>
    </row>
    <row r="336" spans="1:3" ht="13.2" x14ac:dyDescent="0.25">
      <c r="A336" s="6">
        <v>334</v>
      </c>
      <c r="B336" s="7">
        <v>38.029998779296797</v>
      </c>
      <c r="C336" s="5">
        <f t="shared" si="1"/>
        <v>2.4758361357165443E-2</v>
      </c>
    </row>
    <row r="337" spans="1:3" ht="13.2" x14ac:dyDescent="0.25">
      <c r="A337" s="6">
        <v>335</v>
      </c>
      <c r="B337" s="7">
        <v>38.860000610351499</v>
      </c>
      <c r="C337" s="5">
        <f t="shared" si="1"/>
        <v>2.159016981397428E-2</v>
      </c>
    </row>
    <row r="338" spans="1:3" ht="13.2" x14ac:dyDescent="0.25">
      <c r="A338" s="6">
        <v>336</v>
      </c>
      <c r="B338" s="7">
        <v>38.130001068115199</v>
      </c>
      <c r="C338" s="5">
        <f t="shared" si="1"/>
        <v>-1.8964057773779752E-2</v>
      </c>
    </row>
    <row r="339" spans="1:3" ht="13.2" x14ac:dyDescent="0.25">
      <c r="A339" s="6">
        <v>337</v>
      </c>
      <c r="B339" s="7">
        <v>39.299999237060497</v>
      </c>
      <c r="C339" s="5">
        <f t="shared" si="1"/>
        <v>3.0223097580061888E-2</v>
      </c>
    </row>
    <row r="340" spans="1:3" ht="13.2" x14ac:dyDescent="0.25">
      <c r="A340" s="6">
        <v>338</v>
      </c>
      <c r="B340" s="7">
        <v>39.700000762939403</v>
      </c>
      <c r="C340" s="5">
        <f t="shared" si="1"/>
        <v>1.0126707448765353E-2</v>
      </c>
    </row>
    <row r="341" spans="1:3" ht="13.2" x14ac:dyDescent="0.25">
      <c r="A341" s="6">
        <v>339</v>
      </c>
      <c r="B341" s="7">
        <v>40.590000152587798</v>
      </c>
      <c r="C341" s="5">
        <f t="shared" si="1"/>
        <v>2.2170527699290725E-2</v>
      </c>
    </row>
    <row r="342" spans="1:3" ht="13.2" x14ac:dyDescent="0.25">
      <c r="A342" s="6">
        <v>340</v>
      </c>
      <c r="B342" s="7">
        <v>40.790000915527301</v>
      </c>
      <c r="C342" s="5">
        <f t="shared" si="1"/>
        <v>4.9152411643102658E-3</v>
      </c>
    </row>
    <row r="343" spans="1:3" ht="13.2" x14ac:dyDescent="0.25">
      <c r="A343" s="6">
        <v>341</v>
      </c>
      <c r="B343" s="7">
        <v>40.619998931884702</v>
      </c>
      <c r="C343" s="5">
        <f t="shared" si="1"/>
        <v>-4.1764459174296487E-3</v>
      </c>
    </row>
    <row r="344" spans="1:3" ht="13.2" x14ac:dyDescent="0.25">
      <c r="A344" s="6">
        <v>342</v>
      </c>
      <c r="B344" s="7">
        <v>41.4799995422363</v>
      </c>
      <c r="C344" s="5">
        <f t="shared" si="1"/>
        <v>2.0950842468624404E-2</v>
      </c>
    </row>
    <row r="345" spans="1:3" ht="13.2" x14ac:dyDescent="0.25">
      <c r="A345" s="6">
        <v>343</v>
      </c>
      <c r="B345" s="7">
        <v>41.810001373291001</v>
      </c>
      <c r="C345" s="5">
        <f t="shared" si="1"/>
        <v>7.9242058889093889E-3</v>
      </c>
    </row>
    <row r="346" spans="1:3" ht="13.2" x14ac:dyDescent="0.25">
      <c r="A346" s="6">
        <v>344</v>
      </c>
      <c r="B346" s="7">
        <v>42.369998931884702</v>
      </c>
      <c r="C346" s="5">
        <f t="shared" si="1"/>
        <v>1.3304961214765251E-2</v>
      </c>
    </row>
    <row r="347" spans="1:3" ht="13.2" x14ac:dyDescent="0.25">
      <c r="A347" s="6">
        <v>345</v>
      </c>
      <c r="B347" s="7">
        <v>42.75</v>
      </c>
      <c r="C347" s="5">
        <f t="shared" si="1"/>
        <v>8.9286559535369028E-3</v>
      </c>
    </row>
    <row r="348" spans="1:3" ht="13.2" x14ac:dyDescent="0.25">
      <c r="A348" s="6">
        <v>346</v>
      </c>
      <c r="B348" s="7">
        <v>43.209999084472599</v>
      </c>
      <c r="C348" s="5">
        <f t="shared" si="1"/>
        <v>1.0702733373213003E-2</v>
      </c>
    </row>
    <row r="349" spans="1:3" ht="13.2" x14ac:dyDescent="0.25">
      <c r="A349" s="6">
        <v>347</v>
      </c>
      <c r="B349" s="7">
        <v>43.029998779296797</v>
      </c>
      <c r="C349" s="5">
        <f t="shared" si="1"/>
        <v>-4.174410274128861E-3</v>
      </c>
    </row>
    <row r="350" spans="1:3" ht="13.2" x14ac:dyDescent="0.25">
      <c r="A350" s="6">
        <v>348</v>
      </c>
      <c r="B350" s="7">
        <v>43.909999847412102</v>
      </c>
      <c r="C350" s="5">
        <f t="shared" si="1"/>
        <v>2.0244562616758048E-2</v>
      </c>
    </row>
    <row r="351" spans="1:3" ht="13.2" x14ac:dyDescent="0.25">
      <c r="A351" s="6">
        <v>349</v>
      </c>
      <c r="B351" s="7">
        <v>43.619998931884702</v>
      </c>
      <c r="C351" s="5">
        <f t="shared" si="1"/>
        <v>-6.6263448119534838E-3</v>
      </c>
    </row>
    <row r="352" spans="1:3" ht="13.2" x14ac:dyDescent="0.25">
      <c r="A352" s="6">
        <v>350</v>
      </c>
      <c r="B352" s="7">
        <v>43.580001831054602</v>
      </c>
      <c r="C352" s="5">
        <f t="shared" si="1"/>
        <v>-9.1736475424640453E-4</v>
      </c>
    </row>
    <row r="353" spans="1:3" ht="13.2" x14ac:dyDescent="0.25">
      <c r="A353" s="6">
        <v>351</v>
      </c>
      <c r="B353" s="7">
        <v>42.919998168945298</v>
      </c>
      <c r="C353" s="5">
        <f t="shared" si="1"/>
        <v>-1.5260496431953418E-2</v>
      </c>
    </row>
    <row r="354" spans="1:3" ht="13.2" x14ac:dyDescent="0.25">
      <c r="A354" s="6">
        <v>352</v>
      </c>
      <c r="B354" s="7">
        <v>42.130001068115199</v>
      </c>
      <c r="C354" s="5">
        <f t="shared" si="1"/>
        <v>-1.8577773756692052E-2</v>
      </c>
    </row>
    <row r="355" spans="1:3" ht="13.2" x14ac:dyDescent="0.25">
      <c r="A355" s="6">
        <v>353</v>
      </c>
      <c r="B355" s="7">
        <v>42.529998779296797</v>
      </c>
      <c r="C355" s="5">
        <f t="shared" si="1"/>
        <v>9.4495792196078593E-3</v>
      </c>
    </row>
    <row r="356" spans="1:3" ht="13.2" x14ac:dyDescent="0.25">
      <c r="A356" s="6">
        <v>354</v>
      </c>
      <c r="B356" s="7">
        <v>43.259998321533203</v>
      </c>
      <c r="C356" s="5">
        <f t="shared" si="1"/>
        <v>1.7018701162028388E-2</v>
      </c>
    </row>
    <row r="357" spans="1:3" ht="13.2" x14ac:dyDescent="0.25">
      <c r="A357" s="6">
        <v>355</v>
      </c>
      <c r="B357" s="7">
        <v>43.119998931884702</v>
      </c>
      <c r="C357" s="5">
        <f t="shared" si="1"/>
        <v>-3.2414798954236521E-3</v>
      </c>
    </row>
    <row r="358" spans="1:3" ht="13.2" x14ac:dyDescent="0.25">
      <c r="A358" s="6">
        <v>356</v>
      </c>
      <c r="B358" s="7">
        <v>42.709999084472599</v>
      </c>
      <c r="C358" s="5">
        <f t="shared" si="1"/>
        <v>-9.5538384125062256E-3</v>
      </c>
    </row>
    <row r="359" spans="1:3" ht="13.2" x14ac:dyDescent="0.25">
      <c r="A359" s="6">
        <v>357</v>
      </c>
      <c r="B359" s="7">
        <v>44.220001220703097</v>
      </c>
      <c r="C359" s="5">
        <f t="shared" si="1"/>
        <v>3.4744139617053728E-2</v>
      </c>
    </row>
    <row r="360" spans="1:3" ht="13.2" x14ac:dyDescent="0.25">
      <c r="A360" s="6">
        <v>358</v>
      </c>
      <c r="B360" s="7">
        <v>42.889999389648402</v>
      </c>
      <c r="C360" s="5">
        <f t="shared" si="1"/>
        <v>-3.0538518736364054E-2</v>
      </c>
    </row>
    <row r="361" spans="1:3" ht="13.2" x14ac:dyDescent="0.25">
      <c r="A361" s="6">
        <v>359</v>
      </c>
      <c r="B361" s="7">
        <v>42.900001525878899</v>
      </c>
      <c r="C361" s="5">
        <f t="shared" si="1"/>
        <v>2.3317720408161976E-4</v>
      </c>
    </row>
    <row r="362" spans="1:3" ht="13.2" x14ac:dyDescent="0.25">
      <c r="A362" s="6">
        <v>360</v>
      </c>
      <c r="B362" s="7">
        <v>43.049999237060497</v>
      </c>
      <c r="C362" s="5">
        <f t="shared" si="1"/>
        <v>3.4903516493243573E-3</v>
      </c>
    </row>
    <row r="363" spans="1:3" ht="13.2" x14ac:dyDescent="0.25">
      <c r="A363" s="6">
        <v>361</v>
      </c>
      <c r="B363" s="7">
        <v>42.580001831054602</v>
      </c>
      <c r="C363" s="5">
        <f t="shared" si="1"/>
        <v>-1.0977510683543783E-2</v>
      </c>
    </row>
    <row r="364" spans="1:3" ht="13.2" x14ac:dyDescent="0.25">
      <c r="A364" s="6">
        <v>362</v>
      </c>
      <c r="B364" s="7">
        <v>42.439998626708899</v>
      </c>
      <c r="C364" s="5">
        <f t="shared" si="1"/>
        <v>-3.2934210806563309E-3</v>
      </c>
    </row>
    <row r="365" spans="1:3" ht="13.2" x14ac:dyDescent="0.25">
      <c r="A365" s="6">
        <v>363</v>
      </c>
      <c r="B365" s="7">
        <v>42.139999389648402</v>
      </c>
      <c r="C365" s="5">
        <f t="shared" si="1"/>
        <v>-7.0938874952260131E-3</v>
      </c>
    </row>
    <row r="366" spans="1:3" ht="13.2" x14ac:dyDescent="0.25">
      <c r="A366" s="6">
        <v>364</v>
      </c>
      <c r="B366" s="7">
        <v>42.090000152587798</v>
      </c>
      <c r="C366" s="5">
        <f t="shared" si="1"/>
        <v>-1.1872074843880065E-3</v>
      </c>
    </row>
    <row r="367" spans="1:3" ht="13.2" x14ac:dyDescent="0.25">
      <c r="A367" s="6">
        <v>365</v>
      </c>
      <c r="B367" s="7">
        <v>41.919998168945298</v>
      </c>
      <c r="C367" s="5">
        <f t="shared" si="1"/>
        <v>-4.0471900747078623E-3</v>
      </c>
    </row>
    <row r="368" spans="1:3" ht="13.2" x14ac:dyDescent="0.25">
      <c r="A368" s="6">
        <v>366</v>
      </c>
      <c r="B368" s="7">
        <v>41.599998474121001</v>
      </c>
      <c r="C368" s="5">
        <f t="shared" si="1"/>
        <v>-7.6628657456124646E-3</v>
      </c>
    </row>
    <row r="369" spans="1:3" ht="13.2" x14ac:dyDescent="0.25">
      <c r="A369" s="6">
        <v>367</v>
      </c>
      <c r="B369" s="7">
        <v>41.869998931884702</v>
      </c>
      <c r="C369" s="5">
        <f t="shared" si="1"/>
        <v>6.4694239333413749E-3</v>
      </c>
    </row>
    <row r="370" spans="1:3" ht="13.2" x14ac:dyDescent="0.25">
      <c r="A370" s="6">
        <v>368</v>
      </c>
      <c r="B370" s="7">
        <v>41.880001068115199</v>
      </c>
      <c r="C370" s="5">
        <f t="shared" si="1"/>
        <v>2.3885698574461733E-4</v>
      </c>
    </row>
    <row r="371" spans="1:3" ht="13.2" x14ac:dyDescent="0.25">
      <c r="A371" s="6">
        <v>369</v>
      </c>
      <c r="B371" s="7">
        <v>41.680000305175703</v>
      </c>
      <c r="C371" s="5">
        <f t="shared" si="1"/>
        <v>-4.7870067395338169E-3</v>
      </c>
    </row>
    <row r="372" spans="1:3" ht="13.2" x14ac:dyDescent="0.25">
      <c r="A372" s="6">
        <v>370</v>
      </c>
      <c r="B372" s="7">
        <v>41.040000915527301</v>
      </c>
      <c r="C372" s="5">
        <f t="shared" si="1"/>
        <v>-1.5474181596301328E-2</v>
      </c>
    </row>
    <row r="373" spans="1:3" ht="13.2" x14ac:dyDescent="0.25">
      <c r="A373" s="6">
        <v>371</v>
      </c>
      <c r="B373" s="7">
        <v>41.799999237060497</v>
      </c>
      <c r="C373" s="5">
        <f t="shared" si="1"/>
        <v>1.8349098107885264E-2</v>
      </c>
    </row>
    <row r="374" spans="1:3" ht="13.2" x14ac:dyDescent="0.25">
      <c r="A374" s="6">
        <v>372</v>
      </c>
      <c r="B374" s="7">
        <v>42.2299995422363</v>
      </c>
      <c r="C374" s="5">
        <f t="shared" si="1"/>
        <v>1.0234536827507863E-2</v>
      </c>
    </row>
    <row r="375" spans="1:3" ht="13.2" x14ac:dyDescent="0.25">
      <c r="A375" s="6">
        <v>373</v>
      </c>
      <c r="B375" s="7">
        <v>42.619998931884702</v>
      </c>
      <c r="C375" s="5">
        <f t="shared" si="1"/>
        <v>9.1927435030306065E-3</v>
      </c>
    </row>
    <row r="376" spans="1:3" ht="13.2" x14ac:dyDescent="0.25">
      <c r="A376" s="6">
        <v>374</v>
      </c>
      <c r="B376" s="7">
        <v>42.040000915527301</v>
      </c>
      <c r="C376" s="5">
        <f t="shared" si="1"/>
        <v>-1.3702033822828875E-2</v>
      </c>
    </row>
    <row r="377" spans="1:3" ht="13.2" x14ac:dyDescent="0.25">
      <c r="A377" s="6">
        <v>375</v>
      </c>
      <c r="B377" s="7">
        <v>41.669998168945298</v>
      </c>
      <c r="C377" s="5">
        <f t="shared" si="1"/>
        <v>-8.8401662937151008E-3</v>
      </c>
    </row>
    <row r="378" spans="1:3" ht="13.2" x14ac:dyDescent="0.25">
      <c r="A378" s="6">
        <v>376</v>
      </c>
      <c r="B378" s="7">
        <v>40.939998626708899</v>
      </c>
      <c r="C378" s="5">
        <f t="shared" si="1"/>
        <v>-1.7673854803414366E-2</v>
      </c>
    </row>
    <row r="379" spans="1:3" ht="13.2" x14ac:dyDescent="0.25">
      <c r="A379" s="6">
        <v>377</v>
      </c>
      <c r="B379" s="7">
        <v>41.279998779296797</v>
      </c>
      <c r="C379" s="5">
        <f t="shared" si="1"/>
        <v>8.2705449128589858E-3</v>
      </c>
    </row>
    <row r="380" spans="1:3" ht="13.2" x14ac:dyDescent="0.25">
      <c r="A380" s="6">
        <v>378</v>
      </c>
      <c r="B380" s="7">
        <v>41.830001831054602</v>
      </c>
      <c r="C380" s="5">
        <f t="shared" si="1"/>
        <v>1.3235737625815312E-2</v>
      </c>
    </row>
    <row r="381" spans="1:3" ht="13.2" x14ac:dyDescent="0.25">
      <c r="A381" s="6">
        <v>379</v>
      </c>
      <c r="B381" s="7">
        <v>40.540000915527301</v>
      </c>
      <c r="C381" s="5">
        <f t="shared" si="1"/>
        <v>-3.132466562066194E-2</v>
      </c>
    </row>
    <row r="382" spans="1:3" ht="13.2" x14ac:dyDescent="0.25">
      <c r="A382" s="6">
        <v>380</v>
      </c>
      <c r="B382" s="7">
        <v>41.119998931884702</v>
      </c>
      <c r="C382" s="5">
        <f t="shared" si="1"/>
        <v>1.4205431564181199E-2</v>
      </c>
    </row>
    <row r="383" spans="1:3" ht="13.2" x14ac:dyDescent="0.25">
      <c r="A383" s="6">
        <v>381</v>
      </c>
      <c r="B383" s="7">
        <v>41.209999084472599</v>
      </c>
      <c r="C383" s="5">
        <f t="shared" si="1"/>
        <v>2.1863279632364121E-3</v>
      </c>
    </row>
    <row r="384" spans="1:3" ht="13.2" x14ac:dyDescent="0.25">
      <c r="A384" s="6">
        <v>382</v>
      </c>
      <c r="B384" s="7">
        <v>40.930000305175703</v>
      </c>
      <c r="C384" s="5">
        <f t="shared" si="1"/>
        <v>-6.817625174227902E-3</v>
      </c>
    </row>
    <row r="385" spans="1:3" ht="13.2" x14ac:dyDescent="0.25">
      <c r="A385" s="6">
        <v>383</v>
      </c>
      <c r="B385" s="7">
        <v>41.029998779296797</v>
      </c>
      <c r="C385" s="5">
        <f t="shared" si="1"/>
        <v>2.4401787422634776E-3</v>
      </c>
    </row>
    <row r="386" spans="1:3" ht="13.2" x14ac:dyDescent="0.25">
      <c r="A386" s="6">
        <v>384</v>
      </c>
      <c r="B386" s="7">
        <v>41.099998474121001</v>
      </c>
      <c r="C386" s="5">
        <f t="shared" si="1"/>
        <v>1.7046076735637028E-3</v>
      </c>
    </row>
    <row r="387" spans="1:3" ht="13.2" x14ac:dyDescent="0.25">
      <c r="A387" s="6">
        <v>385</v>
      </c>
      <c r="B387" s="7">
        <v>40.650001525878899</v>
      </c>
      <c r="C387" s="5">
        <f t="shared" si="1"/>
        <v>-1.1009210845363377E-2</v>
      </c>
    </row>
    <row r="388" spans="1:3" ht="13.2" x14ac:dyDescent="0.25">
      <c r="A388" s="6">
        <v>386</v>
      </c>
      <c r="B388" s="7">
        <v>40.509998321533203</v>
      </c>
      <c r="C388" s="5">
        <f t="shared" si="1"/>
        <v>-3.4500577496110025E-3</v>
      </c>
    </row>
    <row r="389" spans="1:3" ht="13.2" x14ac:dyDescent="0.25">
      <c r="A389" s="6">
        <v>387</v>
      </c>
      <c r="B389" s="7">
        <v>40.5</v>
      </c>
      <c r="C389" s="5">
        <f t="shared" si="1"/>
        <v>-2.4684166871075282E-4</v>
      </c>
    </row>
    <row r="390" spans="1:3" ht="13.2" x14ac:dyDescent="0.25">
      <c r="A390" s="6">
        <v>388</v>
      </c>
      <c r="B390" s="7">
        <v>39.779998779296797</v>
      </c>
      <c r="C390" s="5">
        <f t="shared" si="1"/>
        <v>-1.793773137302283E-2</v>
      </c>
    </row>
    <row r="391" spans="1:3" ht="13.2" x14ac:dyDescent="0.25">
      <c r="A391" s="6">
        <v>389</v>
      </c>
      <c r="B391" s="7">
        <v>39.009998321533203</v>
      </c>
      <c r="C391" s="5">
        <f t="shared" si="1"/>
        <v>-1.9546262247484184E-2</v>
      </c>
    </row>
    <row r="392" spans="1:3" ht="13.2" x14ac:dyDescent="0.25">
      <c r="A392" s="6">
        <v>390</v>
      </c>
      <c r="B392" s="7">
        <v>39.5</v>
      </c>
      <c r="C392" s="5">
        <f t="shared" si="1"/>
        <v>1.2482691415089628E-2</v>
      </c>
    </row>
    <row r="393" spans="1:3" ht="13.2" x14ac:dyDescent="0.25">
      <c r="A393" s="6">
        <v>391</v>
      </c>
      <c r="B393" s="7">
        <v>39.900001525878899</v>
      </c>
      <c r="C393" s="5">
        <f t="shared" si="1"/>
        <v>1.0075690231319833E-2</v>
      </c>
    </row>
    <row r="394" spans="1:3" ht="13.2" x14ac:dyDescent="0.25">
      <c r="A394" s="6">
        <v>392</v>
      </c>
      <c r="B394" s="7">
        <v>40.029998779296797</v>
      </c>
      <c r="C394" s="5">
        <f t="shared" si="1"/>
        <v>3.252780371376681E-3</v>
      </c>
    </row>
    <row r="395" spans="1:3" ht="13.2" x14ac:dyDescent="0.25">
      <c r="A395" s="6">
        <v>393</v>
      </c>
      <c r="B395" s="7">
        <v>40.790000915527301</v>
      </c>
      <c r="C395" s="5">
        <f t="shared" si="1"/>
        <v>1.8807833264590037E-2</v>
      </c>
    </row>
    <row r="396" spans="1:3" ht="13.2" x14ac:dyDescent="0.25">
      <c r="A396" s="6">
        <v>394</v>
      </c>
      <c r="B396" s="7">
        <v>40.020000457763601</v>
      </c>
      <c r="C396" s="5">
        <f t="shared" si="1"/>
        <v>-1.9057635180404511E-2</v>
      </c>
    </row>
    <row r="397" spans="1:3" ht="13.2" x14ac:dyDescent="0.25">
      <c r="A397" s="6">
        <v>395</v>
      </c>
      <c r="B397" s="7">
        <v>40.5</v>
      </c>
      <c r="C397" s="5">
        <f t="shared" si="1"/>
        <v>1.1922633518535255E-2</v>
      </c>
    </row>
    <row r="398" spans="1:3" ht="13.2" x14ac:dyDescent="0.25">
      <c r="A398" s="6">
        <v>396</v>
      </c>
      <c r="B398" s="7">
        <v>41.25</v>
      </c>
      <c r="C398" s="5">
        <f t="shared" si="1"/>
        <v>1.8349138668196617E-2</v>
      </c>
    </row>
    <row r="399" spans="1:3" ht="13.2" x14ac:dyDescent="0.25">
      <c r="A399" s="6">
        <v>397</v>
      </c>
      <c r="B399" s="7">
        <v>42.549999237060497</v>
      </c>
      <c r="C399" s="5">
        <f t="shared" si="1"/>
        <v>3.1028724308269844E-2</v>
      </c>
    </row>
    <row r="400" spans="1:3" ht="13.2" x14ac:dyDescent="0.25">
      <c r="A400" s="6">
        <v>398</v>
      </c>
      <c r="B400" s="7">
        <v>43.240001678466797</v>
      </c>
      <c r="C400" s="5">
        <f t="shared" si="1"/>
        <v>1.6086194499502778E-2</v>
      </c>
    </row>
    <row r="401" spans="1:3" ht="13.2" x14ac:dyDescent="0.25">
      <c r="A401" s="6">
        <v>399</v>
      </c>
      <c r="B401" s="7">
        <v>43.290000915527301</v>
      </c>
      <c r="C401" s="5">
        <f t="shared" si="1"/>
        <v>1.1556510141280867E-3</v>
      </c>
    </row>
    <row r="402" spans="1:3" ht="13.2" x14ac:dyDescent="0.25">
      <c r="A402" s="6">
        <v>400</v>
      </c>
      <c r="B402" s="7">
        <v>43.849998474121001</v>
      </c>
      <c r="C402" s="5">
        <f t="shared" si="1"/>
        <v>1.2853001417904058E-2</v>
      </c>
    </row>
    <row r="403" spans="1:3" ht="13.2" x14ac:dyDescent="0.25">
      <c r="A403" s="6">
        <v>401</v>
      </c>
      <c r="B403" s="7">
        <v>43.560001373291001</v>
      </c>
      <c r="C403" s="5">
        <f t="shared" si="1"/>
        <v>-6.635354429312226E-3</v>
      </c>
    </row>
    <row r="404" spans="1:3" ht="13.2" x14ac:dyDescent="0.25">
      <c r="A404" s="6">
        <v>402</v>
      </c>
      <c r="B404" s="7">
        <v>43.689998626708899</v>
      </c>
      <c r="C404" s="5">
        <f t="shared" si="1"/>
        <v>2.9798819395429527E-3</v>
      </c>
    </row>
    <row r="405" spans="1:3" ht="13.2" x14ac:dyDescent="0.25">
      <c r="A405" s="6">
        <v>403</v>
      </c>
      <c r="B405" s="7">
        <v>44.200000762939403</v>
      </c>
      <c r="C405" s="5">
        <f t="shared" si="1"/>
        <v>1.1605594813999131E-2</v>
      </c>
    </row>
    <row r="406" spans="1:3" ht="13.2" x14ac:dyDescent="0.25">
      <c r="A406" s="6">
        <v>404</v>
      </c>
      <c r="B406" s="7">
        <v>43.75</v>
      </c>
      <c r="C406" s="5">
        <f t="shared" si="1"/>
        <v>-1.0233193541101384E-2</v>
      </c>
    </row>
    <row r="407" spans="1:3" ht="13.2" x14ac:dyDescent="0.25">
      <c r="A407" s="6">
        <v>405</v>
      </c>
      <c r="B407" s="7">
        <v>44.259998321533203</v>
      </c>
      <c r="C407" s="5">
        <f t="shared" si="1"/>
        <v>1.1589683896396648E-2</v>
      </c>
    </row>
    <row r="408" spans="1:3" ht="13.2" x14ac:dyDescent="0.25">
      <c r="A408" s="6">
        <v>406</v>
      </c>
      <c r="B408" s="7">
        <v>45.270000457763601</v>
      </c>
      <c r="C408" s="5">
        <f t="shared" si="1"/>
        <v>2.2563274859700465E-2</v>
      </c>
    </row>
    <row r="409" spans="1:3" ht="13.2" x14ac:dyDescent="0.25">
      <c r="A409" s="6">
        <v>407</v>
      </c>
      <c r="B409" s="7">
        <v>45.25</v>
      </c>
      <c r="C409" s="5">
        <f t="shared" si="1"/>
        <v>-4.4190141378539405E-4</v>
      </c>
    </row>
    <row r="410" spans="1:3" ht="13.2" x14ac:dyDescent="0.25">
      <c r="A410" s="6">
        <v>408</v>
      </c>
      <c r="B410" s="7">
        <v>44.740001678466797</v>
      </c>
      <c r="C410" s="5">
        <f t="shared" si="1"/>
        <v>-1.1334676567930899E-2</v>
      </c>
    </row>
    <row r="411" spans="1:3" ht="13.2" x14ac:dyDescent="0.25">
      <c r="A411" s="6">
        <v>409</v>
      </c>
      <c r="B411" s="7">
        <v>44.5</v>
      </c>
      <c r="C411" s="5">
        <f t="shared" si="1"/>
        <v>-5.3788044058097279E-3</v>
      </c>
    </row>
    <row r="412" spans="1:3" ht="13.2" x14ac:dyDescent="0.25">
      <c r="A412" s="6">
        <v>410</v>
      </c>
      <c r="B412" s="7">
        <v>44.630001068115199</v>
      </c>
      <c r="C412" s="5">
        <f t="shared" si="1"/>
        <v>2.9171134016567784E-3</v>
      </c>
    </row>
    <row r="413" spans="1:3" ht="13.2" x14ac:dyDescent="0.25">
      <c r="A413" s="6">
        <v>411</v>
      </c>
      <c r="B413" s="7">
        <v>44.810001373291001</v>
      </c>
      <c r="C413" s="5">
        <f t="shared" si="1"/>
        <v>4.0250568711759265E-3</v>
      </c>
    </row>
    <row r="414" spans="1:3" ht="13.2" x14ac:dyDescent="0.25">
      <c r="A414" s="6">
        <v>412</v>
      </c>
      <c r="B414" s="7">
        <v>44.880001068115199</v>
      </c>
      <c r="C414" s="5">
        <f t="shared" si="1"/>
        <v>1.5609255687714246E-3</v>
      </c>
    </row>
    <row r="415" spans="1:3" ht="13.2" x14ac:dyDescent="0.25">
      <c r="A415" s="6">
        <v>413</v>
      </c>
      <c r="B415" s="7">
        <v>44.020000457763601</v>
      </c>
      <c r="C415" s="5">
        <f t="shared" si="1"/>
        <v>-1.9348198516491888E-2</v>
      </c>
    </row>
    <row r="416" spans="1:3" ht="13.2" x14ac:dyDescent="0.25">
      <c r="A416" s="6">
        <v>414</v>
      </c>
      <c r="B416" s="7">
        <v>44.169998168945298</v>
      </c>
      <c r="C416" s="5">
        <f t="shared" si="1"/>
        <v>3.4016976564136877E-3</v>
      </c>
    </row>
    <row r="417" spans="1:3" ht="13.2" x14ac:dyDescent="0.25">
      <c r="A417" s="6">
        <v>415</v>
      </c>
      <c r="B417" s="7">
        <v>43.810001373291001</v>
      </c>
      <c r="C417" s="5">
        <f t="shared" si="1"/>
        <v>-8.1836509813948861E-3</v>
      </c>
    </row>
    <row r="418" spans="1:3" ht="13.2" x14ac:dyDescent="0.25">
      <c r="A418" s="6">
        <v>416</v>
      </c>
      <c r="B418" s="7">
        <v>43.840000152587798</v>
      </c>
      <c r="C418" s="5">
        <f t="shared" si="1"/>
        <v>6.8451294799551409E-4</v>
      </c>
    </row>
    <row r="419" spans="1:3" ht="13.2" x14ac:dyDescent="0.25">
      <c r="A419" s="6">
        <v>417</v>
      </c>
      <c r="B419" s="7">
        <v>43.419998168945298</v>
      </c>
      <c r="C419" s="5">
        <f t="shared" si="1"/>
        <v>-9.6265238409432817E-3</v>
      </c>
    </row>
    <row r="420" spans="1:3" ht="13.2" x14ac:dyDescent="0.25">
      <c r="A420" s="6">
        <v>418</v>
      </c>
      <c r="B420" s="7">
        <v>43.939998626708899</v>
      </c>
      <c r="C420" s="5">
        <f t="shared" si="1"/>
        <v>1.1904913423305656E-2</v>
      </c>
    </row>
    <row r="421" spans="1:3" ht="13.2" x14ac:dyDescent="0.25">
      <c r="A421" s="6">
        <v>419</v>
      </c>
      <c r="B421" s="7">
        <v>43.830001831054602</v>
      </c>
      <c r="C421" s="5">
        <f t="shared" si="1"/>
        <v>-2.5064794956808139E-3</v>
      </c>
    </row>
    <row r="422" spans="1:3" ht="13.2" x14ac:dyDescent="0.25">
      <c r="A422" s="6">
        <v>420</v>
      </c>
      <c r="B422" s="7">
        <v>43.650001525878899</v>
      </c>
      <c r="C422" s="5">
        <f t="shared" si="1"/>
        <v>-4.1152389642580521E-3</v>
      </c>
    </row>
    <row r="423" spans="1:3" ht="13.2" x14ac:dyDescent="0.25">
      <c r="A423" s="6">
        <v>421</v>
      </c>
      <c r="B423" s="7">
        <v>43.659999847412102</v>
      </c>
      <c r="C423" s="5">
        <f t="shared" si="1"/>
        <v>2.2903038414033577E-4</v>
      </c>
    </row>
    <row r="424" spans="1:3" ht="13.2" x14ac:dyDescent="0.25">
      <c r="A424" s="6">
        <v>422</v>
      </c>
      <c r="B424" s="7">
        <v>43.889999389648402</v>
      </c>
      <c r="C424" s="5">
        <f t="shared" si="1"/>
        <v>5.2541421668643564E-3</v>
      </c>
    </row>
    <row r="425" spans="1:3" ht="13.2" x14ac:dyDescent="0.25">
      <c r="A425" s="6">
        <v>423</v>
      </c>
      <c r="B425" s="7">
        <v>43.770000457763601</v>
      </c>
      <c r="C425" s="5">
        <f t="shared" si="1"/>
        <v>-2.7378281325583461E-3</v>
      </c>
    </row>
    <row r="426" spans="1:3" ht="13.2" x14ac:dyDescent="0.25">
      <c r="A426" s="6">
        <v>424</v>
      </c>
      <c r="B426" s="7">
        <v>43.380001068115199</v>
      </c>
      <c r="C426" s="5">
        <f t="shared" si="1"/>
        <v>-8.9501316401669802E-3</v>
      </c>
    </row>
    <row r="427" spans="1:3" ht="13.2" x14ac:dyDescent="0.25">
      <c r="A427" s="6">
        <v>425</v>
      </c>
      <c r="B427" s="7">
        <v>43.810001373291001</v>
      </c>
      <c r="C427" s="5">
        <f t="shared" si="1"/>
        <v>9.8636031513018186E-3</v>
      </c>
    </row>
    <row r="428" spans="1:3" ht="13.2" x14ac:dyDescent="0.25">
      <c r="A428" s="6">
        <v>426</v>
      </c>
      <c r="B428" s="7">
        <v>43.639999389648402</v>
      </c>
      <c r="C428" s="5">
        <f t="shared" si="1"/>
        <v>-3.8879861935142875E-3</v>
      </c>
    </row>
    <row r="429" spans="1:3" ht="13.2" x14ac:dyDescent="0.25">
      <c r="A429" s="6">
        <v>427</v>
      </c>
      <c r="B429" s="7">
        <v>45.189998626708899</v>
      </c>
      <c r="C429" s="5">
        <f t="shared" si="1"/>
        <v>3.4901646055106789E-2</v>
      </c>
    </row>
    <row r="430" spans="1:3" ht="13.2" x14ac:dyDescent="0.25">
      <c r="A430" s="6">
        <v>428</v>
      </c>
      <c r="B430" s="7">
        <v>44.360000610351499</v>
      </c>
      <c r="C430" s="5">
        <f t="shared" si="1"/>
        <v>-1.853761679270095E-2</v>
      </c>
    </row>
    <row r="431" spans="1:3" ht="13.2" x14ac:dyDescent="0.25">
      <c r="A431" s="6">
        <v>429</v>
      </c>
      <c r="B431" s="7">
        <v>45.130001068115199</v>
      </c>
      <c r="C431" s="5">
        <f t="shared" si="1"/>
        <v>1.7209061265212825E-2</v>
      </c>
    </row>
    <row r="432" spans="1:3" ht="13.2" x14ac:dyDescent="0.25">
      <c r="A432" s="6">
        <v>430</v>
      </c>
      <c r="B432" s="7">
        <v>44.619998931884702</v>
      </c>
      <c r="C432" s="5">
        <f t="shared" si="1"/>
        <v>-1.1365072440082759E-2</v>
      </c>
    </row>
    <row r="433" spans="1:3" ht="13.2" x14ac:dyDescent="0.25">
      <c r="A433" s="6">
        <v>431</v>
      </c>
      <c r="B433" s="7">
        <v>44.240001678466797</v>
      </c>
      <c r="C433" s="5">
        <f t="shared" si="1"/>
        <v>-8.552769912241482E-3</v>
      </c>
    </row>
    <row r="434" spans="1:3" ht="13.2" x14ac:dyDescent="0.25">
      <c r="A434" s="6">
        <v>432</v>
      </c>
      <c r="B434" s="7">
        <v>43.619998931884702</v>
      </c>
      <c r="C434" s="5">
        <f t="shared" si="1"/>
        <v>-1.4113658867447755E-2</v>
      </c>
    </row>
    <row r="435" spans="1:3" ht="13.2" x14ac:dyDescent="0.25">
      <c r="A435" s="6">
        <v>433</v>
      </c>
      <c r="B435" s="7">
        <v>45.139999389648402</v>
      </c>
      <c r="C435" s="5">
        <f t="shared" si="1"/>
        <v>3.4253021581429101E-2</v>
      </c>
    </row>
    <row r="436" spans="1:3" ht="13.2" x14ac:dyDescent="0.25">
      <c r="A436" s="6">
        <v>434</v>
      </c>
      <c r="B436" s="7">
        <v>44.869998931884702</v>
      </c>
      <c r="C436" s="5">
        <f t="shared" si="1"/>
        <v>-5.9993616848598181E-3</v>
      </c>
    </row>
    <row r="437" spans="1:3" ht="13.2" x14ac:dyDescent="0.25">
      <c r="A437" s="6">
        <v>435</v>
      </c>
      <c r="B437" s="7">
        <v>44.840000152587798</v>
      </c>
      <c r="C437" s="5">
        <f t="shared" si="1"/>
        <v>-6.6879457632871772E-4</v>
      </c>
    </row>
    <row r="438" spans="1:3" ht="13.2" x14ac:dyDescent="0.25">
      <c r="A438" s="6">
        <v>436</v>
      </c>
      <c r="B438" s="7">
        <v>43.740001678466797</v>
      </c>
      <c r="C438" s="5">
        <f t="shared" si="1"/>
        <v>-2.4837547984550967E-2</v>
      </c>
    </row>
    <row r="439" spans="1:3" ht="13.2" x14ac:dyDescent="0.25">
      <c r="A439" s="6">
        <v>437</v>
      </c>
      <c r="B439" s="7">
        <v>44.419998168945298</v>
      </c>
      <c r="C439" s="5">
        <f t="shared" si="1"/>
        <v>1.5426723622530392E-2</v>
      </c>
    </row>
    <row r="440" spans="1:3" ht="13.2" x14ac:dyDescent="0.25">
      <c r="A440" s="6">
        <v>438</v>
      </c>
      <c r="B440" s="7">
        <v>44.790000915527301</v>
      </c>
      <c r="C440" s="5">
        <f t="shared" si="1"/>
        <v>8.2951434147704797E-3</v>
      </c>
    </row>
    <row r="441" spans="1:3" ht="13.2" x14ac:dyDescent="0.25">
      <c r="A441" s="6">
        <v>439</v>
      </c>
      <c r="B441" s="7">
        <v>44.790000915527301</v>
      </c>
      <c r="C441" s="5">
        <f t="shared" si="1"/>
        <v>0</v>
      </c>
    </row>
    <row r="442" spans="1:3" ht="13.2" x14ac:dyDescent="0.25">
      <c r="A442" s="6">
        <v>440</v>
      </c>
      <c r="B442" s="7">
        <v>45.340000152587798</v>
      </c>
      <c r="C442" s="5">
        <f t="shared" si="1"/>
        <v>1.2204727785147081E-2</v>
      </c>
    </row>
    <row r="443" spans="1:3" ht="13.2" x14ac:dyDescent="0.25">
      <c r="A443" s="6">
        <v>441</v>
      </c>
      <c r="B443" s="7">
        <v>45.669998168945298</v>
      </c>
      <c r="C443" s="5">
        <f t="shared" si="1"/>
        <v>7.2519386589495125E-3</v>
      </c>
    </row>
    <row r="444" spans="1:3" ht="13.2" x14ac:dyDescent="0.25">
      <c r="A444" s="6">
        <v>442</v>
      </c>
      <c r="B444" s="7">
        <v>45.060001373291001</v>
      </c>
      <c r="C444" s="5">
        <f t="shared" si="1"/>
        <v>-1.3446621622705088E-2</v>
      </c>
    </row>
    <row r="445" spans="1:3" ht="13.2" x14ac:dyDescent="0.25">
      <c r="A445" s="6">
        <v>443</v>
      </c>
      <c r="B445" s="7">
        <v>46.740001678466797</v>
      </c>
      <c r="C445" s="5">
        <f t="shared" si="1"/>
        <v>3.660539954038608E-2</v>
      </c>
    </row>
    <row r="446" spans="1:3" ht="13.2" x14ac:dyDescent="0.25">
      <c r="A446" s="6">
        <v>444</v>
      </c>
      <c r="B446" s="7">
        <v>45.880001068115199</v>
      </c>
      <c r="C446" s="5">
        <f t="shared" si="1"/>
        <v>-1.8571049479628388E-2</v>
      </c>
    </row>
    <row r="447" spans="1:3" ht="13.2" x14ac:dyDescent="0.25">
      <c r="A447" s="6">
        <v>445</v>
      </c>
      <c r="B447" s="7">
        <v>47.709999084472599</v>
      </c>
      <c r="C447" s="5">
        <f t="shared" si="1"/>
        <v>3.9111684796794471E-2</v>
      </c>
    </row>
    <row r="448" spans="1:3" ht="13.2" x14ac:dyDescent="0.25">
      <c r="A448" s="6">
        <v>446</v>
      </c>
      <c r="B448" s="7">
        <v>48.330001831054602</v>
      </c>
      <c r="C448" s="5">
        <f t="shared" si="1"/>
        <v>1.2911523404901273E-2</v>
      </c>
    </row>
    <row r="449" spans="1:3" ht="13.2" x14ac:dyDescent="0.25">
      <c r="A449" s="6">
        <v>447</v>
      </c>
      <c r="B449" s="7">
        <v>48.75</v>
      </c>
      <c r="C449" s="5">
        <f t="shared" si="1"/>
        <v>8.6526737003629547E-3</v>
      </c>
    </row>
    <row r="450" spans="1:3" ht="13.2" x14ac:dyDescent="0.25">
      <c r="A450" s="6">
        <v>448</v>
      </c>
      <c r="B450" s="7">
        <v>48.400001525878899</v>
      </c>
      <c r="C450" s="5">
        <f t="shared" si="1"/>
        <v>-7.2053521948470837E-3</v>
      </c>
    </row>
    <row r="451" spans="1:3" ht="13.2" x14ac:dyDescent="0.25">
      <c r="A451" s="6">
        <v>449</v>
      </c>
      <c r="B451" s="7">
        <v>49</v>
      </c>
      <c r="C451" s="5">
        <f t="shared" si="1"/>
        <v>1.2320452861617622E-2</v>
      </c>
    </row>
    <row r="452" spans="1:3" ht="13.2" x14ac:dyDescent="0.25">
      <c r="A452" s="6">
        <v>450</v>
      </c>
      <c r="B452" s="7">
        <v>49.439998626708899</v>
      </c>
      <c r="C452" s="5">
        <f t="shared" si="1"/>
        <v>8.9394872618848587E-3</v>
      </c>
    </row>
    <row r="453" spans="1:3" ht="13.2" x14ac:dyDescent="0.25">
      <c r="A453" s="6">
        <v>451</v>
      </c>
      <c r="B453" s="7">
        <v>49.159999847412102</v>
      </c>
      <c r="C453" s="5">
        <f t="shared" si="1"/>
        <v>-5.6795037785808532E-3</v>
      </c>
    </row>
    <row r="454" spans="1:3" ht="13.2" x14ac:dyDescent="0.25">
      <c r="A454" s="6">
        <v>452</v>
      </c>
      <c r="B454" s="7">
        <v>49.689998626708899</v>
      </c>
      <c r="C454" s="5">
        <f t="shared" si="1"/>
        <v>1.0723396383125713E-2</v>
      </c>
    </row>
    <row r="455" spans="1:3" ht="13.2" x14ac:dyDescent="0.25">
      <c r="A455" s="6">
        <v>453</v>
      </c>
      <c r="B455" s="7">
        <v>48.950000762939403</v>
      </c>
      <c r="C455" s="5">
        <f t="shared" si="1"/>
        <v>-1.5004293414440978E-2</v>
      </c>
    </row>
    <row r="456" spans="1:3" ht="13.2" x14ac:dyDescent="0.25">
      <c r="A456" s="6">
        <v>454</v>
      </c>
      <c r="B456" s="7">
        <v>48.889999389648402</v>
      </c>
      <c r="C456" s="5">
        <f t="shared" si="1"/>
        <v>-1.2265204562420483E-3</v>
      </c>
    </row>
    <row r="457" spans="1:3" ht="13.2" x14ac:dyDescent="0.25">
      <c r="A457" s="6">
        <v>455</v>
      </c>
      <c r="B457" s="7">
        <v>49.630001068115199</v>
      </c>
      <c r="C457" s="5">
        <f t="shared" si="1"/>
        <v>1.5022647014539333E-2</v>
      </c>
    </row>
    <row r="458" spans="1:3" ht="13.2" x14ac:dyDescent="0.25">
      <c r="A458" s="6">
        <v>456</v>
      </c>
      <c r="B458" s="7">
        <v>51.430000305175703</v>
      </c>
      <c r="C458" s="5">
        <f t="shared" si="1"/>
        <v>3.5626154599719177E-2</v>
      </c>
    </row>
    <row r="459" spans="1:3" ht="13.2" x14ac:dyDescent="0.25">
      <c r="A459" s="6">
        <v>457</v>
      </c>
      <c r="B459" s="7">
        <v>50.990001678466797</v>
      </c>
      <c r="C459" s="5">
        <f t="shared" si="1"/>
        <v>-8.5920977360000959E-3</v>
      </c>
    </row>
    <row r="460" spans="1:3" ht="13.2" x14ac:dyDescent="0.25">
      <c r="A460" s="6">
        <v>458</v>
      </c>
      <c r="B460" s="7">
        <v>49.810001373291001</v>
      </c>
      <c r="C460" s="5">
        <f t="shared" si="1"/>
        <v>-2.3413773328851965E-2</v>
      </c>
    </row>
    <row r="461" spans="1:3" ht="13.2" x14ac:dyDescent="0.25">
      <c r="A461" s="6">
        <v>459</v>
      </c>
      <c r="B461" s="7">
        <v>49.819999694824197</v>
      </c>
      <c r="C461" s="5">
        <f t="shared" si="1"/>
        <v>2.0070905268638041E-4</v>
      </c>
    </row>
    <row r="462" spans="1:3" ht="13.2" x14ac:dyDescent="0.25">
      <c r="A462" s="6">
        <v>460</v>
      </c>
      <c r="B462" s="7">
        <v>49.930000305175703</v>
      </c>
      <c r="C462" s="5">
        <f t="shared" si="1"/>
        <v>2.2055269161225808E-3</v>
      </c>
    </row>
    <row r="463" spans="1:3" ht="13.2" x14ac:dyDescent="0.25">
      <c r="A463" s="6">
        <v>461</v>
      </c>
      <c r="B463" s="7">
        <v>49.299999237060497</v>
      </c>
      <c r="C463" s="5">
        <f t="shared" si="1"/>
        <v>-1.2697965051390878E-2</v>
      </c>
    </row>
    <row r="464" spans="1:3" ht="13.2" x14ac:dyDescent="0.25">
      <c r="A464" s="6">
        <v>462</v>
      </c>
      <c r="B464" s="7">
        <v>49.029998779296797</v>
      </c>
      <c r="C464" s="5">
        <f t="shared" si="1"/>
        <v>-5.4917348071235605E-3</v>
      </c>
    </row>
    <row r="465" spans="1:3" ht="13.2" x14ac:dyDescent="0.25">
      <c r="A465" s="6">
        <v>463</v>
      </c>
      <c r="B465" s="7">
        <v>49.680000305175703</v>
      </c>
      <c r="C465" s="5">
        <f t="shared" si="1"/>
        <v>1.3170113001977082E-2</v>
      </c>
    </row>
    <row r="466" spans="1:3" ht="13.2" x14ac:dyDescent="0.25">
      <c r="A466" s="6">
        <v>464</v>
      </c>
      <c r="B466" s="7">
        <v>49.700000762939403</v>
      </c>
      <c r="C466" s="5">
        <f t="shared" si="1"/>
        <v>4.0250468542495988E-4</v>
      </c>
    </row>
    <row r="467" spans="1:3" ht="13.2" x14ac:dyDescent="0.25">
      <c r="A467" s="6">
        <v>465</v>
      </c>
      <c r="B467" s="7">
        <v>49.819999694824197</v>
      </c>
      <c r="C467" s="5">
        <f t="shared" si="1"/>
        <v>2.4115552549899871E-3</v>
      </c>
    </row>
    <row r="468" spans="1:3" ht="13.2" x14ac:dyDescent="0.25">
      <c r="A468" s="6">
        <v>466</v>
      </c>
      <c r="B468" s="7">
        <v>50.819999694824197</v>
      </c>
      <c r="C468" s="5">
        <f t="shared" si="1"/>
        <v>1.987346817851831E-2</v>
      </c>
    </row>
    <row r="469" spans="1:3" ht="13.2" x14ac:dyDescent="0.25">
      <c r="A469" s="6">
        <v>467</v>
      </c>
      <c r="B469" s="7">
        <v>50.650001525878899</v>
      </c>
      <c r="C469" s="5">
        <f t="shared" si="1"/>
        <v>-3.3507110663518708E-3</v>
      </c>
    </row>
    <row r="470" spans="1:3" ht="13.2" x14ac:dyDescent="0.25">
      <c r="A470" s="6">
        <v>468</v>
      </c>
      <c r="B470" s="7">
        <v>50.369998931884702</v>
      </c>
      <c r="C470" s="5">
        <f t="shared" si="1"/>
        <v>-5.5435222684598329E-3</v>
      </c>
    </row>
    <row r="471" spans="1:3" ht="13.2" x14ac:dyDescent="0.25">
      <c r="A471" s="6">
        <v>469</v>
      </c>
      <c r="B471" s="7">
        <v>49.409999847412102</v>
      </c>
      <c r="C471" s="5">
        <f t="shared" si="1"/>
        <v>-1.9242908782712891E-2</v>
      </c>
    </row>
    <row r="472" spans="1:3" ht="13.2" x14ac:dyDescent="0.25">
      <c r="A472" s="6">
        <v>470</v>
      </c>
      <c r="B472" s="7">
        <v>49.970001220703097</v>
      </c>
      <c r="C472" s="5">
        <f t="shared" si="1"/>
        <v>1.1270020015372471E-2</v>
      </c>
    </row>
    <row r="473" spans="1:3" ht="13.2" x14ac:dyDescent="0.25">
      <c r="A473" s="6">
        <v>471</v>
      </c>
      <c r="B473" s="7">
        <v>49.450000762939403</v>
      </c>
      <c r="C473" s="5">
        <f t="shared" si="1"/>
        <v>-1.0460776287609972E-2</v>
      </c>
    </row>
    <row r="474" spans="1:3" ht="13.2" x14ac:dyDescent="0.25">
      <c r="A474" s="6">
        <v>472</v>
      </c>
      <c r="B474" s="7">
        <v>49.770000457763601</v>
      </c>
      <c r="C474" s="5">
        <f t="shared" si="1"/>
        <v>6.4503285708210735E-3</v>
      </c>
    </row>
    <row r="475" spans="1:3" ht="13.2" x14ac:dyDescent="0.25">
      <c r="A475" s="6">
        <v>473</v>
      </c>
      <c r="B475" s="7">
        <v>50.080001831054602</v>
      </c>
      <c r="C475" s="5">
        <f t="shared" si="1"/>
        <v>6.2093612863905598E-3</v>
      </c>
    </row>
    <row r="476" spans="1:3" ht="13.2" x14ac:dyDescent="0.25">
      <c r="A476" s="6">
        <v>474</v>
      </c>
      <c r="B476" s="7">
        <v>50.310001373291001</v>
      </c>
      <c r="C476" s="5">
        <f t="shared" si="1"/>
        <v>4.5821284453737799E-3</v>
      </c>
    </row>
    <row r="477" spans="1:3" ht="13.2" x14ac:dyDescent="0.25">
      <c r="A477" s="6">
        <v>475</v>
      </c>
      <c r="B477" s="7">
        <v>51.340000152587798</v>
      </c>
      <c r="C477" s="5">
        <f t="shared" si="1"/>
        <v>2.0266286615289869E-2</v>
      </c>
    </row>
    <row r="478" spans="1:3" ht="13.2" x14ac:dyDescent="0.25">
      <c r="A478" s="6">
        <v>476</v>
      </c>
      <c r="B478" s="7">
        <v>55.299999237060497</v>
      </c>
      <c r="C478" s="5">
        <f t="shared" si="1"/>
        <v>7.4302716316816703E-2</v>
      </c>
    </row>
    <row r="479" spans="1:3" ht="13.2" x14ac:dyDescent="0.25">
      <c r="A479" s="6">
        <v>477</v>
      </c>
      <c r="B479" s="7">
        <v>56</v>
      </c>
      <c r="C479" s="5">
        <f t="shared" si="1"/>
        <v>1.2578796003234563E-2</v>
      </c>
    </row>
    <row r="480" spans="1:3" ht="13.2" x14ac:dyDescent="0.25">
      <c r="A480" s="6">
        <v>478</v>
      </c>
      <c r="B480" s="7">
        <v>56.2299995422363</v>
      </c>
      <c r="C480" s="5">
        <f t="shared" si="1"/>
        <v>4.0987234280451196E-3</v>
      </c>
    </row>
    <row r="481" spans="1:3" ht="13.2" x14ac:dyDescent="0.25">
      <c r="A481" s="6">
        <v>479</v>
      </c>
      <c r="B481" s="7">
        <v>57.909999847412102</v>
      </c>
      <c r="C481" s="5">
        <f t="shared" si="1"/>
        <v>2.9439664439589525E-2</v>
      </c>
    </row>
    <row r="482" spans="1:3" ht="13.2" x14ac:dyDescent="0.25">
      <c r="A482" s="6">
        <v>480</v>
      </c>
      <c r="B482" s="7">
        <v>57.880001068115199</v>
      </c>
      <c r="C482" s="5">
        <f t="shared" si="1"/>
        <v>-5.1815838554109125E-4</v>
      </c>
    </row>
    <row r="483" spans="1:3" ht="13.2" x14ac:dyDescent="0.25">
      <c r="A483" s="6">
        <v>481</v>
      </c>
      <c r="B483" s="7">
        <v>58.279998779296797</v>
      </c>
      <c r="C483" s="5">
        <f t="shared" si="1"/>
        <v>6.8870401642702316E-3</v>
      </c>
    </row>
    <row r="484" spans="1:3" ht="13.2" x14ac:dyDescent="0.25">
      <c r="A484" s="6">
        <v>482</v>
      </c>
      <c r="B484" s="7">
        <v>58.310001373291001</v>
      </c>
      <c r="C484" s="5">
        <f t="shared" si="1"/>
        <v>5.1466840410344995E-4</v>
      </c>
    </row>
    <row r="485" spans="1:3" ht="13.2" x14ac:dyDescent="0.25">
      <c r="A485" s="6">
        <v>483</v>
      </c>
      <c r="B485" s="7">
        <v>56.619998931884702</v>
      </c>
      <c r="C485" s="5">
        <f t="shared" si="1"/>
        <v>-2.9411367966492161E-2</v>
      </c>
    </row>
    <row r="486" spans="1:3" ht="13.2" x14ac:dyDescent="0.25">
      <c r="A486" s="6">
        <v>484</v>
      </c>
      <c r="B486" s="7">
        <v>56.310001373291001</v>
      </c>
      <c r="C486" s="5">
        <f t="shared" si="1"/>
        <v>-5.4900971645490864E-3</v>
      </c>
    </row>
    <row r="487" spans="1:3" ht="13.2" x14ac:dyDescent="0.25">
      <c r="A487" s="6">
        <v>485</v>
      </c>
      <c r="B487" s="7">
        <v>55.319999694824197</v>
      </c>
      <c r="C487" s="5">
        <f t="shared" si="1"/>
        <v>-1.773766237457234E-2</v>
      </c>
    </row>
    <row r="488" spans="1:3" ht="13.2" x14ac:dyDescent="0.25">
      <c r="A488" s="6">
        <v>486</v>
      </c>
      <c r="B488" s="7">
        <v>57.830001831054602</v>
      </c>
      <c r="C488" s="5">
        <f t="shared" si="1"/>
        <v>4.4373202552834973E-2</v>
      </c>
    </row>
    <row r="489" spans="1:3" ht="13.2" x14ac:dyDescent="0.25">
      <c r="A489" s="6">
        <v>487</v>
      </c>
      <c r="B489" s="7">
        <v>58.040000915527301</v>
      </c>
      <c r="C489" s="5">
        <f t="shared" si="1"/>
        <v>3.6247399572240466E-3</v>
      </c>
    </row>
    <row r="490" spans="1:3" ht="13.2" x14ac:dyDescent="0.25">
      <c r="A490" s="6">
        <v>488</v>
      </c>
      <c r="B490" s="7">
        <v>57.299999237060497</v>
      </c>
      <c r="C490" s="5">
        <f t="shared" si="1"/>
        <v>-1.2831833384193463E-2</v>
      </c>
    </row>
    <row r="491" spans="1:3" ht="13.2" x14ac:dyDescent="0.25">
      <c r="A491" s="6">
        <v>489</v>
      </c>
      <c r="B491" s="7">
        <v>57.290000915527301</v>
      </c>
      <c r="C491" s="5">
        <f t="shared" si="1"/>
        <v>-1.745060048041314E-4</v>
      </c>
    </row>
    <row r="492" spans="1:3" ht="13.2" x14ac:dyDescent="0.25">
      <c r="A492" s="6">
        <v>490</v>
      </c>
      <c r="B492" s="7">
        <v>57.9799995422363</v>
      </c>
      <c r="C492" s="5">
        <f t="shared" si="1"/>
        <v>1.1972011197245133E-2</v>
      </c>
    </row>
    <row r="493" spans="1:3" ht="13.2" x14ac:dyDescent="0.25">
      <c r="A493" s="6">
        <v>491</v>
      </c>
      <c r="B493" s="7">
        <v>59.340000152587798</v>
      </c>
      <c r="C493" s="5">
        <f t="shared" si="1"/>
        <v>2.3185501835781906E-2</v>
      </c>
    </row>
    <row r="494" spans="1:3" ht="13.2" x14ac:dyDescent="0.25">
      <c r="A494" s="6">
        <v>492</v>
      </c>
      <c r="B494" s="7">
        <v>58.299999237060497</v>
      </c>
      <c r="C494" s="5">
        <f t="shared" si="1"/>
        <v>-1.7681537164085579E-2</v>
      </c>
    </row>
    <row r="495" spans="1:3" ht="13.2" x14ac:dyDescent="0.25">
      <c r="A495" s="6">
        <v>493</v>
      </c>
      <c r="B495" s="7">
        <v>58.75</v>
      </c>
      <c r="C495" s="5">
        <f t="shared" si="1"/>
        <v>7.6890727542626184E-3</v>
      </c>
    </row>
    <row r="496" spans="1:3" ht="13.2" x14ac:dyDescent="0.25">
      <c r="A496" s="6">
        <v>494</v>
      </c>
      <c r="B496" s="7">
        <v>57.590000152587798</v>
      </c>
      <c r="C496" s="5">
        <f t="shared" si="1"/>
        <v>-1.9942208856133674E-2</v>
      </c>
    </row>
    <row r="497" spans="1:3" ht="13.2" x14ac:dyDescent="0.25">
      <c r="A497" s="6">
        <v>495</v>
      </c>
      <c r="B497" s="7">
        <v>55.540000915527301</v>
      </c>
      <c r="C497" s="5">
        <f t="shared" si="1"/>
        <v>-3.6245445805374393E-2</v>
      </c>
    </row>
    <row r="498" spans="1:3" ht="13.2" x14ac:dyDescent="0.25">
      <c r="A498" s="6">
        <v>496</v>
      </c>
      <c r="B498" s="7">
        <v>56.869998931884702</v>
      </c>
      <c r="C498" s="5">
        <f t="shared" si="1"/>
        <v>2.366444417424745E-2</v>
      </c>
    </row>
    <row r="499" spans="1:3" ht="13.2" x14ac:dyDescent="0.25">
      <c r="A499" s="6">
        <v>497</v>
      </c>
      <c r="B499" s="7">
        <v>57.169998168945298</v>
      </c>
      <c r="C499" s="5">
        <f t="shared" si="1"/>
        <v>5.2613107106277996E-3</v>
      </c>
    </row>
    <row r="500" spans="1:3" ht="13.2" x14ac:dyDescent="0.25">
      <c r="A500" s="6">
        <v>498</v>
      </c>
      <c r="B500" s="7">
        <v>57.880001068115199</v>
      </c>
      <c r="C500" s="5">
        <f t="shared" si="1"/>
        <v>1.234266696960736E-2</v>
      </c>
    </row>
    <row r="501" spans="1:3" ht="13.2" x14ac:dyDescent="0.25">
      <c r="A501" s="6">
        <v>499</v>
      </c>
      <c r="B501" s="7">
        <v>59.630001068115199</v>
      </c>
      <c r="C501" s="5">
        <f t="shared" si="1"/>
        <v>2.9786900830151161E-2</v>
      </c>
    </row>
    <row r="502" spans="1:3" ht="13.2" x14ac:dyDescent="0.25">
      <c r="A502" s="6">
        <v>500</v>
      </c>
      <c r="B502" s="7">
        <v>57.630001068115199</v>
      </c>
      <c r="C502" s="5">
        <f t="shared" si="1"/>
        <v>-3.4115537064805759E-2</v>
      </c>
    </row>
    <row r="503" spans="1:3" ht="13.2" x14ac:dyDescent="0.25">
      <c r="A503" s="6">
        <v>501</v>
      </c>
      <c r="B503" s="7">
        <v>57.880001068115199</v>
      </c>
      <c r="C503" s="5">
        <f t="shared" si="1"/>
        <v>4.3286362346544368E-3</v>
      </c>
    </row>
    <row r="504" spans="1:3" ht="13.2" x14ac:dyDescent="0.25">
      <c r="A504" s="6">
        <v>502</v>
      </c>
      <c r="B504" s="7">
        <v>57.639999389648402</v>
      </c>
      <c r="C504" s="5">
        <f t="shared" si="1"/>
        <v>-4.1551596749499946E-3</v>
      </c>
    </row>
    <row r="505" spans="1:3" ht="13.2" x14ac:dyDescent="0.25">
      <c r="A505" s="6">
        <v>503</v>
      </c>
      <c r="B505" s="7">
        <v>56.509998321533203</v>
      </c>
      <c r="C505" s="5">
        <f t="shared" si="1"/>
        <v>-1.9799176602661263E-2</v>
      </c>
    </row>
    <row r="506" spans="1:3" ht="13.2" x14ac:dyDescent="0.25">
      <c r="A506" s="6">
        <v>504</v>
      </c>
      <c r="B506" s="7">
        <v>56.619998931884702</v>
      </c>
      <c r="C506" s="5">
        <f t="shared" si="1"/>
        <v>1.9446768794927315E-3</v>
      </c>
    </row>
    <row r="507" spans="1:3" ht="13.2" x14ac:dyDescent="0.25">
      <c r="A507" s="6">
        <v>505</v>
      </c>
      <c r="B507" s="7">
        <v>57.439998626708899</v>
      </c>
      <c r="C507" s="5">
        <f t="shared" si="1"/>
        <v>1.4378640012572922E-2</v>
      </c>
    </row>
    <row r="508" spans="1:3" ht="13.2" x14ac:dyDescent="0.25">
      <c r="A508" s="6">
        <v>506</v>
      </c>
      <c r="B508" s="7">
        <v>57.509998321533203</v>
      </c>
      <c r="C508" s="5">
        <f t="shared" si="1"/>
        <v>1.2179157083140584E-3</v>
      </c>
    </row>
    <row r="509" spans="1:3" ht="13.2" x14ac:dyDescent="0.25">
      <c r="A509" s="6">
        <v>507</v>
      </c>
      <c r="B509" s="7">
        <v>56.279998779296797</v>
      </c>
      <c r="C509" s="5">
        <f t="shared" si="1"/>
        <v>-2.1619605983645603E-2</v>
      </c>
    </row>
    <row r="510" spans="1:3" ht="13.2" x14ac:dyDescent="0.25">
      <c r="A510" s="6">
        <v>508</v>
      </c>
      <c r="B510" s="7">
        <v>60.939998626708899</v>
      </c>
      <c r="C510" s="5">
        <f t="shared" si="1"/>
        <v>7.9550540466062386E-2</v>
      </c>
    </row>
    <row r="511" spans="1:3" ht="13.2" x14ac:dyDescent="0.25">
      <c r="A511" s="6">
        <v>509</v>
      </c>
      <c r="B511" s="7">
        <v>62.860000610351499</v>
      </c>
      <c r="C511" s="5">
        <f t="shared" si="1"/>
        <v>3.1020290056689482E-2</v>
      </c>
    </row>
    <row r="512" spans="1:3" ht="13.2" x14ac:dyDescent="0.25">
      <c r="A512" s="6">
        <v>510</v>
      </c>
      <c r="B512" s="7">
        <v>61.9799995422363</v>
      </c>
      <c r="C512" s="5">
        <f t="shared" si="1"/>
        <v>-1.4098296105183435E-2</v>
      </c>
    </row>
    <row r="513" spans="1:3" ht="13.2" x14ac:dyDescent="0.25">
      <c r="A513" s="6">
        <v>511</v>
      </c>
      <c r="B513" s="7">
        <v>62.909999847412102</v>
      </c>
      <c r="C513" s="5">
        <f t="shared" si="1"/>
        <v>1.4893386182508902E-2</v>
      </c>
    </row>
    <row r="514" spans="1:3" ht="13.2" x14ac:dyDescent="0.25">
      <c r="A514" s="6">
        <v>512</v>
      </c>
      <c r="B514" s="7">
        <v>63.400001525878899</v>
      </c>
      <c r="C514" s="5">
        <f t="shared" ref="C514:C768" si="2">LN(B514/B513)</f>
        <v>7.7587543542272149E-3</v>
      </c>
    </row>
    <row r="515" spans="1:3" ht="13.2" x14ac:dyDescent="0.25">
      <c r="A515" s="6">
        <v>513</v>
      </c>
      <c r="B515" s="7">
        <v>61.209999084472599</v>
      </c>
      <c r="C515" s="5">
        <f t="shared" si="2"/>
        <v>-3.51533256048462E-2</v>
      </c>
    </row>
    <row r="516" spans="1:3" ht="13.2" x14ac:dyDescent="0.25">
      <c r="A516" s="6">
        <v>514</v>
      </c>
      <c r="B516" s="7">
        <v>62.819999694824197</v>
      </c>
      <c r="C516" s="5">
        <f t="shared" si="2"/>
        <v>2.5962929346735945E-2</v>
      </c>
    </row>
    <row r="517" spans="1:3" ht="13.2" x14ac:dyDescent="0.25">
      <c r="A517" s="6">
        <v>515</v>
      </c>
      <c r="B517" s="7">
        <v>61.580001831054602</v>
      </c>
      <c r="C517" s="5">
        <f t="shared" si="2"/>
        <v>-1.9936317021639952E-2</v>
      </c>
    </row>
    <row r="518" spans="1:3" ht="13.2" x14ac:dyDescent="0.25">
      <c r="A518" s="6">
        <v>516</v>
      </c>
      <c r="B518" s="7">
        <v>59.659999847412102</v>
      </c>
      <c r="C518" s="5">
        <f t="shared" si="2"/>
        <v>-3.1675395701942721E-2</v>
      </c>
    </row>
    <row r="519" spans="1:3" ht="13.2" x14ac:dyDescent="0.25">
      <c r="A519" s="6">
        <v>517</v>
      </c>
      <c r="B519" s="7">
        <v>59.840000152587798</v>
      </c>
      <c r="C519" s="5">
        <f t="shared" si="2"/>
        <v>3.0125596871739342E-3</v>
      </c>
    </row>
    <row r="520" spans="1:3" ht="13.2" x14ac:dyDescent="0.25">
      <c r="A520" s="6">
        <v>518</v>
      </c>
      <c r="B520" s="7">
        <v>60.950000762939403</v>
      </c>
      <c r="C520" s="5">
        <f t="shared" si="2"/>
        <v>1.8379532228592493E-2</v>
      </c>
    </row>
    <row r="521" spans="1:3" ht="13.2" x14ac:dyDescent="0.25">
      <c r="A521" s="6">
        <v>519</v>
      </c>
      <c r="B521" s="7">
        <v>60.509998321533203</v>
      </c>
      <c r="C521" s="5">
        <f t="shared" si="2"/>
        <v>-7.2452555491821788E-3</v>
      </c>
    </row>
    <row r="522" spans="1:3" ht="13.2" x14ac:dyDescent="0.25">
      <c r="A522" s="6">
        <v>520</v>
      </c>
      <c r="B522" s="7">
        <v>60.470001220703097</v>
      </c>
      <c r="C522" s="5">
        <f t="shared" si="2"/>
        <v>-6.6121842351970215E-4</v>
      </c>
    </row>
    <row r="523" spans="1:3" ht="13.2" x14ac:dyDescent="0.25">
      <c r="A523" s="6">
        <v>521</v>
      </c>
      <c r="B523" s="7">
        <v>58.159999847412102</v>
      </c>
      <c r="C523" s="5">
        <f t="shared" si="2"/>
        <v>-3.8949563870366501E-2</v>
      </c>
    </row>
    <row r="524" spans="1:3" ht="13.2" x14ac:dyDescent="0.25">
      <c r="A524" s="6">
        <v>522</v>
      </c>
      <c r="B524" s="7">
        <v>56.400001525878899</v>
      </c>
      <c r="C524" s="5">
        <f t="shared" si="2"/>
        <v>-3.0728645043072357E-2</v>
      </c>
    </row>
    <row r="525" spans="1:3" ht="13.2" x14ac:dyDescent="0.25">
      <c r="A525" s="6">
        <v>523</v>
      </c>
      <c r="B525" s="7">
        <v>55.650001525878899</v>
      </c>
      <c r="C525" s="5">
        <f t="shared" si="2"/>
        <v>-1.3387080417842229E-2</v>
      </c>
    </row>
    <row r="526" spans="1:3" ht="13.2" x14ac:dyDescent="0.25">
      <c r="A526" s="6">
        <v>524</v>
      </c>
      <c r="B526" s="7">
        <v>56.419998168945298</v>
      </c>
      <c r="C526" s="5">
        <f t="shared" si="2"/>
        <v>1.3741567979088294E-2</v>
      </c>
    </row>
    <row r="527" spans="1:3" ht="13.2" x14ac:dyDescent="0.25">
      <c r="A527" s="6">
        <v>525</v>
      </c>
      <c r="B527" s="7">
        <v>55.049999237060497</v>
      </c>
      <c r="C527" s="5">
        <f t="shared" si="2"/>
        <v>-2.4581823810188596E-2</v>
      </c>
    </row>
    <row r="528" spans="1:3" ht="13.2" x14ac:dyDescent="0.25">
      <c r="A528" s="6">
        <v>526</v>
      </c>
      <c r="B528" s="7">
        <v>54.430000305175703</v>
      </c>
      <c r="C528" s="5">
        <f t="shared" si="2"/>
        <v>-1.1326371256796476E-2</v>
      </c>
    </row>
    <row r="529" spans="1:3" ht="13.2" x14ac:dyDescent="0.25">
      <c r="A529" s="6">
        <v>527</v>
      </c>
      <c r="B529" s="7">
        <v>52.810001373291001</v>
      </c>
      <c r="C529" s="5">
        <f t="shared" si="2"/>
        <v>-3.0214885329648569E-2</v>
      </c>
    </row>
    <row r="530" spans="1:3" ht="13.2" x14ac:dyDescent="0.25">
      <c r="A530" s="6">
        <v>528</v>
      </c>
      <c r="B530" s="7">
        <v>56.220001220703097</v>
      </c>
      <c r="C530" s="5">
        <f t="shared" si="2"/>
        <v>6.2571994468138589E-2</v>
      </c>
    </row>
    <row r="531" spans="1:3" ht="13.2" x14ac:dyDescent="0.25">
      <c r="A531" s="6">
        <v>529</v>
      </c>
      <c r="B531" s="7">
        <v>56.139999389648402</v>
      </c>
      <c r="C531" s="5">
        <f t="shared" si="2"/>
        <v>-1.4240271295736695E-3</v>
      </c>
    </row>
    <row r="532" spans="1:3" ht="13.2" x14ac:dyDescent="0.25">
      <c r="A532" s="6">
        <v>530</v>
      </c>
      <c r="B532" s="7">
        <v>56.310001373291001</v>
      </c>
      <c r="C532" s="5">
        <f t="shared" si="2"/>
        <v>3.0236035927946963E-3</v>
      </c>
    </row>
    <row r="533" spans="1:3" ht="13.2" x14ac:dyDescent="0.25">
      <c r="A533" s="6">
        <v>531</v>
      </c>
      <c r="B533" s="7">
        <v>56.830001831054602</v>
      </c>
      <c r="C533" s="5">
        <f t="shared" si="2"/>
        <v>9.1922238743135948E-3</v>
      </c>
    </row>
    <row r="534" spans="1:3" ht="13.2" x14ac:dyDescent="0.25">
      <c r="A534" s="6">
        <v>532</v>
      </c>
      <c r="B534" s="7">
        <v>56.209999084472599</v>
      </c>
      <c r="C534" s="5">
        <f t="shared" si="2"/>
        <v>-1.0969726802530352E-2</v>
      </c>
    </row>
    <row r="535" spans="1:3" ht="13.2" x14ac:dyDescent="0.25">
      <c r="A535" s="6">
        <v>533</v>
      </c>
      <c r="B535" s="7">
        <v>57.590000152587798</v>
      </c>
      <c r="C535" s="5">
        <f t="shared" si="2"/>
        <v>2.4254283441776311E-2</v>
      </c>
    </row>
    <row r="536" spans="1:3" ht="13.2" x14ac:dyDescent="0.25">
      <c r="A536" s="6">
        <v>534</v>
      </c>
      <c r="B536" s="7">
        <v>54.790000915527301</v>
      </c>
      <c r="C536" s="5">
        <f t="shared" si="2"/>
        <v>-4.9841231908058649E-2</v>
      </c>
    </row>
    <row r="537" spans="1:3" ht="13.2" x14ac:dyDescent="0.25">
      <c r="A537" s="6">
        <v>535</v>
      </c>
      <c r="B537" s="7">
        <v>56.279998779296797</v>
      </c>
      <c r="C537" s="5">
        <f t="shared" si="2"/>
        <v>2.6831498296289783E-2</v>
      </c>
    </row>
    <row r="538" spans="1:3" ht="13.2" x14ac:dyDescent="0.25">
      <c r="A538" s="6">
        <v>536</v>
      </c>
      <c r="B538" s="7">
        <v>58.400001525878899</v>
      </c>
      <c r="C538" s="5">
        <f t="shared" si="2"/>
        <v>3.697670540587869E-2</v>
      </c>
    </row>
    <row r="539" spans="1:3" ht="13.2" x14ac:dyDescent="0.25">
      <c r="A539" s="6">
        <v>537</v>
      </c>
      <c r="B539" s="7">
        <v>56.830001831054602</v>
      </c>
      <c r="C539" s="5">
        <f t="shared" si="2"/>
        <v>-2.7251528433355512E-2</v>
      </c>
    </row>
    <row r="540" spans="1:3" ht="13.2" x14ac:dyDescent="0.25">
      <c r="A540" s="6">
        <v>538</v>
      </c>
      <c r="B540" s="7">
        <v>58.779998779296797</v>
      </c>
      <c r="C540" s="5">
        <f t="shared" si="2"/>
        <v>3.373725269456003E-2</v>
      </c>
    </row>
    <row r="541" spans="1:3" ht="13.2" x14ac:dyDescent="0.25">
      <c r="A541" s="6">
        <v>539</v>
      </c>
      <c r="B541" s="7">
        <v>59.4799995422363</v>
      </c>
      <c r="C541" s="5">
        <f t="shared" si="2"/>
        <v>1.1838473672410952E-2</v>
      </c>
    </row>
    <row r="542" spans="1:3" ht="13.2" x14ac:dyDescent="0.25">
      <c r="A542" s="6">
        <v>540</v>
      </c>
      <c r="B542" s="7">
        <v>58.25</v>
      </c>
      <c r="C542" s="5">
        <f t="shared" si="2"/>
        <v>-2.0896021450049821E-2</v>
      </c>
    </row>
    <row r="543" spans="1:3" ht="13.2" x14ac:dyDescent="0.25">
      <c r="A543" s="6">
        <v>541</v>
      </c>
      <c r="B543" s="7">
        <v>61.470001220703097</v>
      </c>
      <c r="C543" s="5">
        <f t="shared" si="2"/>
        <v>5.3805178331625944E-2</v>
      </c>
    </row>
    <row r="544" spans="1:3" ht="13.2" x14ac:dyDescent="0.25">
      <c r="A544" s="6">
        <v>542</v>
      </c>
      <c r="B544" s="7">
        <v>62.880001068115199</v>
      </c>
      <c r="C544" s="5">
        <f t="shared" si="2"/>
        <v>2.2678894330079986E-2</v>
      </c>
    </row>
    <row r="545" spans="1:3" ht="13.2" x14ac:dyDescent="0.25">
      <c r="A545" s="6">
        <v>543</v>
      </c>
      <c r="B545" s="7">
        <v>61.150001525878899</v>
      </c>
      <c r="C545" s="5">
        <f t="shared" si="2"/>
        <v>-2.7898278021286561E-2</v>
      </c>
    </row>
    <row r="546" spans="1:3" ht="13.2" x14ac:dyDescent="0.25">
      <c r="A546" s="6">
        <v>544</v>
      </c>
      <c r="B546" s="7">
        <v>62.659999847412102</v>
      </c>
      <c r="C546" s="5">
        <f t="shared" si="2"/>
        <v>2.4393396002644122E-2</v>
      </c>
    </row>
    <row r="547" spans="1:3" ht="13.2" x14ac:dyDescent="0.25">
      <c r="A547" s="6">
        <v>545</v>
      </c>
      <c r="B547" s="7">
        <v>62.130001068115199</v>
      </c>
      <c r="C547" s="5">
        <f t="shared" si="2"/>
        <v>-8.4943018216535049E-3</v>
      </c>
    </row>
    <row r="548" spans="1:3" ht="13.2" x14ac:dyDescent="0.25">
      <c r="A548" s="6">
        <v>546</v>
      </c>
      <c r="B548" s="7">
        <v>62.810001373291001</v>
      </c>
      <c r="C548" s="5">
        <f t="shared" si="2"/>
        <v>1.0885337063278801E-2</v>
      </c>
    </row>
    <row r="549" spans="1:3" ht="13.2" x14ac:dyDescent="0.25">
      <c r="A549" s="6">
        <v>547</v>
      </c>
      <c r="B549" s="7">
        <v>62.840000152587798</v>
      </c>
      <c r="C549" s="5">
        <f t="shared" si="2"/>
        <v>4.7749748511702306E-4</v>
      </c>
    </row>
    <row r="550" spans="1:3" ht="13.2" x14ac:dyDescent="0.25">
      <c r="A550" s="6">
        <v>548</v>
      </c>
      <c r="B550" s="7">
        <v>62.270000457763601</v>
      </c>
      <c r="C550" s="5">
        <f t="shared" si="2"/>
        <v>-9.1120395799849322E-3</v>
      </c>
    </row>
    <row r="551" spans="1:3" ht="13.2" x14ac:dyDescent="0.25">
      <c r="A551" s="6">
        <v>549</v>
      </c>
      <c r="B551" s="7">
        <v>62.130001068115199</v>
      </c>
      <c r="C551" s="5">
        <f t="shared" si="2"/>
        <v>-2.2507949684109512E-3</v>
      </c>
    </row>
    <row r="552" spans="1:3" ht="13.2" x14ac:dyDescent="0.25">
      <c r="A552" s="6">
        <v>550</v>
      </c>
      <c r="B552" s="7">
        <v>62.939998626708899</v>
      </c>
      <c r="C552" s="5">
        <f t="shared" si="2"/>
        <v>1.2952888549989161E-2</v>
      </c>
    </row>
    <row r="553" spans="1:3" ht="13.2" x14ac:dyDescent="0.25">
      <c r="A553" s="6">
        <v>551</v>
      </c>
      <c r="B553" s="7">
        <v>62.970001220703097</v>
      </c>
      <c r="C553" s="5">
        <f t="shared" si="2"/>
        <v>4.7657206891292558E-4</v>
      </c>
    </row>
    <row r="554" spans="1:3" ht="13.2" x14ac:dyDescent="0.25">
      <c r="A554" s="6">
        <v>552</v>
      </c>
      <c r="B554" s="7">
        <v>62.470001220703097</v>
      </c>
      <c r="C554" s="5">
        <f t="shared" si="2"/>
        <v>-7.9719808400145545E-3</v>
      </c>
    </row>
    <row r="555" spans="1:3" ht="13.2" x14ac:dyDescent="0.25">
      <c r="A555" s="6">
        <v>553</v>
      </c>
      <c r="B555" s="7">
        <v>62.909999847412102</v>
      </c>
      <c r="C555" s="5">
        <f t="shared" si="2"/>
        <v>7.0186701103357079E-3</v>
      </c>
    </row>
    <row r="556" spans="1:3" ht="13.2" x14ac:dyDescent="0.25">
      <c r="A556" s="6">
        <v>554</v>
      </c>
      <c r="B556" s="7">
        <v>60.990001678466797</v>
      </c>
      <c r="C556" s="5">
        <f t="shared" si="2"/>
        <v>-3.0995187327717912E-2</v>
      </c>
    </row>
    <row r="557" spans="1:3" ht="13.2" x14ac:dyDescent="0.25">
      <c r="A557" s="6">
        <v>555</v>
      </c>
      <c r="B557" s="7">
        <v>63.689998626708899</v>
      </c>
      <c r="C557" s="5">
        <f t="shared" si="2"/>
        <v>4.3317598992434023E-2</v>
      </c>
    </row>
    <row r="558" spans="1:3" ht="13.2" x14ac:dyDescent="0.25">
      <c r="A558" s="6">
        <v>556</v>
      </c>
      <c r="B558" s="7">
        <v>64.480003356933594</v>
      </c>
      <c r="C558" s="5">
        <f t="shared" si="2"/>
        <v>1.232760743883738E-2</v>
      </c>
    </row>
    <row r="559" spans="1:3" ht="13.2" x14ac:dyDescent="0.25">
      <c r="A559" s="6">
        <v>557</v>
      </c>
      <c r="B559" s="7">
        <v>63.330001831054602</v>
      </c>
      <c r="C559" s="5">
        <f t="shared" si="2"/>
        <v>-1.7995970818747986E-2</v>
      </c>
    </row>
    <row r="560" spans="1:3" ht="13.2" x14ac:dyDescent="0.25">
      <c r="A560" s="6">
        <v>558</v>
      </c>
      <c r="B560" s="7">
        <v>65.010002136230398</v>
      </c>
      <c r="C560" s="5">
        <f t="shared" si="2"/>
        <v>2.6181957635155729E-2</v>
      </c>
    </row>
    <row r="561" spans="1:3" ht="13.2" x14ac:dyDescent="0.25">
      <c r="A561" s="6">
        <v>559</v>
      </c>
      <c r="B561" s="7">
        <v>67.040000915527301</v>
      </c>
      <c r="C561" s="5">
        <f t="shared" si="2"/>
        <v>3.0748332753856428E-2</v>
      </c>
    </row>
    <row r="562" spans="1:3" ht="13.2" x14ac:dyDescent="0.25">
      <c r="A562" s="6">
        <v>560</v>
      </c>
      <c r="B562" s="7">
        <v>65.940002441406193</v>
      </c>
      <c r="C562" s="5">
        <f t="shared" si="2"/>
        <v>-1.6544195162014941E-2</v>
      </c>
    </row>
    <row r="563" spans="1:3" ht="13.2" x14ac:dyDescent="0.25">
      <c r="A563" s="6">
        <v>561</v>
      </c>
      <c r="B563" s="7">
        <v>66.430000305175696</v>
      </c>
      <c r="C563" s="5">
        <f t="shared" si="2"/>
        <v>7.4034916028476389E-3</v>
      </c>
    </row>
    <row r="564" spans="1:3" ht="13.2" x14ac:dyDescent="0.25">
      <c r="A564" s="6">
        <v>562</v>
      </c>
      <c r="B564" s="7">
        <v>66.540000915527301</v>
      </c>
      <c r="C564" s="5">
        <f t="shared" si="2"/>
        <v>1.6545180782884931E-3</v>
      </c>
    </row>
    <row r="565" spans="1:3" ht="13.2" x14ac:dyDescent="0.25">
      <c r="A565" s="6">
        <v>563</v>
      </c>
      <c r="B565" s="7">
        <v>63.290000915527301</v>
      </c>
      <c r="C565" s="5">
        <f t="shared" si="2"/>
        <v>-5.0075931096576702E-2</v>
      </c>
    </row>
    <row r="566" spans="1:3" ht="13.2" x14ac:dyDescent="0.25">
      <c r="A566" s="6">
        <v>564</v>
      </c>
      <c r="B566" s="7">
        <v>63.569999694824197</v>
      </c>
      <c r="C566" s="5">
        <f t="shared" si="2"/>
        <v>4.4143028948856007E-3</v>
      </c>
    </row>
    <row r="567" spans="1:3" ht="13.2" x14ac:dyDescent="0.25">
      <c r="A567" s="6">
        <v>565</v>
      </c>
      <c r="B567" s="7">
        <v>63.939998626708899</v>
      </c>
      <c r="C567" s="5">
        <f t="shared" si="2"/>
        <v>5.8034660061951088E-3</v>
      </c>
    </row>
    <row r="568" spans="1:3" ht="13.2" x14ac:dyDescent="0.25">
      <c r="A568" s="6">
        <v>566</v>
      </c>
      <c r="B568" s="7">
        <v>63.2299995422363</v>
      </c>
      <c r="C568" s="5">
        <f t="shared" si="2"/>
        <v>-1.1166257323024453E-2</v>
      </c>
    </row>
    <row r="569" spans="1:3" ht="13.2" x14ac:dyDescent="0.25">
      <c r="A569" s="6">
        <v>567</v>
      </c>
      <c r="B569" s="7">
        <v>62.889999389648402</v>
      </c>
      <c r="C569" s="5">
        <f t="shared" si="2"/>
        <v>-5.3917059805158049E-3</v>
      </c>
    </row>
    <row r="570" spans="1:3" ht="13.2" x14ac:dyDescent="0.25">
      <c r="A570" s="6">
        <v>568</v>
      </c>
      <c r="B570" s="7">
        <v>63.009998321533203</v>
      </c>
      <c r="C570" s="5">
        <f t="shared" si="2"/>
        <v>1.9062584655158428E-3</v>
      </c>
    </row>
    <row r="571" spans="1:3" ht="13.2" x14ac:dyDescent="0.25">
      <c r="A571" s="6">
        <v>569</v>
      </c>
      <c r="B571" s="7">
        <v>62.389999389648402</v>
      </c>
      <c r="C571" s="5">
        <f t="shared" si="2"/>
        <v>-9.8884209760103405E-3</v>
      </c>
    </row>
    <row r="572" spans="1:3" ht="13.2" x14ac:dyDescent="0.25">
      <c r="A572" s="6">
        <v>570</v>
      </c>
      <c r="B572" s="7">
        <v>60.540000915527301</v>
      </c>
      <c r="C572" s="5">
        <f t="shared" si="2"/>
        <v>-3.0100677623594922E-2</v>
      </c>
    </row>
    <row r="573" spans="1:3" ht="13.2" x14ac:dyDescent="0.25">
      <c r="A573" s="6">
        <v>571</v>
      </c>
      <c r="B573" s="7">
        <v>61.529998779296797</v>
      </c>
      <c r="C573" s="5">
        <f t="shared" si="2"/>
        <v>1.6220522196987188E-2</v>
      </c>
    </row>
    <row r="574" spans="1:3" ht="13.2" x14ac:dyDescent="0.25">
      <c r="A574" s="6">
        <v>572</v>
      </c>
      <c r="B574" s="7">
        <v>64.589996337890597</v>
      </c>
      <c r="C574" s="5">
        <f t="shared" si="2"/>
        <v>4.8534702433359098E-2</v>
      </c>
    </row>
    <row r="575" spans="1:3" ht="13.2" x14ac:dyDescent="0.25">
      <c r="A575" s="6">
        <v>573</v>
      </c>
      <c r="B575" s="7">
        <v>65.099998474121094</v>
      </c>
      <c r="C575" s="5">
        <f t="shared" si="2"/>
        <v>7.8649824289201802E-3</v>
      </c>
    </row>
    <row r="576" spans="1:3" ht="13.2" x14ac:dyDescent="0.25">
      <c r="A576" s="6">
        <v>574</v>
      </c>
      <c r="B576" s="7">
        <v>63.209999084472599</v>
      </c>
      <c r="C576" s="5">
        <f t="shared" si="2"/>
        <v>-2.9462023775217217E-2</v>
      </c>
    </row>
    <row r="577" spans="1:3" ht="13.2" x14ac:dyDescent="0.25">
      <c r="A577" s="6">
        <v>575</v>
      </c>
      <c r="B577" s="7">
        <v>60.909999847412102</v>
      </c>
      <c r="C577" s="5">
        <f t="shared" si="2"/>
        <v>-3.7065139657049731E-2</v>
      </c>
    </row>
    <row r="578" spans="1:3" ht="13.2" x14ac:dyDescent="0.25">
      <c r="A578" s="6">
        <v>576</v>
      </c>
      <c r="B578" s="7">
        <v>62.009998321533203</v>
      </c>
      <c r="C578" s="5">
        <f t="shared" si="2"/>
        <v>1.7898272950850665E-2</v>
      </c>
    </row>
    <row r="579" spans="1:3" ht="13.2" x14ac:dyDescent="0.25">
      <c r="A579" s="6">
        <v>577</v>
      </c>
      <c r="B579" s="7">
        <v>63.400001525878899</v>
      </c>
      <c r="C579" s="5">
        <f t="shared" si="2"/>
        <v>2.2168250216563656E-2</v>
      </c>
    </row>
    <row r="580" spans="1:3" ht="13.2" x14ac:dyDescent="0.25">
      <c r="A580" s="6">
        <v>578</v>
      </c>
      <c r="B580" s="7">
        <v>64.040000915527301</v>
      </c>
      <c r="C580" s="5">
        <f t="shared" si="2"/>
        <v>1.0044016914022394E-2</v>
      </c>
    </row>
    <row r="581" spans="1:3" ht="13.2" x14ac:dyDescent="0.25">
      <c r="A581" s="6">
        <v>579</v>
      </c>
      <c r="B581" s="7">
        <v>63.439998626708899</v>
      </c>
      <c r="C581" s="5">
        <f t="shared" si="2"/>
        <v>-9.413346745185916E-3</v>
      </c>
    </row>
    <row r="582" spans="1:3" ht="13.2" x14ac:dyDescent="0.25">
      <c r="A582" s="6">
        <v>580</v>
      </c>
      <c r="B582" s="7">
        <v>64.629997253417898</v>
      </c>
      <c r="C582" s="5">
        <f t="shared" si="2"/>
        <v>1.8584101098280969E-2</v>
      </c>
    </row>
    <row r="583" spans="1:3" ht="13.2" x14ac:dyDescent="0.25">
      <c r="A583" s="6">
        <v>581</v>
      </c>
      <c r="B583" s="7">
        <v>62.900001525878899</v>
      </c>
      <c r="C583" s="5">
        <f t="shared" si="2"/>
        <v>-2.7132468812587272E-2</v>
      </c>
    </row>
    <row r="584" spans="1:3" ht="13.2" x14ac:dyDescent="0.25">
      <c r="A584" s="6">
        <v>582</v>
      </c>
      <c r="B584" s="7">
        <v>63.069999694824197</v>
      </c>
      <c r="C584" s="5">
        <f t="shared" si="2"/>
        <v>2.6990278716751345E-3</v>
      </c>
    </row>
    <row r="585" spans="1:3" ht="13.2" x14ac:dyDescent="0.25">
      <c r="A585" s="6">
        <v>583</v>
      </c>
      <c r="B585" s="7">
        <v>63.220001220703097</v>
      </c>
      <c r="C585" s="5">
        <f t="shared" si="2"/>
        <v>2.375510259407802E-3</v>
      </c>
    </row>
    <row r="586" spans="1:3" ht="13.2" x14ac:dyDescent="0.25">
      <c r="A586" s="6">
        <v>584</v>
      </c>
      <c r="B586" s="7">
        <v>63.75</v>
      </c>
      <c r="C586" s="5">
        <f t="shared" si="2"/>
        <v>8.3484579422520681E-3</v>
      </c>
    </row>
    <row r="587" spans="1:3" ht="13.2" x14ac:dyDescent="0.25">
      <c r="A587" s="6">
        <v>585</v>
      </c>
      <c r="B587" s="7">
        <v>64.809997558593693</v>
      </c>
      <c r="C587" s="5">
        <f t="shared" si="2"/>
        <v>1.6490690730878416E-2</v>
      </c>
    </row>
    <row r="588" spans="1:3" ht="13.2" x14ac:dyDescent="0.25">
      <c r="A588" s="6">
        <v>586</v>
      </c>
      <c r="B588" s="7">
        <v>64.690002441406193</v>
      </c>
      <c r="C588" s="5">
        <f t="shared" si="2"/>
        <v>-1.8532069734341163E-3</v>
      </c>
    </row>
    <row r="589" spans="1:3" ht="13.2" x14ac:dyDescent="0.25">
      <c r="A589" s="6">
        <v>587</v>
      </c>
      <c r="B589" s="7">
        <v>65.489997863769503</v>
      </c>
      <c r="C589" s="5">
        <f t="shared" si="2"/>
        <v>1.2290758814795759E-2</v>
      </c>
    </row>
    <row r="590" spans="1:3" ht="13.2" x14ac:dyDescent="0.25">
      <c r="A590" s="6">
        <v>588</v>
      </c>
      <c r="B590" s="7">
        <v>62.659999847412102</v>
      </c>
      <c r="C590" s="5">
        <f t="shared" si="2"/>
        <v>-4.417414352190225E-2</v>
      </c>
    </row>
    <row r="591" spans="1:3" ht="13.2" x14ac:dyDescent="0.25">
      <c r="A591" s="6">
        <v>589</v>
      </c>
      <c r="B591" s="7">
        <v>62.360000610351499</v>
      </c>
      <c r="C591" s="5">
        <f t="shared" si="2"/>
        <v>-4.7992291117495093E-3</v>
      </c>
    </row>
    <row r="592" spans="1:3" ht="13.2" x14ac:dyDescent="0.25">
      <c r="A592" s="6">
        <v>590</v>
      </c>
      <c r="B592" s="7">
        <v>64.349998474121094</v>
      </c>
      <c r="C592" s="5">
        <f t="shared" si="2"/>
        <v>3.1412856352829713E-2</v>
      </c>
    </row>
    <row r="593" spans="1:3" ht="13.2" x14ac:dyDescent="0.25">
      <c r="A593" s="6">
        <v>591</v>
      </c>
      <c r="B593" s="7">
        <v>63.069999694824197</v>
      </c>
      <c r="C593" s="5">
        <f t="shared" si="2"/>
        <v>-2.009169449307769E-2</v>
      </c>
    </row>
    <row r="594" spans="1:3" ht="13.2" x14ac:dyDescent="0.25">
      <c r="A594" s="6">
        <v>592</v>
      </c>
      <c r="B594" s="7">
        <v>62.330001831054602</v>
      </c>
      <c r="C594" s="5">
        <f t="shared" si="2"/>
        <v>-1.1802335639338555E-2</v>
      </c>
    </row>
    <row r="595" spans="1:3" ht="13.2" x14ac:dyDescent="0.25">
      <c r="A595" s="6">
        <v>593</v>
      </c>
      <c r="B595" s="7">
        <v>61.900001525878899</v>
      </c>
      <c r="C595" s="5">
        <f t="shared" si="2"/>
        <v>-6.9226758562779137E-3</v>
      </c>
    </row>
    <row r="596" spans="1:3" ht="13.2" x14ac:dyDescent="0.25">
      <c r="A596" s="6">
        <v>594</v>
      </c>
      <c r="B596" s="7">
        <v>59.209999084472599</v>
      </c>
      <c r="C596" s="5">
        <f t="shared" si="2"/>
        <v>-4.4429773259952676E-2</v>
      </c>
    </row>
    <row r="597" spans="1:3" ht="13.2" x14ac:dyDescent="0.25">
      <c r="A597" s="6">
        <v>595</v>
      </c>
      <c r="B597" s="7">
        <v>57.439998626708899</v>
      </c>
      <c r="C597" s="5">
        <f t="shared" si="2"/>
        <v>-3.0349530249609395E-2</v>
      </c>
    </row>
    <row r="598" spans="1:3" ht="13.2" x14ac:dyDescent="0.25">
      <c r="A598" s="6">
        <v>596</v>
      </c>
      <c r="B598" s="7">
        <v>53.200000762939403</v>
      </c>
      <c r="C598" s="5">
        <f t="shared" si="2"/>
        <v>-7.6682490143132415E-2</v>
      </c>
    </row>
    <row r="599" spans="1:3" ht="13.2" x14ac:dyDescent="0.25">
      <c r="A599" s="6">
        <v>597</v>
      </c>
      <c r="B599" s="7">
        <v>54.209999084472599</v>
      </c>
      <c r="C599" s="5">
        <f t="shared" si="2"/>
        <v>1.8806965695148399E-2</v>
      </c>
    </row>
    <row r="600" spans="1:3" ht="13.2" x14ac:dyDescent="0.25">
      <c r="A600" s="6">
        <v>598</v>
      </c>
      <c r="B600" s="7">
        <v>56.459999084472599</v>
      </c>
      <c r="C600" s="5">
        <f t="shared" si="2"/>
        <v>4.0667030226125181E-2</v>
      </c>
    </row>
    <row r="601" spans="1:3" ht="13.2" x14ac:dyDescent="0.25">
      <c r="A601" s="6">
        <v>599</v>
      </c>
      <c r="B601" s="7">
        <v>57.099998474121001</v>
      </c>
      <c r="C601" s="5">
        <f t="shared" si="2"/>
        <v>1.1271683329201249E-2</v>
      </c>
    </row>
    <row r="602" spans="1:3" ht="13.2" x14ac:dyDescent="0.25">
      <c r="A602" s="6">
        <v>600</v>
      </c>
      <c r="B602" s="7">
        <v>56.650001525878899</v>
      </c>
      <c r="C602" s="5">
        <f t="shared" si="2"/>
        <v>-7.9120755298277504E-3</v>
      </c>
    </row>
    <row r="603" spans="1:3" ht="13.2" x14ac:dyDescent="0.25">
      <c r="A603" s="6">
        <v>601</v>
      </c>
      <c r="B603" s="7">
        <v>55.200000762939403</v>
      </c>
      <c r="C603" s="5">
        <f t="shared" si="2"/>
        <v>-2.5929047304796279E-2</v>
      </c>
    </row>
    <row r="604" spans="1:3" ht="13.2" x14ac:dyDescent="0.25">
      <c r="A604" s="6">
        <v>602</v>
      </c>
      <c r="B604" s="7">
        <v>56.270000457763601</v>
      </c>
      <c r="C604" s="5">
        <f t="shared" si="2"/>
        <v>1.9198574475899052E-2</v>
      </c>
    </row>
    <row r="605" spans="1:3" ht="13.2" x14ac:dyDescent="0.25">
      <c r="A605" s="6">
        <v>603</v>
      </c>
      <c r="B605" s="7">
        <v>58.889999389648402</v>
      </c>
      <c r="C605" s="5">
        <f t="shared" si="2"/>
        <v>4.5509745011899055E-2</v>
      </c>
    </row>
    <row r="606" spans="1:3" ht="13.2" x14ac:dyDescent="0.25">
      <c r="A606" s="6">
        <v>604</v>
      </c>
      <c r="B606" s="7">
        <v>58.720001220703097</v>
      </c>
      <c r="C606" s="5">
        <f t="shared" si="2"/>
        <v>-2.8908814974133753E-3</v>
      </c>
    </row>
    <row r="607" spans="1:3" ht="13.2" x14ac:dyDescent="0.25">
      <c r="A607" s="6">
        <v>605</v>
      </c>
      <c r="B607" s="7">
        <v>57.9799995422363</v>
      </c>
      <c r="C607" s="5">
        <f t="shared" si="2"/>
        <v>-1.2682289496491056E-2</v>
      </c>
    </row>
    <row r="608" spans="1:3" ht="13.2" x14ac:dyDescent="0.25">
      <c r="A608" s="6">
        <v>606</v>
      </c>
      <c r="B608" s="7">
        <v>59.290000915527301</v>
      </c>
      <c r="C608" s="5">
        <f t="shared" si="2"/>
        <v>2.2342557562479867E-2</v>
      </c>
    </row>
    <row r="609" spans="1:3" ht="13.2" x14ac:dyDescent="0.25">
      <c r="A609" s="6">
        <v>607</v>
      </c>
      <c r="B609" s="7">
        <v>57.490001678466797</v>
      </c>
      <c r="C609" s="5">
        <f t="shared" si="2"/>
        <v>-3.0829624329785629E-2</v>
      </c>
    </row>
    <row r="610" spans="1:3" ht="13.2" x14ac:dyDescent="0.25">
      <c r="A610" s="6">
        <v>608</v>
      </c>
      <c r="B610" s="7">
        <v>57.7299995422363</v>
      </c>
      <c r="C610" s="5">
        <f t="shared" si="2"/>
        <v>4.1659123124482842E-3</v>
      </c>
    </row>
    <row r="611" spans="1:3" ht="13.2" x14ac:dyDescent="0.25">
      <c r="A611" s="6">
        <v>609</v>
      </c>
      <c r="B611" s="7">
        <v>58.279998779296797</v>
      </c>
      <c r="C611" s="5">
        <f t="shared" si="2"/>
        <v>9.4819992380611E-3</v>
      </c>
    </row>
    <row r="612" spans="1:3" ht="13.2" x14ac:dyDescent="0.25">
      <c r="A612" s="6">
        <v>610</v>
      </c>
      <c r="B612" s="7">
        <v>59.220001220703097</v>
      </c>
      <c r="C612" s="5">
        <f t="shared" si="2"/>
        <v>1.600038290495278E-2</v>
      </c>
    </row>
    <row r="613" spans="1:3" ht="13.2" x14ac:dyDescent="0.25">
      <c r="A613" s="6">
        <v>611</v>
      </c>
      <c r="B613" s="7">
        <v>60.599998474121001</v>
      </c>
      <c r="C613" s="5">
        <f t="shared" si="2"/>
        <v>2.3035524609281148E-2</v>
      </c>
    </row>
    <row r="614" spans="1:3" ht="13.2" x14ac:dyDescent="0.25">
      <c r="A614" s="6">
        <v>612</v>
      </c>
      <c r="B614" s="7">
        <v>60.119998931884702</v>
      </c>
      <c r="C614" s="5">
        <f t="shared" si="2"/>
        <v>-7.9523207773623227E-3</v>
      </c>
    </row>
    <row r="615" spans="1:3" ht="13.2" x14ac:dyDescent="0.25">
      <c r="A615" s="6">
        <v>613</v>
      </c>
      <c r="B615" s="7">
        <v>60.060001373291001</v>
      </c>
      <c r="C615" s="5">
        <f t="shared" si="2"/>
        <v>-9.9846169788277714E-4</v>
      </c>
    </row>
    <row r="616" spans="1:3" ht="13.2" x14ac:dyDescent="0.25">
      <c r="A616" s="6">
        <v>614</v>
      </c>
      <c r="B616" s="7">
        <v>62.9799995422363</v>
      </c>
      <c r="C616" s="5">
        <f t="shared" si="2"/>
        <v>4.7473122983978648E-2</v>
      </c>
    </row>
    <row r="617" spans="1:3" ht="13.2" x14ac:dyDescent="0.25">
      <c r="A617" s="6">
        <v>615</v>
      </c>
      <c r="B617" s="7">
        <v>64.319999694824205</v>
      </c>
      <c r="C617" s="5">
        <f t="shared" si="2"/>
        <v>2.1053411721581719E-2</v>
      </c>
    </row>
    <row r="618" spans="1:3" ht="13.2" x14ac:dyDescent="0.25">
      <c r="A618" s="6">
        <v>616</v>
      </c>
      <c r="B618" s="7">
        <v>62.5</v>
      </c>
      <c r="C618" s="5">
        <f t="shared" si="2"/>
        <v>-2.8704063383706561E-2</v>
      </c>
    </row>
    <row r="619" spans="1:3" ht="13.2" x14ac:dyDescent="0.25">
      <c r="A619" s="6">
        <v>617</v>
      </c>
      <c r="B619" s="7">
        <v>59.509998321533203</v>
      </c>
      <c r="C619" s="5">
        <f t="shared" si="2"/>
        <v>-4.902221929038119E-2</v>
      </c>
    </row>
    <row r="620" spans="1:3" ht="13.2" x14ac:dyDescent="0.25">
      <c r="A620" s="6">
        <v>618</v>
      </c>
      <c r="B620" s="7">
        <v>59.5</v>
      </c>
      <c r="C620" s="5">
        <f t="shared" si="2"/>
        <v>-1.6802490039049303E-4</v>
      </c>
    </row>
    <row r="621" spans="1:3" ht="13.2" x14ac:dyDescent="0.25">
      <c r="A621" s="6">
        <v>619</v>
      </c>
      <c r="B621" s="7">
        <v>59.220001220703097</v>
      </c>
      <c r="C621" s="5">
        <f t="shared" si="2"/>
        <v>-4.7169692651182317E-3</v>
      </c>
    </row>
    <row r="622" spans="1:3" ht="13.2" x14ac:dyDescent="0.25">
      <c r="A622" s="6">
        <v>620</v>
      </c>
      <c r="B622" s="7">
        <v>58.409999847412102</v>
      </c>
      <c r="C622" s="5">
        <f t="shared" si="2"/>
        <v>-1.377223784660706E-2</v>
      </c>
    </row>
    <row r="623" spans="1:3" ht="13.2" x14ac:dyDescent="0.25">
      <c r="A623" s="6">
        <v>621</v>
      </c>
      <c r="B623" s="7">
        <v>56.650001525878899</v>
      </c>
      <c r="C623" s="5">
        <f t="shared" si="2"/>
        <v>-3.0595091030647125E-2</v>
      </c>
    </row>
    <row r="624" spans="1:3" ht="13.2" x14ac:dyDescent="0.25">
      <c r="A624" s="6">
        <v>622</v>
      </c>
      <c r="B624" s="7">
        <v>57.779998779296797</v>
      </c>
      <c r="C624" s="5">
        <f t="shared" si="2"/>
        <v>1.9750659502134373E-2</v>
      </c>
    </row>
    <row r="625" spans="1:3" ht="13.2" x14ac:dyDescent="0.25">
      <c r="A625" s="6">
        <v>623</v>
      </c>
      <c r="B625" s="7">
        <v>57.779998779296797</v>
      </c>
      <c r="C625" s="5">
        <f t="shared" si="2"/>
        <v>0</v>
      </c>
    </row>
    <row r="626" spans="1:3" ht="13.2" x14ac:dyDescent="0.25">
      <c r="A626" s="6">
        <v>624</v>
      </c>
      <c r="B626" s="7">
        <v>59.610000610351499</v>
      </c>
      <c r="C626" s="5">
        <f t="shared" si="2"/>
        <v>3.1180681559567977E-2</v>
      </c>
    </row>
    <row r="627" spans="1:3" ht="13.2" x14ac:dyDescent="0.25">
      <c r="A627" s="6">
        <v>625</v>
      </c>
      <c r="B627" s="7">
        <v>57.610000610351499</v>
      </c>
      <c r="C627" s="5">
        <f t="shared" si="2"/>
        <v>-3.4127181132081588E-2</v>
      </c>
    </row>
    <row r="628" spans="1:3" ht="13.2" x14ac:dyDescent="0.25">
      <c r="A628" s="6">
        <v>626</v>
      </c>
      <c r="B628" s="7">
        <v>55.840000152587798</v>
      </c>
      <c r="C628" s="5">
        <f t="shared" si="2"/>
        <v>-3.1205713152126061E-2</v>
      </c>
    </row>
    <row r="629" spans="1:3" ht="13.2" x14ac:dyDescent="0.25">
      <c r="A629" s="6">
        <v>627</v>
      </c>
      <c r="B629" s="7">
        <v>55.990001678466797</v>
      </c>
      <c r="C629" s="5">
        <f t="shared" si="2"/>
        <v>2.6826721520694708E-3</v>
      </c>
    </row>
    <row r="630" spans="1:3" ht="13.2" x14ac:dyDescent="0.25">
      <c r="A630" s="6">
        <v>628</v>
      </c>
      <c r="B630" s="7">
        <v>56.139999389648402</v>
      </c>
      <c r="C630" s="5">
        <f t="shared" si="2"/>
        <v>2.6754267230045632E-3</v>
      </c>
    </row>
    <row r="631" spans="1:3" ht="13.2" x14ac:dyDescent="0.25">
      <c r="A631" s="6">
        <v>629</v>
      </c>
      <c r="B631" s="7">
        <v>56.189998626708899</v>
      </c>
      <c r="C631" s="5">
        <f t="shared" si="2"/>
        <v>8.9022062219237764E-4</v>
      </c>
    </row>
    <row r="632" spans="1:3" ht="13.2" x14ac:dyDescent="0.25">
      <c r="A632" s="6">
        <v>630</v>
      </c>
      <c r="B632" s="7">
        <v>61.490001678466797</v>
      </c>
      <c r="C632" s="5">
        <f t="shared" si="2"/>
        <v>9.0135806577986519E-2</v>
      </c>
    </row>
    <row r="633" spans="1:3" ht="13.2" x14ac:dyDescent="0.25">
      <c r="A633" s="6">
        <v>631</v>
      </c>
      <c r="B633" s="7">
        <v>62.610000610351499</v>
      </c>
      <c r="C633" s="5">
        <f t="shared" si="2"/>
        <v>1.8050432243726256E-2</v>
      </c>
    </row>
    <row r="634" spans="1:3" ht="13.2" x14ac:dyDescent="0.25">
      <c r="A634" s="6">
        <v>632</v>
      </c>
      <c r="B634" s="7">
        <v>62.900001525878899</v>
      </c>
      <c r="C634" s="5">
        <f t="shared" si="2"/>
        <v>4.6211684595148994E-3</v>
      </c>
    </row>
    <row r="635" spans="1:3" ht="13.2" x14ac:dyDescent="0.25">
      <c r="A635" s="6">
        <v>633</v>
      </c>
      <c r="B635" s="7">
        <v>67.089996337890597</v>
      </c>
      <c r="C635" s="5">
        <f t="shared" si="2"/>
        <v>6.4488759024568382E-2</v>
      </c>
    </row>
    <row r="636" spans="1:3" ht="13.2" x14ac:dyDescent="0.25">
      <c r="A636" s="6">
        <v>634</v>
      </c>
      <c r="B636" s="7">
        <v>62.049999237060497</v>
      </c>
      <c r="C636" s="5">
        <f t="shared" si="2"/>
        <v>-7.8094447634713002E-2</v>
      </c>
    </row>
    <row r="637" spans="1:3" ht="13.2" x14ac:dyDescent="0.25">
      <c r="A637" s="6">
        <v>635</v>
      </c>
      <c r="B637" s="7">
        <v>59.290000915527301</v>
      </c>
      <c r="C637" s="5">
        <f t="shared" si="2"/>
        <v>-4.5499826194266887E-2</v>
      </c>
    </row>
    <row r="638" spans="1:3" ht="13.2" x14ac:dyDescent="0.25">
      <c r="A638" s="6">
        <v>636</v>
      </c>
      <c r="B638" s="7">
        <v>60.709999084472599</v>
      </c>
      <c r="C638" s="5">
        <f t="shared" si="2"/>
        <v>2.3667740901214096E-2</v>
      </c>
    </row>
    <row r="639" spans="1:3" ht="13.2" x14ac:dyDescent="0.25">
      <c r="A639" s="6">
        <v>637</v>
      </c>
      <c r="B639" s="7">
        <v>61.259998321533203</v>
      </c>
      <c r="C639" s="5">
        <f t="shared" si="2"/>
        <v>9.0186599435593505E-3</v>
      </c>
    </row>
    <row r="640" spans="1:3" ht="13.2" x14ac:dyDescent="0.25">
      <c r="A640" s="6">
        <v>638</v>
      </c>
      <c r="B640" s="7">
        <v>60.330001831054602</v>
      </c>
      <c r="C640" s="5">
        <f t="shared" si="2"/>
        <v>-1.5297551202244542E-2</v>
      </c>
    </row>
    <row r="641" spans="1:3" ht="13.2" x14ac:dyDescent="0.25">
      <c r="A641" s="6">
        <v>639</v>
      </c>
      <c r="B641" s="7">
        <v>60.270000457763601</v>
      </c>
      <c r="C641" s="5">
        <f t="shared" si="2"/>
        <v>-9.950477131504213E-4</v>
      </c>
    </row>
    <row r="642" spans="1:3" ht="13.2" x14ac:dyDescent="0.25">
      <c r="A642" s="6">
        <v>640</v>
      </c>
      <c r="B642" s="7">
        <v>58.130001068115199</v>
      </c>
      <c r="C642" s="5">
        <f t="shared" si="2"/>
        <v>-3.6152575002313739E-2</v>
      </c>
    </row>
    <row r="643" spans="1:3" ht="13.2" x14ac:dyDescent="0.25">
      <c r="A643" s="6">
        <v>641</v>
      </c>
      <c r="B643" s="7">
        <v>59.369998931884702</v>
      </c>
      <c r="C643" s="5">
        <f t="shared" si="2"/>
        <v>2.1107130203904721E-2</v>
      </c>
    </row>
    <row r="644" spans="1:3" ht="13.2" x14ac:dyDescent="0.25">
      <c r="A644" s="6">
        <v>642</v>
      </c>
      <c r="B644" s="7">
        <v>57.909999847412102</v>
      </c>
      <c r="C644" s="5">
        <f t="shared" si="2"/>
        <v>-2.4898951688974685E-2</v>
      </c>
    </row>
    <row r="645" spans="1:3" ht="13.2" x14ac:dyDescent="0.25">
      <c r="A645" s="6">
        <v>643</v>
      </c>
      <c r="B645" s="7">
        <v>58.430000305175703</v>
      </c>
      <c r="C645" s="5">
        <f t="shared" si="2"/>
        <v>8.939383186490079E-3</v>
      </c>
    </row>
    <row r="646" spans="1:3" ht="13.2" x14ac:dyDescent="0.25">
      <c r="A646" s="6">
        <v>644</v>
      </c>
      <c r="B646" s="7">
        <v>58.970001220703097</v>
      </c>
      <c r="C646" s="5">
        <f t="shared" si="2"/>
        <v>9.1993989235472605E-3</v>
      </c>
    </row>
    <row r="647" spans="1:3" ht="13.2" x14ac:dyDescent="0.25">
      <c r="A647" s="6">
        <v>645</v>
      </c>
      <c r="B647" s="7">
        <v>57.169998168945298</v>
      </c>
      <c r="C647" s="5">
        <f t="shared" si="2"/>
        <v>-3.0999607465185652E-2</v>
      </c>
    </row>
    <row r="648" spans="1:3" ht="13.2" x14ac:dyDescent="0.25">
      <c r="A648" s="6">
        <v>646</v>
      </c>
      <c r="B648" s="7">
        <v>56.459999084472599</v>
      </c>
      <c r="C648" s="5">
        <f t="shared" si="2"/>
        <v>-1.249684663779725E-2</v>
      </c>
    </row>
    <row r="649" spans="1:3" ht="13.2" x14ac:dyDescent="0.25">
      <c r="A649" s="6">
        <v>647</v>
      </c>
      <c r="B649" s="7">
        <v>57.770000457763601</v>
      </c>
      <c r="C649" s="5">
        <f t="shared" si="2"/>
        <v>2.2937211107234026E-2</v>
      </c>
    </row>
    <row r="650" spans="1:3" ht="13.2" x14ac:dyDescent="0.25">
      <c r="A650" s="6">
        <v>648</v>
      </c>
      <c r="B650" s="7">
        <v>58.520000457763601</v>
      </c>
      <c r="C650" s="5">
        <f t="shared" si="2"/>
        <v>1.2898966257195643E-2</v>
      </c>
    </row>
    <row r="651" spans="1:3" ht="13.2" x14ac:dyDescent="0.25">
      <c r="A651" s="6">
        <v>649</v>
      </c>
      <c r="B651" s="7">
        <v>58.099998474121001</v>
      </c>
      <c r="C651" s="5">
        <f t="shared" si="2"/>
        <v>-7.2029463793804359E-3</v>
      </c>
    </row>
    <row r="652" spans="1:3" ht="13.2" x14ac:dyDescent="0.25">
      <c r="A652" s="6">
        <v>650</v>
      </c>
      <c r="B652" s="7">
        <v>59.540000915527301</v>
      </c>
      <c r="C652" s="5">
        <f t="shared" si="2"/>
        <v>2.4482733369418745E-2</v>
      </c>
    </row>
    <row r="653" spans="1:3" ht="13.2" x14ac:dyDescent="0.25">
      <c r="A653" s="6">
        <v>651</v>
      </c>
      <c r="B653" s="7">
        <v>61.159999847412102</v>
      </c>
      <c r="C653" s="5">
        <f t="shared" si="2"/>
        <v>2.6845007601658213E-2</v>
      </c>
    </row>
    <row r="654" spans="1:3" ht="13.2" x14ac:dyDescent="0.25">
      <c r="A654" s="6">
        <v>652</v>
      </c>
      <c r="B654" s="7">
        <v>61.439998626708899</v>
      </c>
      <c r="C654" s="5">
        <f t="shared" si="2"/>
        <v>4.5676879217086078E-3</v>
      </c>
    </row>
    <row r="655" spans="1:3" ht="13.2" x14ac:dyDescent="0.25">
      <c r="A655" s="6">
        <v>653</v>
      </c>
      <c r="B655" s="7">
        <v>61.090000152587798</v>
      </c>
      <c r="C655" s="5">
        <f t="shared" si="2"/>
        <v>-5.7128773282435676E-3</v>
      </c>
    </row>
    <row r="656" spans="1:3" ht="13.2" x14ac:dyDescent="0.25">
      <c r="A656" s="6">
        <v>654</v>
      </c>
      <c r="B656" s="7">
        <v>64.720001220703097</v>
      </c>
      <c r="C656" s="5">
        <f t="shared" si="2"/>
        <v>5.7722102452102755E-2</v>
      </c>
    </row>
    <row r="657" spans="1:3" ht="13.2" x14ac:dyDescent="0.25">
      <c r="A657" s="6">
        <v>655</v>
      </c>
      <c r="B657" s="7">
        <v>64.660003662109304</v>
      </c>
      <c r="C657" s="5">
        <f t="shared" si="2"/>
        <v>-9.2746267785190134E-4</v>
      </c>
    </row>
    <row r="658" spans="1:3" ht="13.2" x14ac:dyDescent="0.25">
      <c r="A658" s="6">
        <v>656</v>
      </c>
      <c r="B658" s="7">
        <v>62.4799995422363</v>
      </c>
      <c r="C658" s="5">
        <f t="shared" si="2"/>
        <v>-3.4296330728813731E-2</v>
      </c>
    </row>
    <row r="659" spans="1:3" ht="13.2" x14ac:dyDescent="0.25">
      <c r="A659" s="6">
        <v>657</v>
      </c>
      <c r="B659" s="7">
        <v>62.180000305175703</v>
      </c>
      <c r="C659" s="5">
        <f t="shared" si="2"/>
        <v>-4.8130886663191657E-3</v>
      </c>
    </row>
    <row r="660" spans="1:3" ht="13.2" x14ac:dyDescent="0.25">
      <c r="A660" s="6">
        <v>658</v>
      </c>
      <c r="B660" s="7">
        <v>63.439998626708899</v>
      </c>
      <c r="C660" s="5">
        <f t="shared" si="2"/>
        <v>2.0061146140959198E-2</v>
      </c>
    </row>
    <row r="661" spans="1:3" ht="13.2" x14ac:dyDescent="0.25">
      <c r="A661" s="6">
        <v>659</v>
      </c>
      <c r="B661" s="7">
        <v>63.569999694824197</v>
      </c>
      <c r="C661" s="5">
        <f t="shared" si="2"/>
        <v>2.0471004681843047E-3</v>
      </c>
    </row>
    <row r="662" spans="1:3" ht="13.2" x14ac:dyDescent="0.25">
      <c r="A662" s="6">
        <v>660</v>
      </c>
      <c r="B662" s="7">
        <v>63.220001220703097</v>
      </c>
      <c r="C662" s="5">
        <f t="shared" si="2"/>
        <v>-5.5209300514077455E-3</v>
      </c>
    </row>
    <row r="663" spans="1:3" ht="13.2" x14ac:dyDescent="0.25">
      <c r="A663" s="6">
        <v>661</v>
      </c>
      <c r="B663" s="7">
        <v>64.519996643066406</v>
      </c>
      <c r="C663" s="5">
        <f t="shared" si="2"/>
        <v>2.0354475131374398E-2</v>
      </c>
    </row>
    <row r="664" spans="1:3" ht="13.2" x14ac:dyDescent="0.25">
      <c r="A664" s="6">
        <v>662</v>
      </c>
      <c r="B664" s="7">
        <v>61.400001525878899</v>
      </c>
      <c r="C664" s="5">
        <f t="shared" si="2"/>
        <v>-4.9565341223113429E-2</v>
      </c>
    </row>
    <row r="665" spans="1:3" ht="13.2" x14ac:dyDescent="0.25">
      <c r="A665" s="6">
        <v>663</v>
      </c>
      <c r="B665" s="7">
        <v>62.290000915527301</v>
      </c>
      <c r="C665" s="5">
        <f t="shared" si="2"/>
        <v>1.4391053959331246E-2</v>
      </c>
    </row>
    <row r="666" spans="1:3" ht="13.2" x14ac:dyDescent="0.25">
      <c r="A666" s="6">
        <v>664</v>
      </c>
      <c r="B666" s="7">
        <v>60.720001220703097</v>
      </c>
      <c r="C666" s="5">
        <f t="shared" si="2"/>
        <v>-2.5527760772695331E-2</v>
      </c>
    </row>
    <row r="667" spans="1:3" ht="13.2" x14ac:dyDescent="0.25">
      <c r="A667" s="6">
        <v>665</v>
      </c>
      <c r="B667" s="7">
        <v>62.599998474121001</v>
      </c>
      <c r="C667" s="5">
        <f t="shared" si="2"/>
        <v>3.0492100539808425E-2</v>
      </c>
    </row>
    <row r="668" spans="1:3" ht="13.2" x14ac:dyDescent="0.25">
      <c r="A668" s="6">
        <v>666</v>
      </c>
      <c r="B668" s="7">
        <v>62.630001068115199</v>
      </c>
      <c r="C668" s="5">
        <f t="shared" si="2"/>
        <v>4.7915986070277039E-4</v>
      </c>
    </row>
    <row r="669" spans="1:3" ht="13.2" x14ac:dyDescent="0.25">
      <c r="A669" s="6">
        <v>667</v>
      </c>
      <c r="B669" s="7">
        <v>62.509998321533203</v>
      </c>
      <c r="C669" s="5">
        <f t="shared" si="2"/>
        <v>-1.91789649914336E-3</v>
      </c>
    </row>
    <row r="670" spans="1:3" ht="13.2" x14ac:dyDescent="0.25">
      <c r="A670" s="6">
        <v>668</v>
      </c>
      <c r="B670" s="7">
        <v>64.110000610351506</v>
      </c>
      <c r="C670" s="5">
        <f t="shared" si="2"/>
        <v>2.5273850426997049E-2</v>
      </c>
    </row>
    <row r="671" spans="1:3" ht="13.2" x14ac:dyDescent="0.25">
      <c r="A671" s="6">
        <v>669</v>
      </c>
      <c r="B671" s="7">
        <v>61.700000762939403</v>
      </c>
      <c r="C671" s="5">
        <f t="shared" si="2"/>
        <v>-3.8316424242896628E-2</v>
      </c>
    </row>
    <row r="672" spans="1:3" ht="13.2" x14ac:dyDescent="0.25">
      <c r="A672" s="6">
        <v>670</v>
      </c>
      <c r="B672" s="7">
        <v>63.490001678466797</v>
      </c>
      <c r="C672" s="5">
        <f t="shared" si="2"/>
        <v>2.8598496342421103E-2</v>
      </c>
    </row>
    <row r="673" spans="1:3" ht="13.2" x14ac:dyDescent="0.25">
      <c r="A673" s="6">
        <v>671</v>
      </c>
      <c r="B673" s="7">
        <v>63.4799995422363</v>
      </c>
      <c r="C673" s="5">
        <f t="shared" si="2"/>
        <v>-1.5755117200952286E-4</v>
      </c>
    </row>
    <row r="674" spans="1:3" ht="13.2" x14ac:dyDescent="0.25">
      <c r="A674" s="6">
        <v>672</v>
      </c>
      <c r="B674" s="7">
        <v>63.810001373291001</v>
      </c>
      <c r="C674" s="5">
        <f t="shared" si="2"/>
        <v>5.185050954759512E-3</v>
      </c>
    </row>
    <row r="675" spans="1:3" ht="13.2" x14ac:dyDescent="0.25">
      <c r="A675" s="6">
        <v>673</v>
      </c>
      <c r="B675" s="7">
        <v>65.959999084472599</v>
      </c>
      <c r="C675" s="5">
        <f t="shared" si="2"/>
        <v>3.3138544409539332E-2</v>
      </c>
    </row>
    <row r="676" spans="1:3" ht="13.2" x14ac:dyDescent="0.25">
      <c r="A676" s="6">
        <v>674</v>
      </c>
      <c r="B676" s="7">
        <v>66</v>
      </c>
      <c r="C676" s="5">
        <f t="shared" si="2"/>
        <v>6.0625821506687569E-4</v>
      </c>
    </row>
    <row r="677" spans="1:3" ht="13.2" x14ac:dyDescent="0.25">
      <c r="A677" s="6">
        <v>675</v>
      </c>
      <c r="B677" s="7">
        <v>65.849998474121094</v>
      </c>
      <c r="C677" s="5">
        <f t="shared" si="2"/>
        <v>-2.2753370091768391E-3</v>
      </c>
    </row>
    <row r="678" spans="1:3" ht="13.2" x14ac:dyDescent="0.25">
      <c r="A678" s="6">
        <v>676</v>
      </c>
      <c r="B678" s="7">
        <v>65.370002746582003</v>
      </c>
      <c r="C678" s="5">
        <f t="shared" si="2"/>
        <v>-7.3159253766713382E-3</v>
      </c>
    </row>
    <row r="679" spans="1:3" ht="13.2" x14ac:dyDescent="0.25">
      <c r="A679" s="6">
        <v>677</v>
      </c>
      <c r="B679" s="7">
        <v>65.809997558593693</v>
      </c>
      <c r="C679" s="5">
        <f t="shared" si="2"/>
        <v>6.7082857296482789E-3</v>
      </c>
    </row>
    <row r="680" spans="1:3" ht="13.2" x14ac:dyDescent="0.25">
      <c r="A680" s="6">
        <v>678</v>
      </c>
      <c r="B680" s="7">
        <v>69.569999694824205</v>
      </c>
      <c r="C680" s="5">
        <f t="shared" si="2"/>
        <v>5.5561670178723745E-2</v>
      </c>
    </row>
    <row r="681" spans="1:3" ht="13.2" x14ac:dyDescent="0.25">
      <c r="A681" s="6">
        <v>679</v>
      </c>
      <c r="B681" s="7">
        <v>67.180000305175696</v>
      </c>
      <c r="C681" s="5">
        <f t="shared" si="2"/>
        <v>-3.4957846822145859E-2</v>
      </c>
    </row>
    <row r="682" spans="1:3" ht="13.2" x14ac:dyDescent="0.25">
      <c r="A682" s="6">
        <v>680</v>
      </c>
      <c r="B682" s="7">
        <v>69.910003662109304</v>
      </c>
      <c r="C682" s="5">
        <f t="shared" si="2"/>
        <v>3.9833164180285853E-2</v>
      </c>
    </row>
    <row r="683" spans="1:3" ht="13.2" x14ac:dyDescent="0.25">
      <c r="A683" s="6">
        <v>681</v>
      </c>
      <c r="B683" s="7">
        <v>69.680000305175696</v>
      </c>
      <c r="C683" s="5">
        <f t="shared" si="2"/>
        <v>-3.2954159831678808E-3</v>
      </c>
    </row>
    <row r="684" spans="1:3" ht="13.2" x14ac:dyDescent="0.25">
      <c r="A684" s="6">
        <v>682</v>
      </c>
      <c r="B684" s="7">
        <v>70.599998474121094</v>
      </c>
      <c r="C684" s="5">
        <f t="shared" si="2"/>
        <v>1.311678596225908E-2</v>
      </c>
    </row>
    <row r="685" spans="1:3" ht="13.2" x14ac:dyDescent="0.25">
      <c r="A685" s="6">
        <v>683</v>
      </c>
      <c r="B685" s="7">
        <v>70.760002136230398</v>
      </c>
      <c r="C685" s="5">
        <f t="shared" si="2"/>
        <v>2.2637765952057336E-3</v>
      </c>
    </row>
    <row r="686" spans="1:3" ht="13.2" x14ac:dyDescent="0.25">
      <c r="A686" s="6">
        <v>684</v>
      </c>
      <c r="B686" s="7">
        <v>68.290000915527301</v>
      </c>
      <c r="C686" s="5">
        <f t="shared" si="2"/>
        <v>-3.5530543101926264E-2</v>
      </c>
    </row>
    <row r="687" spans="1:3" ht="13.2" x14ac:dyDescent="0.25">
      <c r="A687" s="6">
        <v>685</v>
      </c>
      <c r="B687" s="7">
        <v>69.050003051757798</v>
      </c>
      <c r="C687" s="5">
        <f t="shared" si="2"/>
        <v>1.1067567672187794E-2</v>
      </c>
    </row>
    <row r="688" spans="1:3" ht="13.2" x14ac:dyDescent="0.25">
      <c r="A688" s="6">
        <v>686</v>
      </c>
      <c r="B688" s="7">
        <v>70.110000610351506</v>
      </c>
      <c r="C688" s="5">
        <f t="shared" si="2"/>
        <v>1.5234521872855596E-2</v>
      </c>
    </row>
    <row r="689" spans="1:3" ht="13.2" x14ac:dyDescent="0.25">
      <c r="A689" s="6">
        <v>687</v>
      </c>
      <c r="B689" s="7">
        <v>72.599998474121094</v>
      </c>
      <c r="C689" s="5">
        <f t="shared" si="2"/>
        <v>3.4899454888631158E-2</v>
      </c>
    </row>
    <row r="690" spans="1:3" ht="13.2" x14ac:dyDescent="0.25">
      <c r="A690" s="6">
        <v>688</v>
      </c>
      <c r="B690" s="7">
        <v>71.5</v>
      </c>
      <c r="C690" s="5">
        <f t="shared" si="2"/>
        <v>-1.5267451113172419E-2</v>
      </c>
    </row>
    <row r="691" spans="1:3" ht="13.2" x14ac:dyDescent="0.25">
      <c r="A691" s="6">
        <v>689</v>
      </c>
      <c r="B691" s="7">
        <v>72.069999694824205</v>
      </c>
      <c r="C691" s="5">
        <f t="shared" si="2"/>
        <v>7.9404150019517488E-3</v>
      </c>
    </row>
    <row r="692" spans="1:3" ht="13.2" x14ac:dyDescent="0.25">
      <c r="A692" s="6">
        <v>690</v>
      </c>
      <c r="B692" s="7">
        <v>72.410003662109304</v>
      </c>
      <c r="C692" s="5">
        <f t="shared" si="2"/>
        <v>4.7065972734492241E-3</v>
      </c>
    </row>
    <row r="693" spans="1:3" ht="13.2" x14ac:dyDescent="0.25">
      <c r="A693" s="6">
        <v>691</v>
      </c>
      <c r="B693" s="7">
        <v>73</v>
      </c>
      <c r="C693" s="5">
        <f t="shared" si="2"/>
        <v>8.1149791730282528E-3</v>
      </c>
    </row>
    <row r="694" spans="1:3" ht="13.2" x14ac:dyDescent="0.25">
      <c r="A694" s="6">
        <v>692</v>
      </c>
      <c r="B694" s="7">
        <v>74.440002441406193</v>
      </c>
      <c r="C694" s="5">
        <f t="shared" si="2"/>
        <v>1.9534023422624877E-2</v>
      </c>
    </row>
    <row r="695" spans="1:3" ht="13.2" x14ac:dyDescent="0.25">
      <c r="A695" s="6">
        <v>693</v>
      </c>
      <c r="B695" s="7">
        <v>74.239997863769503</v>
      </c>
      <c r="C695" s="5">
        <f t="shared" si="2"/>
        <v>-2.6904048677277976E-3</v>
      </c>
    </row>
    <row r="696" spans="1:3" ht="13.2" x14ac:dyDescent="0.25">
      <c r="A696" s="6">
        <v>694</v>
      </c>
      <c r="B696" s="7">
        <v>74.069999694824205</v>
      </c>
      <c r="C696" s="5">
        <f t="shared" si="2"/>
        <v>-2.2924717981902733E-3</v>
      </c>
    </row>
    <row r="697" spans="1:3" ht="13.2" x14ac:dyDescent="0.25">
      <c r="A697" s="6">
        <v>695</v>
      </c>
      <c r="B697" s="7">
        <v>73.069999694824205</v>
      </c>
      <c r="C697" s="5">
        <f t="shared" si="2"/>
        <v>-1.3592706278457045E-2</v>
      </c>
    </row>
    <row r="698" spans="1:3" ht="13.2" x14ac:dyDescent="0.25">
      <c r="A698" s="6">
        <v>696</v>
      </c>
      <c r="B698" s="7">
        <v>75.080001831054602</v>
      </c>
      <c r="C698" s="5">
        <f t="shared" si="2"/>
        <v>2.7136354479714259E-2</v>
      </c>
    </row>
    <row r="699" spans="1:3" ht="13.2" x14ac:dyDescent="0.25">
      <c r="A699" s="6">
        <v>697</v>
      </c>
      <c r="B699" s="7">
        <v>72.040000915527301</v>
      </c>
      <c r="C699" s="5">
        <f t="shared" si="2"/>
        <v>-4.1332703090003378E-2</v>
      </c>
    </row>
    <row r="700" spans="1:3" ht="13.2" x14ac:dyDescent="0.25">
      <c r="A700" s="6">
        <v>698</v>
      </c>
      <c r="B700" s="7">
        <v>71.150001525878906</v>
      </c>
      <c r="C700" s="5">
        <f t="shared" si="2"/>
        <v>-1.2431187034546884E-2</v>
      </c>
    </row>
    <row r="701" spans="1:3" ht="13.2" x14ac:dyDescent="0.25">
      <c r="A701" s="6">
        <v>699</v>
      </c>
      <c r="B701" s="7">
        <v>72.290000915527301</v>
      </c>
      <c r="C701" s="5">
        <f t="shared" si="2"/>
        <v>1.5895473695047336E-2</v>
      </c>
    </row>
    <row r="702" spans="1:3" ht="13.2" x14ac:dyDescent="0.25">
      <c r="A702" s="6">
        <v>700</v>
      </c>
      <c r="B702" s="7">
        <v>71.580001831054602</v>
      </c>
      <c r="C702" s="5">
        <f t="shared" si="2"/>
        <v>-9.8700887584391214E-3</v>
      </c>
    </row>
    <row r="703" spans="1:3" ht="13.2" x14ac:dyDescent="0.25">
      <c r="A703" s="6">
        <v>701</v>
      </c>
      <c r="B703" s="7">
        <v>70.849998474121094</v>
      </c>
      <c r="C703" s="5">
        <f t="shared" si="2"/>
        <v>-1.0250786318476259E-2</v>
      </c>
    </row>
    <row r="704" spans="1:3" ht="13.2" x14ac:dyDescent="0.25">
      <c r="A704" s="6">
        <v>702</v>
      </c>
      <c r="B704" s="7">
        <v>70.160003662109304</v>
      </c>
      <c r="C704" s="5">
        <f t="shared" si="2"/>
        <v>-9.7865443394697781E-3</v>
      </c>
    </row>
    <row r="705" spans="1:3" ht="13.2" x14ac:dyDescent="0.25">
      <c r="A705" s="6">
        <v>703</v>
      </c>
      <c r="B705" s="7">
        <v>73.129997253417898</v>
      </c>
      <c r="C705" s="5">
        <f t="shared" si="2"/>
        <v>4.146024146486306E-2</v>
      </c>
    </row>
    <row r="706" spans="1:3" ht="13.2" x14ac:dyDescent="0.25">
      <c r="A706" s="6">
        <v>704</v>
      </c>
      <c r="B706" s="7">
        <v>75.540000915527301</v>
      </c>
      <c r="C706" s="5">
        <f t="shared" si="2"/>
        <v>3.2423687678749015E-2</v>
      </c>
    </row>
    <row r="707" spans="1:3" ht="13.2" x14ac:dyDescent="0.25">
      <c r="A707" s="6">
        <v>705</v>
      </c>
      <c r="B707" s="7">
        <v>76.309997558593693</v>
      </c>
      <c r="C707" s="5">
        <f t="shared" si="2"/>
        <v>1.0141629904193974E-2</v>
      </c>
    </row>
    <row r="708" spans="1:3" ht="13.2" x14ac:dyDescent="0.25">
      <c r="A708" s="6">
        <v>706</v>
      </c>
      <c r="B708" s="7">
        <v>76.319999694824205</v>
      </c>
      <c r="C708" s="5">
        <f t="shared" si="2"/>
        <v>1.3106383312345814E-4</v>
      </c>
    </row>
    <row r="709" spans="1:3" ht="13.2" x14ac:dyDescent="0.25">
      <c r="A709" s="6">
        <v>707</v>
      </c>
      <c r="B709" s="7">
        <v>76.690002441406193</v>
      </c>
      <c r="C709" s="5">
        <f t="shared" si="2"/>
        <v>4.83633047011078E-3</v>
      </c>
    </row>
    <row r="710" spans="1:3" ht="13.2" x14ac:dyDescent="0.25">
      <c r="A710" s="6">
        <v>708</v>
      </c>
      <c r="B710" s="7">
        <v>75.239997863769503</v>
      </c>
      <c r="C710" s="5">
        <f t="shared" si="2"/>
        <v>-1.9088377570896108E-2</v>
      </c>
    </row>
    <row r="711" spans="1:3" ht="13.2" x14ac:dyDescent="0.25">
      <c r="A711" s="6">
        <v>709</v>
      </c>
      <c r="B711" s="7">
        <v>74.769996643066406</v>
      </c>
      <c r="C711" s="5">
        <f t="shared" si="2"/>
        <v>-6.2662859255859594E-3</v>
      </c>
    </row>
    <row r="712" spans="1:3" ht="13.2" x14ac:dyDescent="0.25">
      <c r="A712" s="6">
        <v>710</v>
      </c>
      <c r="B712" s="7">
        <v>73.940002441406193</v>
      </c>
      <c r="C712" s="5">
        <f t="shared" si="2"/>
        <v>-1.1162703587792188E-2</v>
      </c>
    </row>
    <row r="713" spans="1:3" ht="13.2" x14ac:dyDescent="0.25">
      <c r="A713" s="6">
        <v>711</v>
      </c>
      <c r="B713" s="7">
        <v>73.559997558593693</v>
      </c>
      <c r="C713" s="5">
        <f t="shared" si="2"/>
        <v>-5.1526199804320747E-3</v>
      </c>
    </row>
    <row r="714" spans="1:3" ht="13.2" x14ac:dyDescent="0.25">
      <c r="A714" s="6">
        <v>712</v>
      </c>
      <c r="B714" s="7">
        <v>73.559997558593693</v>
      </c>
      <c r="C714" s="5">
        <f t="shared" si="2"/>
        <v>0</v>
      </c>
    </row>
    <row r="715" spans="1:3" ht="13.2" x14ac:dyDescent="0.25">
      <c r="A715" s="6">
        <v>713</v>
      </c>
      <c r="B715" s="7">
        <v>74.519996643066406</v>
      </c>
      <c r="C715" s="5">
        <f t="shared" si="2"/>
        <v>1.2966134139167912E-2</v>
      </c>
    </row>
    <row r="716" spans="1:3" ht="13.2" x14ac:dyDescent="0.25">
      <c r="A716" s="6">
        <v>714</v>
      </c>
      <c r="B716" s="7">
        <v>73.650001525878906</v>
      </c>
      <c r="C716" s="5">
        <f t="shared" si="2"/>
        <v>-1.1743337059353872E-2</v>
      </c>
    </row>
    <row r="717" spans="1:3" ht="13.2" x14ac:dyDescent="0.25">
      <c r="A717" s="6">
        <v>715</v>
      </c>
      <c r="B717" s="7">
        <v>73.5</v>
      </c>
      <c r="C717" s="5">
        <f t="shared" si="2"/>
        <v>-2.0387574078237552E-3</v>
      </c>
    </row>
    <row r="718" spans="1:3" ht="13.2" x14ac:dyDescent="0.25">
      <c r="A718" s="6">
        <v>716</v>
      </c>
      <c r="B718" s="7">
        <v>73.610000610351506</v>
      </c>
      <c r="C718" s="5">
        <f t="shared" si="2"/>
        <v>1.4954881435162129E-3</v>
      </c>
    </row>
    <row r="719" spans="1:3" ht="13.2" x14ac:dyDescent="0.25">
      <c r="A719" s="6">
        <v>717</v>
      </c>
      <c r="B719" s="7">
        <v>73.400001525878906</v>
      </c>
      <c r="C719" s="5">
        <f t="shared" si="2"/>
        <v>-2.8569379532966226E-3</v>
      </c>
    </row>
    <row r="720" spans="1:3" ht="13.2" x14ac:dyDescent="0.25">
      <c r="A720" s="6">
        <v>718</v>
      </c>
      <c r="B720" s="7">
        <v>71.129997253417898</v>
      </c>
      <c r="C720" s="5">
        <f t="shared" si="2"/>
        <v>-3.1414806277141667E-2</v>
      </c>
    </row>
    <row r="721" spans="1:3" ht="13.2" x14ac:dyDescent="0.25">
      <c r="A721" s="6">
        <v>719</v>
      </c>
      <c r="B721" s="7">
        <v>69.470001220703097</v>
      </c>
      <c r="C721" s="5">
        <f t="shared" si="2"/>
        <v>-2.3614127855421323E-2</v>
      </c>
    </row>
    <row r="722" spans="1:3" ht="13.2" x14ac:dyDescent="0.25">
      <c r="A722" s="6">
        <v>720</v>
      </c>
      <c r="B722" s="7">
        <v>66.220001220703097</v>
      </c>
      <c r="C722" s="5">
        <f t="shared" si="2"/>
        <v>-4.7912471723292917E-2</v>
      </c>
    </row>
    <row r="723" spans="1:3" ht="13.2" x14ac:dyDescent="0.25">
      <c r="A723" s="6">
        <v>721</v>
      </c>
      <c r="B723" s="7">
        <v>70.269996643066406</v>
      </c>
      <c r="C723" s="5">
        <f t="shared" si="2"/>
        <v>5.9362366879019524E-2</v>
      </c>
    </row>
    <row r="724" spans="1:3" ht="13.2" x14ac:dyDescent="0.25">
      <c r="A724" s="6">
        <v>722</v>
      </c>
      <c r="B724" s="7">
        <v>71.970001220703097</v>
      </c>
      <c r="C724" s="5">
        <f t="shared" si="2"/>
        <v>2.3904465048815524E-2</v>
      </c>
    </row>
    <row r="725" spans="1:3" ht="13.2" x14ac:dyDescent="0.25">
      <c r="A725" s="6">
        <v>723</v>
      </c>
      <c r="B725" s="7">
        <v>70.480003356933594</v>
      </c>
      <c r="C725" s="5">
        <f t="shared" si="2"/>
        <v>-2.0920353223475369E-2</v>
      </c>
    </row>
    <row r="726" spans="1:3" ht="13.2" x14ac:dyDescent="0.25">
      <c r="A726" s="6">
        <v>724</v>
      </c>
      <c r="B726" s="7">
        <v>70.879997253417898</v>
      </c>
      <c r="C726" s="5">
        <f t="shared" si="2"/>
        <v>5.6592382895631205E-3</v>
      </c>
    </row>
    <row r="727" spans="1:3" ht="13.2" x14ac:dyDescent="0.25">
      <c r="A727" s="6">
        <v>725</v>
      </c>
      <c r="B727" s="7">
        <v>71.940002441406193</v>
      </c>
      <c r="C727" s="5">
        <f t="shared" si="2"/>
        <v>1.4844204657100004E-2</v>
      </c>
    </row>
    <row r="728" spans="1:3" ht="13.2" x14ac:dyDescent="0.25">
      <c r="A728" s="6">
        <v>726</v>
      </c>
      <c r="B728" s="7">
        <v>72.120002746582003</v>
      </c>
      <c r="C728" s="5">
        <f t="shared" si="2"/>
        <v>2.4989642144384069E-3</v>
      </c>
    </row>
    <row r="729" spans="1:3" ht="13.2" x14ac:dyDescent="0.25">
      <c r="A729" s="6">
        <v>727</v>
      </c>
      <c r="B729" s="7">
        <v>73.029998779296804</v>
      </c>
      <c r="C729" s="5">
        <f t="shared" si="2"/>
        <v>1.2538862498310235E-2</v>
      </c>
    </row>
    <row r="730" spans="1:3" ht="13.2" x14ac:dyDescent="0.25">
      <c r="A730" s="6">
        <v>728</v>
      </c>
      <c r="B730" s="7">
        <v>73.699996948242102</v>
      </c>
      <c r="C730" s="5">
        <f t="shared" si="2"/>
        <v>9.132458870522964E-3</v>
      </c>
    </row>
    <row r="731" spans="1:3" ht="13.2" x14ac:dyDescent="0.25">
      <c r="A731" s="6">
        <v>729</v>
      </c>
      <c r="B731" s="7">
        <v>73.029998779296804</v>
      </c>
      <c r="C731" s="5">
        <f t="shared" si="2"/>
        <v>-9.1324588705229363E-3</v>
      </c>
    </row>
    <row r="732" spans="1:3" ht="13.2" x14ac:dyDescent="0.25">
      <c r="A732" s="6">
        <v>730</v>
      </c>
      <c r="B732" s="7">
        <v>72.650001525878906</v>
      </c>
      <c r="C732" s="5">
        <f t="shared" si="2"/>
        <v>-5.2168878974834182E-3</v>
      </c>
    </row>
    <row r="733" spans="1:3" ht="13.2" x14ac:dyDescent="0.25">
      <c r="A733" s="6">
        <v>731</v>
      </c>
      <c r="B733" s="7">
        <v>73.449996948242102</v>
      </c>
      <c r="C733" s="5">
        <f t="shared" si="2"/>
        <v>1.0951450051662896E-2</v>
      </c>
    </row>
    <row r="734" spans="1:3" ht="13.2" x14ac:dyDescent="0.25">
      <c r="A734" s="6">
        <v>732</v>
      </c>
      <c r="B734" s="7">
        <v>72.919998168945298</v>
      </c>
      <c r="C734" s="5">
        <f t="shared" si="2"/>
        <v>-7.2419363711027987E-3</v>
      </c>
    </row>
    <row r="735" spans="1:3" ht="13.2" x14ac:dyDescent="0.25">
      <c r="A735" s="6">
        <v>733</v>
      </c>
      <c r="B735" s="7">
        <v>72.970001220703097</v>
      </c>
      <c r="C735" s="5">
        <f t="shared" si="2"/>
        <v>6.8548980636103573E-4</v>
      </c>
    </row>
    <row r="736" spans="1:3" ht="13.2" x14ac:dyDescent="0.25">
      <c r="A736" s="6">
        <v>734</v>
      </c>
      <c r="B736" s="7">
        <v>73.589996337890597</v>
      </c>
      <c r="C736" s="5">
        <f t="shared" si="2"/>
        <v>8.460682668459998E-3</v>
      </c>
    </row>
    <row r="737" spans="1:3" ht="13.2" x14ac:dyDescent="0.25">
      <c r="A737" s="6">
        <v>735</v>
      </c>
      <c r="B737" s="7">
        <v>75.180000305175696</v>
      </c>
      <c r="C737" s="5">
        <f t="shared" si="2"/>
        <v>2.1376145020475138E-2</v>
      </c>
    </row>
    <row r="738" spans="1:3" ht="13.2" x14ac:dyDescent="0.25">
      <c r="A738" s="6">
        <v>736</v>
      </c>
      <c r="B738" s="7">
        <v>72.389999389648395</v>
      </c>
      <c r="C738" s="5">
        <f t="shared" si="2"/>
        <v>-3.7817082321684292E-2</v>
      </c>
    </row>
    <row r="739" spans="1:3" ht="13.2" x14ac:dyDescent="0.25">
      <c r="A739" s="6">
        <v>737</v>
      </c>
      <c r="B739" s="7">
        <v>71.5</v>
      </c>
      <c r="C739" s="5">
        <f t="shared" si="2"/>
        <v>-1.2370710173652707E-2</v>
      </c>
    </row>
    <row r="740" spans="1:3" ht="13.2" x14ac:dyDescent="0.25">
      <c r="A740" s="6">
        <v>738</v>
      </c>
      <c r="B740" s="7">
        <v>73.510002136230398</v>
      </c>
      <c r="C740" s="5">
        <f t="shared" si="2"/>
        <v>2.7724030746439296E-2</v>
      </c>
    </row>
    <row r="741" spans="1:3" ht="13.2" x14ac:dyDescent="0.25">
      <c r="A741" s="6">
        <v>739</v>
      </c>
      <c r="B741" s="7">
        <v>73.5</v>
      </c>
      <c r="C741" s="5">
        <f t="shared" si="2"/>
        <v>-1.3607422761025364E-4</v>
      </c>
    </row>
    <row r="742" spans="1:3" ht="13.2" x14ac:dyDescent="0.25">
      <c r="A742" s="6">
        <v>740</v>
      </c>
      <c r="B742" s="7">
        <v>72.739997863769503</v>
      </c>
      <c r="C742" s="5">
        <f t="shared" si="2"/>
        <v>-1.0393996027978435E-2</v>
      </c>
    </row>
    <row r="743" spans="1:3" ht="13.2" x14ac:dyDescent="0.25">
      <c r="A743" s="6">
        <v>741</v>
      </c>
      <c r="B743" s="7">
        <v>70.769996643066406</v>
      </c>
      <c r="C743" s="5">
        <f t="shared" si="2"/>
        <v>-2.7456275537536021E-2</v>
      </c>
    </row>
    <row r="744" spans="1:3" ht="13.2" x14ac:dyDescent="0.25">
      <c r="A744" s="6">
        <v>742</v>
      </c>
      <c r="B744" s="7">
        <v>71.730003356933594</v>
      </c>
      <c r="C744" s="5">
        <f t="shared" si="2"/>
        <v>1.3473982284641504E-2</v>
      </c>
    </row>
    <row r="745" spans="1:3" ht="13.2" x14ac:dyDescent="0.25">
      <c r="A745" s="6">
        <v>743</v>
      </c>
      <c r="B745" s="7">
        <v>71.680000305175696</v>
      </c>
      <c r="C745" s="5">
        <f t="shared" si="2"/>
        <v>-6.973440137696468E-4</v>
      </c>
    </row>
    <row r="746" spans="1:3" ht="13.2" x14ac:dyDescent="0.25">
      <c r="A746" s="6">
        <v>744</v>
      </c>
      <c r="B746" s="7">
        <v>72.260002136230398</v>
      </c>
      <c r="C746" s="5">
        <f t="shared" si="2"/>
        <v>8.0589823584561945E-3</v>
      </c>
    </row>
    <row r="747" spans="1:3" ht="13.2" x14ac:dyDescent="0.25">
      <c r="A747" s="6">
        <v>745</v>
      </c>
      <c r="B747" s="7">
        <v>71.040000915527301</v>
      </c>
      <c r="C747" s="5">
        <f t="shared" si="2"/>
        <v>-1.7027643711199976E-2</v>
      </c>
    </row>
    <row r="748" spans="1:3" ht="13.2" x14ac:dyDescent="0.25">
      <c r="A748" s="6">
        <v>746</v>
      </c>
      <c r="B748" s="7">
        <v>72.889999389648395</v>
      </c>
      <c r="C748" s="5">
        <f t="shared" si="2"/>
        <v>2.5708335449118106E-2</v>
      </c>
    </row>
    <row r="749" spans="1:3" ht="13.2" x14ac:dyDescent="0.25">
      <c r="A749" s="6">
        <v>747</v>
      </c>
      <c r="B749" s="7">
        <v>70.410003662109304</v>
      </c>
      <c r="C749" s="5">
        <f t="shared" si="2"/>
        <v>-3.4616096478272282E-2</v>
      </c>
    </row>
    <row r="750" spans="1:3" ht="13.2" x14ac:dyDescent="0.25">
      <c r="A750" s="6">
        <v>748</v>
      </c>
      <c r="B750" s="7">
        <v>72</v>
      </c>
      <c r="C750" s="5">
        <f t="shared" si="2"/>
        <v>2.2330768473804715E-2</v>
      </c>
    </row>
    <row r="751" spans="1:3" ht="13.2" x14ac:dyDescent="0.25">
      <c r="A751" s="6">
        <v>749</v>
      </c>
      <c r="B751" s="7">
        <v>71.190002441406193</v>
      </c>
      <c r="C751" s="5">
        <f t="shared" si="2"/>
        <v>-1.1313725606044617E-2</v>
      </c>
    </row>
    <row r="752" spans="1:3" ht="13.2" x14ac:dyDescent="0.25">
      <c r="A752" s="6">
        <v>750</v>
      </c>
      <c r="B752" s="7">
        <v>70.669998168945298</v>
      </c>
      <c r="C752" s="5">
        <f t="shared" si="2"/>
        <v>-7.3312646171773349E-3</v>
      </c>
    </row>
    <row r="753" spans="1:3" ht="13.2" x14ac:dyDescent="0.25">
      <c r="A753" s="6">
        <v>751</v>
      </c>
      <c r="B753" s="7">
        <v>70.059997558593693</v>
      </c>
      <c r="C753" s="5">
        <f t="shared" si="2"/>
        <v>-8.6691458708569973E-3</v>
      </c>
    </row>
    <row r="754" spans="1:3" ht="13.2" x14ac:dyDescent="0.25">
      <c r="A754" s="6">
        <v>752</v>
      </c>
      <c r="B754" s="7">
        <v>73</v>
      </c>
      <c r="C754" s="5">
        <f t="shared" si="2"/>
        <v>4.1107458226414678E-2</v>
      </c>
    </row>
    <row r="755" spans="1:3" ht="13.2" x14ac:dyDescent="0.25">
      <c r="A755" s="6">
        <v>753</v>
      </c>
      <c r="B755" s="7">
        <v>71.930000305175696</v>
      </c>
      <c r="C755" s="5">
        <f t="shared" si="2"/>
        <v>-1.4766013026450165E-2</v>
      </c>
    </row>
    <row r="756" spans="1:3" ht="13.2" x14ac:dyDescent="0.25">
      <c r="A756" s="6">
        <v>754</v>
      </c>
      <c r="B756" s="7">
        <v>70.040000915527301</v>
      </c>
      <c r="C756" s="5">
        <f t="shared" si="2"/>
        <v>-2.6626907632797937E-2</v>
      </c>
    </row>
    <row r="757" spans="1:3" ht="13.2" x14ac:dyDescent="0.25">
      <c r="A757" s="6">
        <v>755</v>
      </c>
      <c r="B757" s="7">
        <v>70.5</v>
      </c>
      <c r="C757" s="5">
        <f t="shared" si="2"/>
        <v>6.5461893290799976E-3</v>
      </c>
    </row>
    <row r="758" spans="1:3" ht="13.2" x14ac:dyDescent="0.25">
      <c r="A758" s="6">
        <v>756</v>
      </c>
      <c r="B758" s="7">
        <v>71.800003051757798</v>
      </c>
      <c r="C758" s="5">
        <f t="shared" si="2"/>
        <v>1.827180873954521E-2</v>
      </c>
    </row>
    <row r="759" spans="1:3" ht="13.2" x14ac:dyDescent="0.25">
      <c r="A759" s="6">
        <v>757</v>
      </c>
      <c r="B759" s="7">
        <v>73.370002746582003</v>
      </c>
      <c r="C759" s="5">
        <f t="shared" si="2"/>
        <v>2.1630651602807808E-2</v>
      </c>
    </row>
    <row r="760" spans="1:3" ht="13.2" x14ac:dyDescent="0.25">
      <c r="A760" s="6">
        <v>758</v>
      </c>
      <c r="B760" s="7">
        <v>75.220001220703097</v>
      </c>
      <c r="C760" s="5">
        <f t="shared" si="2"/>
        <v>2.4901999110052354E-2</v>
      </c>
    </row>
    <row r="761" spans="1:3" ht="13.2" x14ac:dyDescent="0.25">
      <c r="A761" s="6">
        <v>759</v>
      </c>
      <c r="B761" s="7">
        <v>74.599998474121094</v>
      </c>
      <c r="C761" s="5">
        <f t="shared" si="2"/>
        <v>-8.2766825150538941E-3</v>
      </c>
    </row>
    <row r="762" spans="1:3" ht="13.2" x14ac:dyDescent="0.25">
      <c r="A762" s="6">
        <v>760</v>
      </c>
      <c r="B762" s="7">
        <v>74.800003051757798</v>
      </c>
      <c r="C762" s="5">
        <f t="shared" si="2"/>
        <v>2.6774390237576328E-3</v>
      </c>
    </row>
    <row r="763" spans="1:3" ht="13.2" x14ac:dyDescent="0.25">
      <c r="A763" s="6">
        <v>761</v>
      </c>
      <c r="B763" s="7">
        <v>76.430000305175696</v>
      </c>
      <c r="C763" s="5">
        <f t="shared" si="2"/>
        <v>2.1557367468339233E-2</v>
      </c>
    </row>
    <row r="764" spans="1:3" ht="13.2" x14ac:dyDescent="0.25">
      <c r="A764" s="6">
        <v>762</v>
      </c>
      <c r="B764" s="7">
        <v>76.809997558593693</v>
      </c>
      <c r="C764" s="5">
        <f t="shared" si="2"/>
        <v>4.959514977912919E-3</v>
      </c>
    </row>
    <row r="765" spans="1:3" ht="13.2" x14ac:dyDescent="0.25">
      <c r="A765" s="6">
        <v>763</v>
      </c>
      <c r="B765" s="7">
        <v>81.900001525878906</v>
      </c>
      <c r="C765" s="5">
        <f t="shared" si="2"/>
        <v>6.4164201264439474E-2</v>
      </c>
    </row>
    <row r="766" spans="1:3" ht="13.2" x14ac:dyDescent="0.25">
      <c r="A766" s="6">
        <v>764</v>
      </c>
      <c r="B766" s="7">
        <v>79.569999694824205</v>
      </c>
      <c r="C766" s="5">
        <f t="shared" si="2"/>
        <v>-2.8861875935892439E-2</v>
      </c>
    </row>
    <row r="767" spans="1:3" ht="13.2" x14ac:dyDescent="0.25">
      <c r="A767" s="6">
        <v>765</v>
      </c>
      <c r="B767" s="7">
        <v>81.069999694824205</v>
      </c>
      <c r="C767" s="5">
        <f t="shared" si="2"/>
        <v>1.8675841681135306E-2</v>
      </c>
    </row>
    <row r="768" spans="1:3" ht="13.2" x14ac:dyDescent="0.25">
      <c r="A768" s="6">
        <v>766</v>
      </c>
      <c r="B768" s="7">
        <v>80.260002136230398</v>
      </c>
      <c r="C768" s="5">
        <f t="shared" si="2"/>
        <v>-1.0041583780119441E-2</v>
      </c>
    </row>
    <row r="769" spans="1:3" ht="13.2" x14ac:dyDescent="0.25">
      <c r="A769" s="6">
        <v>767</v>
      </c>
      <c r="B769" s="7">
        <v>81.559997558593693</v>
      </c>
      <c r="C769" s="5">
        <f t="shared" ref="C769:C1023" si="3">LN(B769/B768)</f>
        <v>1.6067524317238482E-2</v>
      </c>
    </row>
    <row r="770" spans="1:3" ht="13.2" x14ac:dyDescent="0.25">
      <c r="A770" s="6">
        <v>768</v>
      </c>
      <c r="B770" s="7">
        <v>81.569999694824205</v>
      </c>
      <c r="C770" s="5">
        <f t="shared" si="3"/>
        <v>1.226277988285769E-4</v>
      </c>
    </row>
    <row r="771" spans="1:3" ht="13.2" x14ac:dyDescent="0.25">
      <c r="A771" s="6">
        <v>769</v>
      </c>
      <c r="B771" s="7">
        <v>82.879997253417898</v>
      </c>
      <c r="C771" s="5">
        <f t="shared" si="3"/>
        <v>1.5932201800695475E-2</v>
      </c>
    </row>
    <row r="772" spans="1:3" ht="13.2" x14ac:dyDescent="0.25">
      <c r="A772" s="6">
        <v>770</v>
      </c>
      <c r="B772" s="7">
        <v>83.489997863769503</v>
      </c>
      <c r="C772" s="5">
        <f t="shared" si="3"/>
        <v>7.3330932473362753E-3</v>
      </c>
    </row>
    <row r="773" spans="1:3" ht="13.2" x14ac:dyDescent="0.25">
      <c r="A773" s="6">
        <v>771</v>
      </c>
      <c r="B773" s="7">
        <v>85.730003356933594</v>
      </c>
      <c r="C773" s="5">
        <f t="shared" si="3"/>
        <v>2.6476023228464537E-2</v>
      </c>
    </row>
    <row r="774" spans="1:3" ht="13.2" x14ac:dyDescent="0.25">
      <c r="A774" s="6">
        <v>772</v>
      </c>
      <c r="B774" s="7">
        <v>85.569999694824205</v>
      </c>
      <c r="C774" s="5">
        <f t="shared" si="3"/>
        <v>-1.8681109841345448E-3</v>
      </c>
    </row>
    <row r="775" spans="1:3" ht="13.2" x14ac:dyDescent="0.25">
      <c r="A775" s="6">
        <v>773</v>
      </c>
      <c r="B775" s="7">
        <v>85.910003662109304</v>
      </c>
      <c r="C775" s="5">
        <f t="shared" si="3"/>
        <v>3.9655284136647165E-3</v>
      </c>
    </row>
    <row r="776" spans="1:3" ht="13.2" x14ac:dyDescent="0.25">
      <c r="A776" s="6">
        <v>774</v>
      </c>
      <c r="B776" s="7">
        <v>85.379997253417898</v>
      </c>
      <c r="C776" s="5">
        <f t="shared" si="3"/>
        <v>-6.1884301163416281E-3</v>
      </c>
    </row>
    <row r="777" spans="1:3" ht="13.2" x14ac:dyDescent="0.25">
      <c r="A777" s="6">
        <v>775</v>
      </c>
      <c r="B777" s="7">
        <v>87.5</v>
      </c>
      <c r="C777" s="5">
        <f t="shared" si="3"/>
        <v>2.4526944202669834E-2</v>
      </c>
    </row>
    <row r="778" spans="1:3" ht="13.2" x14ac:dyDescent="0.25">
      <c r="A778" s="6">
        <v>776</v>
      </c>
      <c r="B778" s="7">
        <v>85.580001831054602</v>
      </c>
      <c r="C778" s="5">
        <f t="shared" si="3"/>
        <v>-2.2187160979074371E-2</v>
      </c>
    </row>
    <row r="779" spans="1:3" ht="13.2" x14ac:dyDescent="0.25">
      <c r="A779" s="6">
        <v>777</v>
      </c>
      <c r="B779" s="7">
        <v>86.989997863769503</v>
      </c>
      <c r="C779" s="5">
        <f t="shared" si="3"/>
        <v>1.634151257775859E-2</v>
      </c>
    </row>
    <row r="780" spans="1:3" ht="13.2" x14ac:dyDescent="0.25">
      <c r="A780" s="6">
        <v>778</v>
      </c>
      <c r="B780" s="7">
        <v>87.400001525878906</v>
      </c>
      <c r="C780" s="5">
        <f t="shared" si="3"/>
        <v>4.7021551578055034E-3</v>
      </c>
    </row>
    <row r="781" spans="1:3" ht="13.2" x14ac:dyDescent="0.25">
      <c r="A781" s="6">
        <v>779</v>
      </c>
      <c r="B781" s="7">
        <v>86.489997863769503</v>
      </c>
      <c r="C781" s="5">
        <f t="shared" si="3"/>
        <v>-1.046652450079987E-2</v>
      </c>
    </row>
    <row r="782" spans="1:3" ht="13.2" x14ac:dyDescent="0.25">
      <c r="A782" s="6">
        <v>780</v>
      </c>
      <c r="B782" s="7">
        <v>83.709999084472599</v>
      </c>
      <c r="C782" s="5">
        <f t="shared" si="3"/>
        <v>-3.2670341884187534E-2</v>
      </c>
    </row>
    <row r="783" spans="1:3" ht="13.2" x14ac:dyDescent="0.25">
      <c r="A783" s="6">
        <v>781</v>
      </c>
      <c r="B783" s="7">
        <v>82</v>
      </c>
      <c r="C783" s="5">
        <f t="shared" si="3"/>
        <v>-2.063918647081785E-2</v>
      </c>
    </row>
    <row r="784" spans="1:3" ht="13.2" x14ac:dyDescent="0.25">
      <c r="A784" s="6">
        <v>782</v>
      </c>
      <c r="B784" s="7">
        <v>81.870002746582003</v>
      </c>
      <c r="C784" s="5">
        <f t="shared" si="3"/>
        <v>-1.5865903278083704E-3</v>
      </c>
    </row>
    <row r="785" spans="1:3" ht="13.2" x14ac:dyDescent="0.25">
      <c r="A785" s="6">
        <v>783</v>
      </c>
      <c r="B785" s="7">
        <v>82.25</v>
      </c>
      <c r="C785" s="5">
        <f t="shared" si="3"/>
        <v>4.6307327090364643E-3</v>
      </c>
    </row>
    <row r="786" spans="1:3" ht="13.2" x14ac:dyDescent="0.25">
      <c r="A786" s="6">
        <v>784</v>
      </c>
      <c r="B786" s="7">
        <v>83.089996337890597</v>
      </c>
      <c r="C786" s="5">
        <f t="shared" si="3"/>
        <v>1.0160923957398763E-2</v>
      </c>
    </row>
    <row r="787" spans="1:3" ht="13.2" x14ac:dyDescent="0.25">
      <c r="A787" s="6">
        <v>785</v>
      </c>
      <c r="B787" s="7">
        <v>83.580001831054602</v>
      </c>
      <c r="C787" s="5">
        <f t="shared" si="3"/>
        <v>5.8799653246971919E-3</v>
      </c>
    </row>
    <row r="788" spans="1:3" ht="13.2" x14ac:dyDescent="0.25">
      <c r="A788" s="6">
        <v>786</v>
      </c>
      <c r="B788" s="7">
        <v>82.050003051757798</v>
      </c>
      <c r="C788" s="5">
        <f t="shared" si="3"/>
        <v>-1.8475424197598709E-2</v>
      </c>
    </row>
    <row r="789" spans="1:3" ht="13.2" x14ac:dyDescent="0.25">
      <c r="A789" s="6">
        <v>787</v>
      </c>
      <c r="B789" s="7">
        <v>83.370002746582003</v>
      </c>
      <c r="C789" s="5">
        <f t="shared" si="3"/>
        <v>1.5959710637031454E-2</v>
      </c>
    </row>
    <row r="790" spans="1:3" ht="13.2" x14ac:dyDescent="0.25">
      <c r="A790" s="6">
        <v>788</v>
      </c>
      <c r="B790" s="7">
        <v>85.660003662109304</v>
      </c>
      <c r="C790" s="5">
        <f t="shared" si="3"/>
        <v>2.7097449571898611E-2</v>
      </c>
    </row>
    <row r="791" spans="1:3" ht="13.2" x14ac:dyDescent="0.25">
      <c r="A791" s="6">
        <v>789</v>
      </c>
      <c r="B791" s="7">
        <v>85.790000915527301</v>
      </c>
      <c r="C791" s="5">
        <f t="shared" si="3"/>
        <v>1.5164453176903917E-3</v>
      </c>
    </row>
    <row r="792" spans="1:3" ht="13.2" x14ac:dyDescent="0.25">
      <c r="A792" s="6">
        <v>790</v>
      </c>
      <c r="B792" s="7">
        <v>86.980003356933594</v>
      </c>
      <c r="C792" s="5">
        <f t="shared" si="3"/>
        <v>1.3775785507208546E-2</v>
      </c>
    </row>
    <row r="793" spans="1:3" ht="13.2" x14ac:dyDescent="0.25">
      <c r="A793" s="6">
        <v>791</v>
      </c>
      <c r="B793" s="7">
        <v>86.080001831054602</v>
      </c>
      <c r="C793" s="5">
        <f t="shared" si="3"/>
        <v>-1.0401128078788258E-2</v>
      </c>
    </row>
    <row r="794" spans="1:3" ht="13.2" x14ac:dyDescent="0.25">
      <c r="A794" s="6">
        <v>792</v>
      </c>
      <c r="B794" s="7">
        <v>84.419998168945298</v>
      </c>
      <c r="C794" s="5">
        <f t="shared" si="3"/>
        <v>-1.9472799020487878E-2</v>
      </c>
    </row>
    <row r="795" spans="1:3" ht="13.2" x14ac:dyDescent="0.25">
      <c r="A795" s="6">
        <v>793</v>
      </c>
      <c r="B795" s="7">
        <v>85.279998779296804</v>
      </c>
      <c r="C795" s="5">
        <f t="shared" si="3"/>
        <v>1.0135627438941206E-2</v>
      </c>
    </row>
    <row r="796" spans="1:3" ht="13.2" x14ac:dyDescent="0.25">
      <c r="A796" s="6">
        <v>794</v>
      </c>
      <c r="B796" s="7">
        <v>86.480003356933594</v>
      </c>
      <c r="C796" s="5">
        <f t="shared" si="3"/>
        <v>1.3973266044935642E-2</v>
      </c>
    </row>
    <row r="797" spans="1:3" ht="13.2" x14ac:dyDescent="0.25">
      <c r="A797" s="6">
        <v>795</v>
      </c>
      <c r="B797" s="7">
        <v>85.760002136230398</v>
      </c>
      <c r="C797" s="5">
        <f t="shared" si="3"/>
        <v>-8.3604899165135964E-3</v>
      </c>
    </row>
    <row r="798" spans="1:3" ht="13.2" x14ac:dyDescent="0.25">
      <c r="A798" s="6">
        <v>796</v>
      </c>
      <c r="B798" s="7">
        <v>86.519996643066406</v>
      </c>
      <c r="C798" s="5">
        <f t="shared" si="3"/>
        <v>8.8228400534528864E-3</v>
      </c>
    </row>
    <row r="799" spans="1:3" ht="13.2" x14ac:dyDescent="0.25">
      <c r="A799" s="6">
        <v>797</v>
      </c>
      <c r="B799" s="7">
        <v>85.669998168945298</v>
      </c>
      <c r="C799" s="5">
        <f t="shared" si="3"/>
        <v>-9.8728776827428054E-3</v>
      </c>
    </row>
    <row r="800" spans="1:3" ht="13.2" x14ac:dyDescent="0.25">
      <c r="A800" s="6">
        <v>798</v>
      </c>
      <c r="B800" s="7">
        <v>86.089996337890597</v>
      </c>
      <c r="C800" s="5">
        <f t="shared" si="3"/>
        <v>4.8905335291069907E-3</v>
      </c>
    </row>
    <row r="801" spans="1:3" ht="13.2" x14ac:dyDescent="0.25">
      <c r="A801" s="6">
        <v>799</v>
      </c>
      <c r="B801" s="7">
        <v>85.739997863769503</v>
      </c>
      <c r="C801" s="5">
        <f t="shared" si="3"/>
        <v>-4.0737818770953333E-3</v>
      </c>
    </row>
    <row r="802" spans="1:3" ht="13.2" x14ac:dyDescent="0.25">
      <c r="A802" s="6">
        <v>800</v>
      </c>
      <c r="B802" s="7">
        <v>86.739997863769503</v>
      </c>
      <c r="C802" s="5">
        <f t="shared" si="3"/>
        <v>1.1595677524629361E-2</v>
      </c>
    </row>
    <row r="803" spans="1:3" ht="13.2" x14ac:dyDescent="0.25">
      <c r="A803" s="6">
        <v>801</v>
      </c>
      <c r="B803" s="7">
        <v>85.610000610351506</v>
      </c>
      <c r="C803" s="5">
        <f t="shared" si="3"/>
        <v>-1.3113007895409463E-2</v>
      </c>
    </row>
    <row r="804" spans="1:3" ht="13.2" x14ac:dyDescent="0.25">
      <c r="A804" s="6">
        <v>802</v>
      </c>
      <c r="B804" s="7">
        <v>84.120002746582003</v>
      </c>
      <c r="C804" s="5">
        <f t="shared" si="3"/>
        <v>-1.7557722398576638E-2</v>
      </c>
    </row>
    <row r="805" spans="1:3" ht="13.2" x14ac:dyDescent="0.25">
      <c r="A805" s="6">
        <v>803</v>
      </c>
      <c r="B805" s="7">
        <v>82.300003051757798</v>
      </c>
      <c r="C805" s="5">
        <f t="shared" si="3"/>
        <v>-2.1873238721339242E-2</v>
      </c>
    </row>
    <row r="806" spans="1:3" ht="13.2" x14ac:dyDescent="0.25">
      <c r="A806" s="6">
        <v>804</v>
      </c>
      <c r="B806" s="7">
        <v>84.650001525878906</v>
      </c>
      <c r="C806" s="5">
        <f t="shared" si="3"/>
        <v>2.8153981840964251E-2</v>
      </c>
    </row>
    <row r="807" spans="1:3" ht="13.2" x14ac:dyDescent="0.25">
      <c r="A807" s="6">
        <v>805</v>
      </c>
      <c r="B807" s="7">
        <v>84.510002136230398</v>
      </c>
      <c r="C807" s="5">
        <f t="shared" si="3"/>
        <v>-1.6552307706521176E-3</v>
      </c>
    </row>
    <row r="808" spans="1:3" ht="13.2" x14ac:dyDescent="0.25">
      <c r="A808" s="6">
        <v>806</v>
      </c>
      <c r="B808" s="7">
        <v>85.889999389648395</v>
      </c>
      <c r="C808" s="5">
        <f t="shared" si="3"/>
        <v>1.6197504837700123E-2</v>
      </c>
    </row>
    <row r="809" spans="1:3" ht="13.2" x14ac:dyDescent="0.25">
      <c r="A809" s="6">
        <v>807</v>
      </c>
      <c r="B809" s="7">
        <v>87.680000305175696</v>
      </c>
      <c r="C809" s="5">
        <f t="shared" si="3"/>
        <v>2.0626426008335273E-2</v>
      </c>
    </row>
    <row r="810" spans="1:3" ht="13.2" x14ac:dyDescent="0.25">
      <c r="A810" s="6">
        <v>808</v>
      </c>
      <c r="B810" s="7">
        <v>88.120002746582003</v>
      </c>
      <c r="C810" s="5">
        <f t="shared" si="3"/>
        <v>5.0057264225307546E-3</v>
      </c>
    </row>
    <row r="811" spans="1:3" ht="13.2" x14ac:dyDescent="0.25">
      <c r="A811" s="6">
        <v>809</v>
      </c>
      <c r="B811" s="7">
        <v>90.489997863769503</v>
      </c>
      <c r="C811" s="5">
        <f t="shared" si="3"/>
        <v>2.6539770652877968E-2</v>
      </c>
    </row>
    <row r="812" spans="1:3" ht="13.2" x14ac:dyDescent="0.25">
      <c r="A812" s="6">
        <v>810</v>
      </c>
      <c r="B812" s="7">
        <v>90.300003051757798</v>
      </c>
      <c r="C812" s="5">
        <f t="shared" si="3"/>
        <v>-2.1018295369695772E-3</v>
      </c>
    </row>
    <row r="813" spans="1:3" ht="13.2" x14ac:dyDescent="0.25">
      <c r="A813" s="6">
        <v>811</v>
      </c>
      <c r="B813" s="7">
        <v>90.449996948242102</v>
      </c>
      <c r="C813" s="5">
        <f t="shared" si="3"/>
        <v>1.6596838828745889E-3</v>
      </c>
    </row>
    <row r="814" spans="1:3" ht="13.2" x14ac:dyDescent="0.25">
      <c r="A814" s="6">
        <v>812</v>
      </c>
      <c r="B814" s="7">
        <v>91.400001525878906</v>
      </c>
      <c r="C814" s="5">
        <f t="shared" si="3"/>
        <v>1.0448317053040711E-2</v>
      </c>
    </row>
    <row r="815" spans="1:3" ht="13.2" x14ac:dyDescent="0.25">
      <c r="A815" s="6">
        <v>813</v>
      </c>
      <c r="B815" s="7">
        <v>91.230003356933594</v>
      </c>
      <c r="C815" s="5">
        <f t="shared" si="3"/>
        <v>-1.8616680008611088E-3</v>
      </c>
    </row>
    <row r="816" spans="1:3" ht="13.2" x14ac:dyDescent="0.25">
      <c r="A816" s="6">
        <v>814</v>
      </c>
      <c r="B816" s="7">
        <v>92.639999389648395</v>
      </c>
      <c r="C816" s="5">
        <f t="shared" si="3"/>
        <v>1.5337180082500379E-2</v>
      </c>
    </row>
    <row r="817" spans="1:3" ht="13.2" x14ac:dyDescent="0.25">
      <c r="A817" s="6">
        <v>815</v>
      </c>
      <c r="B817" s="7">
        <v>91.860000610351506</v>
      </c>
      <c r="C817" s="5">
        <f t="shared" si="3"/>
        <v>-8.4553216942472066E-3</v>
      </c>
    </row>
    <row r="818" spans="1:3" ht="13.2" x14ac:dyDescent="0.25">
      <c r="A818" s="6">
        <v>816</v>
      </c>
      <c r="B818" s="7">
        <v>91.800003051757798</v>
      </c>
      <c r="C818" s="5">
        <f t="shared" si="3"/>
        <v>-6.5335467202066002E-4</v>
      </c>
    </row>
    <row r="819" spans="1:3" ht="13.2" x14ac:dyDescent="0.25">
      <c r="A819" s="6">
        <v>817</v>
      </c>
      <c r="B819" s="7">
        <v>92.290000915527301</v>
      </c>
      <c r="C819" s="5">
        <f t="shared" si="3"/>
        <v>5.3234723276058124E-3</v>
      </c>
    </row>
    <row r="820" spans="1:3" ht="13.2" x14ac:dyDescent="0.25">
      <c r="A820" s="6">
        <v>818</v>
      </c>
      <c r="B820" s="7">
        <v>92</v>
      </c>
      <c r="C820" s="5">
        <f t="shared" si="3"/>
        <v>-3.1472261485588045E-3</v>
      </c>
    </row>
    <row r="821" spans="1:3" ht="13.2" x14ac:dyDescent="0.25">
      <c r="A821" s="6">
        <v>819</v>
      </c>
      <c r="B821" s="7">
        <v>95.010002136230398</v>
      </c>
      <c r="C821" s="5">
        <f t="shared" si="3"/>
        <v>3.2193594653886583E-2</v>
      </c>
    </row>
    <row r="822" spans="1:3" ht="13.2" x14ac:dyDescent="0.25">
      <c r="A822" s="6">
        <v>820</v>
      </c>
      <c r="B822" s="7">
        <v>95.849998474121094</v>
      </c>
      <c r="C822" s="5">
        <f t="shared" si="3"/>
        <v>8.8022818692804778E-3</v>
      </c>
    </row>
    <row r="823" spans="1:3" ht="13.2" x14ac:dyDescent="0.25">
      <c r="A823" s="6">
        <v>821</v>
      </c>
      <c r="B823" s="7">
        <v>95.790000915527301</v>
      </c>
      <c r="C823" s="5">
        <f t="shared" si="3"/>
        <v>-6.2614861975695732E-4</v>
      </c>
    </row>
    <row r="824" spans="1:3" ht="13.2" x14ac:dyDescent="0.25">
      <c r="A824" s="6">
        <v>822</v>
      </c>
      <c r="B824" s="7">
        <v>95.559997558593693</v>
      </c>
      <c r="C824" s="5">
        <f t="shared" si="3"/>
        <v>-2.4040080432544643E-3</v>
      </c>
    </row>
    <row r="825" spans="1:3" ht="13.2" x14ac:dyDescent="0.25">
      <c r="A825" s="6">
        <v>823</v>
      </c>
      <c r="B825" s="7">
        <v>94.309997558593693</v>
      </c>
      <c r="C825" s="5">
        <f t="shared" si="3"/>
        <v>-1.3167094240438175E-2</v>
      </c>
    </row>
    <row r="826" spans="1:3" ht="13.2" x14ac:dyDescent="0.25">
      <c r="A826" s="6">
        <v>824</v>
      </c>
      <c r="B826" s="7">
        <v>94.180000305175696</v>
      </c>
      <c r="C826" s="5">
        <f t="shared" si="3"/>
        <v>-1.3793546130041292E-3</v>
      </c>
    </row>
    <row r="827" spans="1:3" ht="13.2" x14ac:dyDescent="0.25">
      <c r="A827" s="6">
        <v>825</v>
      </c>
      <c r="B827" s="7">
        <v>93.489997863769503</v>
      </c>
      <c r="C827" s="5">
        <f t="shared" si="3"/>
        <v>-7.3533922023583196E-3</v>
      </c>
    </row>
    <row r="828" spans="1:3" ht="13.2" x14ac:dyDescent="0.25">
      <c r="A828" s="6">
        <v>826</v>
      </c>
      <c r="B828" s="7">
        <v>94.059997558593693</v>
      </c>
      <c r="C828" s="5">
        <f t="shared" si="3"/>
        <v>6.0783947076664974E-3</v>
      </c>
    </row>
    <row r="829" spans="1:3" ht="13.2" x14ac:dyDescent="0.25">
      <c r="A829" s="6">
        <v>827</v>
      </c>
      <c r="B829" s="7">
        <v>93</v>
      </c>
      <c r="C829" s="5">
        <f t="shared" si="3"/>
        <v>-1.133335740780567E-2</v>
      </c>
    </row>
    <row r="830" spans="1:3" ht="13.2" x14ac:dyDescent="0.25">
      <c r="A830" s="6">
        <v>828</v>
      </c>
      <c r="B830" s="7">
        <v>93.629997253417898</v>
      </c>
      <c r="C830" s="5">
        <f t="shared" si="3"/>
        <v>6.7513224631174634E-3</v>
      </c>
    </row>
    <row r="831" spans="1:3" ht="13.2" x14ac:dyDescent="0.25">
      <c r="A831" s="6">
        <v>829</v>
      </c>
      <c r="B831" s="7">
        <v>91.209999084472599</v>
      </c>
      <c r="C831" s="5">
        <f t="shared" si="3"/>
        <v>-2.6186285461883486E-2</v>
      </c>
    </row>
    <row r="832" spans="1:3" ht="13.2" x14ac:dyDescent="0.25">
      <c r="A832" s="6">
        <v>830</v>
      </c>
      <c r="B832" s="7">
        <v>90.739997863769503</v>
      </c>
      <c r="C832" s="5">
        <f t="shared" si="3"/>
        <v>-5.1662794609965571E-3</v>
      </c>
    </row>
    <row r="833" spans="1:3" ht="13.2" x14ac:dyDescent="0.25">
      <c r="A833" s="6">
        <v>831</v>
      </c>
      <c r="B833" s="7">
        <v>90.260002136230398</v>
      </c>
      <c r="C833" s="5">
        <f t="shared" si="3"/>
        <v>-5.3038326271180767E-3</v>
      </c>
    </row>
    <row r="834" spans="1:3" ht="13.2" x14ac:dyDescent="0.25">
      <c r="A834" s="6">
        <v>832</v>
      </c>
      <c r="B834" s="7">
        <v>89.069999694824205</v>
      </c>
      <c r="C834" s="5">
        <f t="shared" si="3"/>
        <v>-1.3271844048843889E-2</v>
      </c>
    </row>
    <row r="835" spans="1:3" ht="13.2" x14ac:dyDescent="0.25">
      <c r="A835" s="6">
        <v>833</v>
      </c>
      <c r="B835" s="7">
        <v>89.629997253417898</v>
      </c>
      <c r="C835" s="5">
        <f t="shared" si="3"/>
        <v>6.2674807081805738E-3</v>
      </c>
    </row>
    <row r="836" spans="1:3" ht="13.2" x14ac:dyDescent="0.25">
      <c r="A836" s="6">
        <v>834</v>
      </c>
      <c r="B836" s="7">
        <v>88.690002441406193</v>
      </c>
      <c r="C836" s="5">
        <f t="shared" si="3"/>
        <v>-1.0542883809939013E-2</v>
      </c>
    </row>
    <row r="837" spans="1:3" ht="13.2" x14ac:dyDescent="0.25">
      <c r="A837" s="6">
        <v>835</v>
      </c>
      <c r="B837" s="7">
        <v>89.580001831054602</v>
      </c>
      <c r="C837" s="5">
        <f t="shared" si="3"/>
        <v>9.984930303820869E-3</v>
      </c>
    </row>
    <row r="838" spans="1:3" ht="13.2" x14ac:dyDescent="0.25">
      <c r="A838" s="6">
        <v>836</v>
      </c>
      <c r="B838" s="7">
        <v>88.900001525878906</v>
      </c>
      <c r="C838" s="5">
        <f t="shared" si="3"/>
        <v>-7.6199415357427261E-3</v>
      </c>
    </row>
    <row r="839" spans="1:3" ht="13.2" x14ac:dyDescent="0.25">
      <c r="A839" s="6">
        <v>837</v>
      </c>
      <c r="B839" s="7">
        <v>87.389999389648395</v>
      </c>
      <c r="C839" s="5">
        <f t="shared" si="3"/>
        <v>-1.7131307028625115E-2</v>
      </c>
    </row>
    <row r="840" spans="1:3" ht="13.2" x14ac:dyDescent="0.25">
      <c r="A840" s="6">
        <v>838</v>
      </c>
      <c r="B840" s="7">
        <v>88.800003051757798</v>
      </c>
      <c r="C840" s="5">
        <f t="shared" si="3"/>
        <v>1.6005831709539824E-2</v>
      </c>
    </row>
    <row r="841" spans="1:3" ht="13.2" x14ac:dyDescent="0.25">
      <c r="A841" s="6">
        <v>839</v>
      </c>
      <c r="B841" s="7">
        <v>87.760002136230398</v>
      </c>
      <c r="C841" s="5">
        <f t="shared" si="3"/>
        <v>-1.1780844056059175E-2</v>
      </c>
    </row>
    <row r="842" spans="1:3" ht="13.2" x14ac:dyDescent="0.25">
      <c r="A842" s="6">
        <v>840</v>
      </c>
      <c r="B842" s="7">
        <v>86.690002441406193</v>
      </c>
      <c r="C842" s="5">
        <f t="shared" si="3"/>
        <v>-1.2267275265668644E-2</v>
      </c>
    </row>
    <row r="843" spans="1:3" ht="13.2" x14ac:dyDescent="0.25">
      <c r="A843" s="6">
        <v>841</v>
      </c>
      <c r="B843" s="7">
        <v>87.190002441406193</v>
      </c>
      <c r="C843" s="5">
        <f t="shared" si="3"/>
        <v>5.751108397673968E-3</v>
      </c>
    </row>
    <row r="844" spans="1:3" ht="13.2" x14ac:dyDescent="0.25">
      <c r="A844" s="6">
        <v>842</v>
      </c>
      <c r="B844" s="7">
        <v>88.230003356933594</v>
      </c>
      <c r="C844" s="5">
        <f t="shared" si="3"/>
        <v>1.1857405840831108E-2</v>
      </c>
    </row>
    <row r="845" spans="1:3" ht="13.2" x14ac:dyDescent="0.25">
      <c r="A845" s="6">
        <v>843</v>
      </c>
      <c r="B845" s="7">
        <v>89.260002136230398</v>
      </c>
      <c r="C845" s="5">
        <f t="shared" si="3"/>
        <v>1.1606403852253743E-2</v>
      </c>
    </row>
    <row r="846" spans="1:3" ht="13.2" x14ac:dyDescent="0.25">
      <c r="A846" s="6">
        <v>844</v>
      </c>
      <c r="B846" s="7">
        <v>87.230003356933594</v>
      </c>
      <c r="C846" s="5">
        <f t="shared" si="3"/>
        <v>-2.3005136204965169E-2</v>
      </c>
    </row>
    <row r="847" spans="1:3" ht="13.2" x14ac:dyDescent="0.25">
      <c r="A847" s="6">
        <v>845</v>
      </c>
      <c r="B847" s="7">
        <v>87.059997558593693</v>
      </c>
      <c r="C847" s="5">
        <f t="shared" si="3"/>
        <v>-1.9508388474819814E-3</v>
      </c>
    </row>
    <row r="848" spans="1:3" ht="13.2" x14ac:dyDescent="0.25">
      <c r="A848" s="6">
        <v>846</v>
      </c>
      <c r="B848" s="7">
        <v>88.040000915527301</v>
      </c>
      <c r="C848" s="5">
        <f t="shared" si="3"/>
        <v>1.1193758975903779E-2</v>
      </c>
    </row>
    <row r="849" spans="1:3" ht="13.2" x14ac:dyDescent="0.25">
      <c r="A849" s="6">
        <v>847</v>
      </c>
      <c r="B849" s="7">
        <v>88.470001220703097</v>
      </c>
      <c r="C849" s="5">
        <f t="shared" si="3"/>
        <v>4.8722582359736546E-3</v>
      </c>
    </row>
    <row r="850" spans="1:3" ht="13.2" x14ac:dyDescent="0.25">
      <c r="A850" s="6">
        <v>848</v>
      </c>
      <c r="B850" s="7">
        <v>87.889999389648395</v>
      </c>
      <c r="C850" s="5">
        <f t="shared" si="3"/>
        <v>-6.5774996611675509E-3</v>
      </c>
    </row>
    <row r="851" spans="1:3" ht="13.2" x14ac:dyDescent="0.25">
      <c r="A851" s="6">
        <v>849</v>
      </c>
      <c r="B851" s="7">
        <v>86.059997558593693</v>
      </c>
      <c r="C851" s="5">
        <f t="shared" si="3"/>
        <v>-2.1041326590259646E-2</v>
      </c>
    </row>
    <row r="852" spans="1:3" ht="13.2" x14ac:dyDescent="0.25">
      <c r="A852" s="6">
        <v>850</v>
      </c>
      <c r="B852" s="7">
        <v>86.489997863769503</v>
      </c>
      <c r="C852" s="5">
        <f t="shared" si="3"/>
        <v>4.9840765774587315E-3</v>
      </c>
    </row>
    <row r="853" spans="1:3" ht="13.2" x14ac:dyDescent="0.25">
      <c r="A853" s="6">
        <v>851</v>
      </c>
      <c r="B853" s="7">
        <v>86.150001525878906</v>
      </c>
      <c r="C853" s="5">
        <f t="shared" si="3"/>
        <v>-3.9387949334348717E-3</v>
      </c>
    </row>
    <row r="854" spans="1:3" ht="13.2" x14ac:dyDescent="0.25">
      <c r="A854" s="6">
        <v>852</v>
      </c>
      <c r="B854" s="7">
        <v>83.529998779296804</v>
      </c>
      <c r="C854" s="5">
        <f t="shared" si="3"/>
        <v>-3.0884146531958308E-2</v>
      </c>
    </row>
    <row r="855" spans="1:3" ht="13.2" x14ac:dyDescent="0.25">
      <c r="A855" s="6">
        <v>853</v>
      </c>
      <c r="B855" s="7">
        <v>85.360000610351506</v>
      </c>
      <c r="C855" s="5">
        <f t="shared" si="3"/>
        <v>2.1671779989954777E-2</v>
      </c>
    </row>
    <row r="856" spans="1:3" ht="13.2" x14ac:dyDescent="0.25">
      <c r="A856" s="6">
        <v>854</v>
      </c>
      <c r="B856" s="7">
        <v>85.120002746582003</v>
      </c>
      <c r="C856" s="5">
        <f t="shared" si="3"/>
        <v>-2.8155562833106686E-3</v>
      </c>
    </row>
    <row r="857" spans="1:3" ht="13.2" x14ac:dyDescent="0.25">
      <c r="A857" s="6">
        <v>855</v>
      </c>
      <c r="B857" s="7">
        <v>85.589996337890597</v>
      </c>
      <c r="C857" s="5">
        <f t="shared" si="3"/>
        <v>5.5063532463576143E-3</v>
      </c>
    </row>
    <row r="858" spans="1:3" ht="13.2" x14ac:dyDescent="0.25">
      <c r="A858" s="6">
        <v>856</v>
      </c>
      <c r="B858" s="7">
        <v>86</v>
      </c>
      <c r="C858" s="5">
        <f t="shared" si="3"/>
        <v>4.7788851466406034E-3</v>
      </c>
    </row>
    <row r="859" spans="1:3" ht="13.2" x14ac:dyDescent="0.25">
      <c r="A859" s="6">
        <v>857</v>
      </c>
      <c r="B859" s="7">
        <v>88.480003356933594</v>
      </c>
      <c r="C859" s="5">
        <f t="shared" si="3"/>
        <v>2.8429279460543324E-2</v>
      </c>
    </row>
    <row r="860" spans="1:3" ht="13.2" x14ac:dyDescent="0.25">
      <c r="A860" s="6">
        <v>858</v>
      </c>
      <c r="B860" s="7">
        <v>87.769996643066406</v>
      </c>
      <c r="C860" s="5">
        <f t="shared" si="3"/>
        <v>-8.0568573569617507E-3</v>
      </c>
    </row>
    <row r="861" spans="1:3" ht="13.2" x14ac:dyDescent="0.25">
      <c r="A861" s="6">
        <v>859</v>
      </c>
      <c r="B861" s="7">
        <v>87.940002441406193</v>
      </c>
      <c r="C861" s="5">
        <f t="shared" si="3"/>
        <v>1.9350731577553737E-3</v>
      </c>
    </row>
    <row r="862" spans="1:3" ht="13.2" x14ac:dyDescent="0.25">
      <c r="A862" s="6">
        <v>860</v>
      </c>
      <c r="B862" s="7">
        <v>87.330001831054602</v>
      </c>
      <c r="C862" s="5">
        <f t="shared" si="3"/>
        <v>-6.9607241221290002E-3</v>
      </c>
    </row>
    <row r="863" spans="1:3" ht="13.2" x14ac:dyDescent="0.25">
      <c r="A863" s="6">
        <v>861</v>
      </c>
      <c r="B863" s="7">
        <v>87.489997863769503</v>
      </c>
      <c r="C863" s="5">
        <f t="shared" si="3"/>
        <v>1.830409308603821E-3</v>
      </c>
    </row>
    <row r="864" spans="1:3" ht="13.2" x14ac:dyDescent="0.25">
      <c r="A864" s="6">
        <v>862</v>
      </c>
      <c r="B864" s="7">
        <v>88.400001525878906</v>
      </c>
      <c r="C864" s="5">
        <f t="shared" si="3"/>
        <v>1.0347510203351581E-2</v>
      </c>
    </row>
    <row r="865" spans="1:3" ht="13.2" x14ac:dyDescent="0.25">
      <c r="A865" s="6">
        <v>863</v>
      </c>
      <c r="B865" s="7">
        <v>88.400001525878906</v>
      </c>
      <c r="C865" s="5">
        <f t="shared" si="3"/>
        <v>0</v>
      </c>
    </row>
    <row r="866" spans="1:3" ht="13.2" x14ac:dyDescent="0.25">
      <c r="A866" s="6">
        <v>864</v>
      </c>
      <c r="B866" s="7">
        <v>89.980003356933594</v>
      </c>
      <c r="C866" s="5">
        <f t="shared" si="3"/>
        <v>1.771547381590707E-2</v>
      </c>
    </row>
    <row r="867" spans="1:3" ht="13.2" x14ac:dyDescent="0.25">
      <c r="A867" s="6">
        <v>865</v>
      </c>
      <c r="B867" s="7">
        <v>91.730003356933594</v>
      </c>
      <c r="C867" s="5">
        <f t="shared" si="3"/>
        <v>1.9262055396794577E-2</v>
      </c>
    </row>
    <row r="868" spans="1:3" ht="13.2" x14ac:dyDescent="0.25">
      <c r="A868" s="6">
        <v>866</v>
      </c>
      <c r="B868" s="7">
        <v>90.580001831054602</v>
      </c>
      <c r="C868" s="5">
        <f t="shared" si="3"/>
        <v>-1.2616057774527139E-2</v>
      </c>
    </row>
    <row r="869" spans="1:3" ht="13.2" x14ac:dyDescent="0.25">
      <c r="A869" s="6">
        <v>867</v>
      </c>
      <c r="B869" s="7">
        <v>90</v>
      </c>
      <c r="C869" s="5">
        <f t="shared" si="3"/>
        <v>-6.4237880125806741E-3</v>
      </c>
    </row>
    <row r="870" spans="1:3" ht="13.2" x14ac:dyDescent="0.25">
      <c r="A870" s="6">
        <v>868</v>
      </c>
      <c r="B870" s="7">
        <v>91.470001220703097</v>
      </c>
      <c r="C870" s="5">
        <f t="shared" si="3"/>
        <v>1.6201392683400935E-2</v>
      </c>
    </row>
    <row r="871" spans="1:3" ht="13.2" x14ac:dyDescent="0.25">
      <c r="A871" s="6">
        <v>869</v>
      </c>
      <c r="B871" s="7">
        <v>90.529998779296804</v>
      </c>
      <c r="C871" s="5">
        <f t="shared" si="3"/>
        <v>-1.0329789010280378E-2</v>
      </c>
    </row>
    <row r="872" spans="1:3" ht="13.2" x14ac:dyDescent="0.25">
      <c r="A872" s="6">
        <v>870</v>
      </c>
      <c r="B872" s="7">
        <v>91.269996643066406</v>
      </c>
      <c r="C872" s="5">
        <f t="shared" si="3"/>
        <v>8.1408357451477689E-3</v>
      </c>
    </row>
    <row r="873" spans="1:3" ht="13.2" x14ac:dyDescent="0.25">
      <c r="A873" s="6">
        <v>871</v>
      </c>
      <c r="B873" s="7">
        <v>92.010002136230398</v>
      </c>
      <c r="C873" s="5">
        <f t="shared" si="3"/>
        <v>8.0751802631082118E-3</v>
      </c>
    </row>
    <row r="874" spans="1:3" ht="13.2" x14ac:dyDescent="0.25">
      <c r="A874" s="6">
        <v>872</v>
      </c>
      <c r="B874" s="7">
        <v>90.809997558593693</v>
      </c>
      <c r="C874" s="5">
        <f t="shared" si="3"/>
        <v>-1.3127905194678808E-2</v>
      </c>
    </row>
    <row r="875" spans="1:3" ht="13.2" x14ac:dyDescent="0.25">
      <c r="A875" s="6">
        <v>873</v>
      </c>
      <c r="B875" s="7">
        <v>91.800003051757798</v>
      </c>
      <c r="C875" s="5">
        <f t="shared" si="3"/>
        <v>1.0842946053030345E-2</v>
      </c>
    </row>
    <row r="876" spans="1:3" ht="13.2" x14ac:dyDescent="0.25">
      <c r="A876" s="6">
        <v>874</v>
      </c>
      <c r="B876" s="7">
        <v>90.110000610351506</v>
      </c>
      <c r="C876" s="5">
        <f t="shared" si="3"/>
        <v>-1.8581177849642555E-2</v>
      </c>
    </row>
    <row r="877" spans="1:3" ht="13.2" x14ac:dyDescent="0.25">
      <c r="A877" s="6">
        <v>875</v>
      </c>
      <c r="B877" s="7">
        <v>92.419998168945298</v>
      </c>
      <c r="C877" s="5">
        <f t="shared" si="3"/>
        <v>2.5312232609448426E-2</v>
      </c>
    </row>
    <row r="878" spans="1:3" ht="13.2" x14ac:dyDescent="0.25">
      <c r="A878" s="6">
        <v>876</v>
      </c>
      <c r="B878" s="7">
        <v>91.160003662109304</v>
      </c>
      <c r="C878" s="5">
        <f t="shared" si="3"/>
        <v>-1.3727141079989753E-2</v>
      </c>
    </row>
    <row r="879" spans="1:3" ht="13.2" x14ac:dyDescent="0.25">
      <c r="A879" s="6">
        <v>877</v>
      </c>
      <c r="B879" s="7">
        <v>90.440002441406193</v>
      </c>
      <c r="C879" s="5">
        <f t="shared" si="3"/>
        <v>-7.929570145279622E-3</v>
      </c>
    </row>
    <row r="880" spans="1:3" ht="13.2" x14ac:dyDescent="0.25">
      <c r="A880" s="6">
        <v>878</v>
      </c>
      <c r="B880" s="7">
        <v>93.370002746582003</v>
      </c>
      <c r="C880" s="5">
        <f t="shared" si="3"/>
        <v>3.1883449507412155E-2</v>
      </c>
    </row>
    <row r="881" spans="1:3" ht="13.2" x14ac:dyDescent="0.25">
      <c r="A881" s="6">
        <v>879</v>
      </c>
      <c r="B881" s="7">
        <v>92.220001220703097</v>
      </c>
      <c r="C881" s="5">
        <f t="shared" si="3"/>
        <v>-1.2393083896524059E-2</v>
      </c>
    </row>
    <row r="882" spans="1:3" ht="13.2" x14ac:dyDescent="0.25">
      <c r="A882" s="6">
        <v>880</v>
      </c>
      <c r="B882" s="7">
        <v>93.290000915527301</v>
      </c>
      <c r="C882" s="5">
        <f t="shared" si="3"/>
        <v>1.1535890771229199E-2</v>
      </c>
    </row>
    <row r="883" spans="1:3" ht="13.2" x14ac:dyDescent="0.25">
      <c r="A883" s="6">
        <v>881</v>
      </c>
      <c r="B883" s="7">
        <v>92.349998474121094</v>
      </c>
      <c r="C883" s="5">
        <f t="shared" si="3"/>
        <v>-1.0127240664180099E-2</v>
      </c>
    </row>
    <row r="884" spans="1:3" ht="13.2" x14ac:dyDescent="0.25">
      <c r="A884" s="6">
        <v>882</v>
      </c>
      <c r="B884" s="7">
        <v>91.970001220703097</v>
      </c>
      <c r="C884" s="5">
        <f t="shared" si="3"/>
        <v>-4.1232399350207378E-3</v>
      </c>
    </row>
    <row r="885" spans="1:3" ht="13.2" x14ac:dyDescent="0.25">
      <c r="A885" s="6">
        <v>883</v>
      </c>
      <c r="B885" s="7">
        <v>93.489997863769503</v>
      </c>
      <c r="C885" s="5">
        <f t="shared" si="3"/>
        <v>1.6392005665949023E-2</v>
      </c>
    </row>
    <row r="886" spans="1:3" ht="13.2" x14ac:dyDescent="0.25">
      <c r="A886" s="6">
        <v>884</v>
      </c>
      <c r="B886" s="7">
        <v>96.5</v>
      </c>
      <c r="C886" s="5">
        <f t="shared" si="3"/>
        <v>3.1688552491544959E-2</v>
      </c>
    </row>
    <row r="887" spans="1:3" ht="13.2" x14ac:dyDescent="0.25">
      <c r="A887" s="6">
        <v>885</v>
      </c>
      <c r="B887" s="7">
        <v>95.580001831054602</v>
      </c>
      <c r="C887" s="5">
        <f t="shared" si="3"/>
        <v>-9.5793960376296915E-3</v>
      </c>
    </row>
    <row r="888" spans="1:3" ht="13.2" x14ac:dyDescent="0.25">
      <c r="A888" s="6">
        <v>886</v>
      </c>
      <c r="B888" s="7">
        <v>95.169998168945298</v>
      </c>
      <c r="C888" s="5">
        <f t="shared" si="3"/>
        <v>-4.2988654628895477E-3</v>
      </c>
    </row>
    <row r="889" spans="1:3" ht="13.2" x14ac:dyDescent="0.25">
      <c r="A889" s="6">
        <v>887</v>
      </c>
      <c r="B889" s="7">
        <v>97.620002746582003</v>
      </c>
      <c r="C889" s="5">
        <f t="shared" si="3"/>
        <v>2.5417671750023619E-2</v>
      </c>
    </row>
    <row r="890" spans="1:3" ht="13.2" x14ac:dyDescent="0.25">
      <c r="A890" s="6">
        <v>888</v>
      </c>
      <c r="B890" s="7">
        <v>98.970001220703097</v>
      </c>
      <c r="C890" s="5">
        <f t="shared" si="3"/>
        <v>1.3734367648226969E-2</v>
      </c>
    </row>
    <row r="891" spans="1:3" ht="13.2" x14ac:dyDescent="0.25">
      <c r="A891" s="6">
        <v>889</v>
      </c>
      <c r="B891" s="7">
        <v>97.800003051757798</v>
      </c>
      <c r="C891" s="5">
        <f t="shared" si="3"/>
        <v>-1.189217799783299E-2</v>
      </c>
    </row>
    <row r="892" spans="1:3" ht="13.2" x14ac:dyDescent="0.25">
      <c r="A892" s="6">
        <v>890</v>
      </c>
      <c r="B892" s="7">
        <v>97.790000915527301</v>
      </c>
      <c r="C892" s="5">
        <f t="shared" si="3"/>
        <v>-1.0227655847779933E-4</v>
      </c>
    </row>
    <row r="893" spans="1:3" ht="13.2" x14ac:dyDescent="0.25">
      <c r="A893" s="6">
        <v>891</v>
      </c>
      <c r="B893" s="7">
        <v>98.550003051757798</v>
      </c>
      <c r="C893" s="5">
        <f t="shared" si="3"/>
        <v>7.741732878961456E-3</v>
      </c>
    </row>
    <row r="894" spans="1:3" ht="13.2" x14ac:dyDescent="0.25">
      <c r="A894" s="6">
        <v>892</v>
      </c>
      <c r="B894" s="7">
        <v>96.480003356933594</v>
      </c>
      <c r="C894" s="5">
        <f t="shared" si="3"/>
        <v>-2.1228296792359741E-2</v>
      </c>
    </row>
    <row r="895" spans="1:3" ht="13.2" x14ac:dyDescent="0.25">
      <c r="A895" s="6">
        <v>893</v>
      </c>
      <c r="B895" s="7">
        <v>96.529998779296804</v>
      </c>
      <c r="C895" s="5">
        <f t="shared" si="3"/>
        <v>5.1806044171851928E-4</v>
      </c>
    </row>
    <row r="896" spans="1:3" ht="13.2" x14ac:dyDescent="0.25">
      <c r="A896" s="6">
        <v>894</v>
      </c>
      <c r="B896" s="7">
        <v>96.300003051757798</v>
      </c>
      <c r="C896" s="5">
        <f t="shared" si="3"/>
        <v>-2.3854777204894454E-3</v>
      </c>
    </row>
    <row r="897" spans="1:3" ht="13.2" x14ac:dyDescent="0.25">
      <c r="A897" s="6">
        <v>895</v>
      </c>
      <c r="B897" s="7">
        <v>94.889999389648395</v>
      </c>
      <c r="C897" s="5">
        <f t="shared" si="3"/>
        <v>-1.4750030940725944E-2</v>
      </c>
    </row>
    <row r="898" spans="1:3" ht="13.2" x14ac:dyDescent="0.25">
      <c r="A898" s="6">
        <v>896</v>
      </c>
      <c r="B898" s="7">
        <v>92.839996337890597</v>
      </c>
      <c r="C898" s="5">
        <f t="shared" si="3"/>
        <v>-2.1840777592613533E-2</v>
      </c>
    </row>
    <row r="899" spans="1:3" ht="13.2" x14ac:dyDescent="0.25">
      <c r="A899" s="6">
        <v>897</v>
      </c>
      <c r="B899" s="7">
        <v>94</v>
      </c>
      <c r="C899" s="5">
        <f t="shared" si="3"/>
        <v>1.2417240309151837E-2</v>
      </c>
    </row>
    <row r="900" spans="1:3" ht="13.2" x14ac:dyDescent="0.25">
      <c r="A900" s="6">
        <v>898</v>
      </c>
      <c r="B900" s="7">
        <v>92.809997558593693</v>
      </c>
      <c r="C900" s="5">
        <f t="shared" si="3"/>
        <v>-1.2740415968125793E-2</v>
      </c>
    </row>
    <row r="901" spans="1:3" ht="13.2" x14ac:dyDescent="0.25">
      <c r="A901" s="6">
        <v>899</v>
      </c>
      <c r="B901" s="7">
        <v>90.540000915527301</v>
      </c>
      <c r="C901" s="5">
        <f t="shared" si="3"/>
        <v>-2.4762614182211165E-2</v>
      </c>
    </row>
    <row r="902" spans="1:3" ht="13.2" x14ac:dyDescent="0.25">
      <c r="A902" s="6">
        <v>900</v>
      </c>
      <c r="B902" s="7">
        <v>90.830001831054602</v>
      </c>
      <c r="C902" s="5">
        <f t="shared" si="3"/>
        <v>3.1978955535941701E-3</v>
      </c>
    </row>
    <row r="903" spans="1:3" ht="13.2" x14ac:dyDescent="0.25">
      <c r="A903" s="6">
        <v>901</v>
      </c>
      <c r="B903" s="7">
        <v>92.470001220703097</v>
      </c>
      <c r="C903" s="5">
        <f t="shared" si="3"/>
        <v>1.7894633117357801E-2</v>
      </c>
    </row>
    <row r="904" spans="1:3" ht="13.2" x14ac:dyDescent="0.25">
      <c r="A904" s="6">
        <v>902</v>
      </c>
      <c r="B904" s="7">
        <v>93.489997863769503</v>
      </c>
      <c r="C904" s="5">
        <f t="shared" si="3"/>
        <v>1.0970175062776311E-2</v>
      </c>
    </row>
    <row r="905" spans="1:3" ht="13.2" x14ac:dyDescent="0.25">
      <c r="A905" s="6">
        <v>903</v>
      </c>
      <c r="B905" s="7">
        <v>93.720001220703097</v>
      </c>
      <c r="C905" s="5">
        <f t="shared" si="3"/>
        <v>2.4571708112006681E-3</v>
      </c>
    </row>
    <row r="906" spans="1:3" ht="13.2" x14ac:dyDescent="0.25">
      <c r="A906" s="6">
        <v>904</v>
      </c>
      <c r="B906" s="7">
        <v>93.569999694824205</v>
      </c>
      <c r="C906" s="5">
        <f t="shared" si="3"/>
        <v>-1.6018106382447385E-3</v>
      </c>
    </row>
    <row r="907" spans="1:3" ht="13.2" x14ac:dyDescent="0.25">
      <c r="A907" s="6">
        <v>905</v>
      </c>
      <c r="B907" s="7">
        <v>92.620002746582003</v>
      </c>
      <c r="C907" s="5">
        <f t="shared" si="3"/>
        <v>-1.0204685319437634E-2</v>
      </c>
    </row>
    <row r="908" spans="1:3" ht="13.2" x14ac:dyDescent="0.25">
      <c r="A908" s="6">
        <v>906</v>
      </c>
      <c r="B908" s="7">
        <v>94.839996337890597</v>
      </c>
      <c r="C908" s="5">
        <f t="shared" si="3"/>
        <v>2.3686091876737102E-2</v>
      </c>
    </row>
    <row r="909" spans="1:3" ht="13.2" x14ac:dyDescent="0.25">
      <c r="A909" s="6">
        <v>907</v>
      </c>
      <c r="B909" s="7">
        <v>93.480003356933594</v>
      </c>
      <c r="C909" s="5">
        <f t="shared" si="3"/>
        <v>-1.4443677002279548E-2</v>
      </c>
    </row>
    <row r="910" spans="1:3" ht="13.2" x14ac:dyDescent="0.25">
      <c r="A910" s="6">
        <v>908</v>
      </c>
      <c r="B910" s="7">
        <v>92.510002136230398</v>
      </c>
      <c r="C910" s="5">
        <f t="shared" si="3"/>
        <v>-1.0430775706257832E-2</v>
      </c>
    </row>
    <row r="911" spans="1:3" ht="13.2" x14ac:dyDescent="0.25">
      <c r="A911" s="6">
        <v>909</v>
      </c>
      <c r="B911" s="7">
        <v>92.610000610351506</v>
      </c>
      <c r="C911" s="5">
        <f t="shared" si="3"/>
        <v>1.0803638976216632E-3</v>
      </c>
    </row>
    <row r="912" spans="1:3" ht="13.2" x14ac:dyDescent="0.25">
      <c r="A912" s="6">
        <v>910</v>
      </c>
      <c r="B912" s="7">
        <v>92.269996643066406</v>
      </c>
      <c r="C912" s="5">
        <f t="shared" si="3"/>
        <v>-3.6781085639075034E-3</v>
      </c>
    </row>
    <row r="913" spans="1:3" ht="13.2" x14ac:dyDescent="0.25">
      <c r="A913" s="6">
        <v>911</v>
      </c>
      <c r="B913" s="7">
        <v>91.739997863769503</v>
      </c>
      <c r="C913" s="5">
        <f t="shared" si="3"/>
        <v>-5.760559325505784E-3</v>
      </c>
    </row>
    <row r="914" spans="1:3" ht="13.2" x14ac:dyDescent="0.25">
      <c r="A914" s="6">
        <v>912</v>
      </c>
      <c r="B914" s="7">
        <v>93.220001220703097</v>
      </c>
      <c r="C914" s="5">
        <f t="shared" si="3"/>
        <v>1.6003838156135895E-2</v>
      </c>
    </row>
    <row r="915" spans="1:3" ht="13.2" x14ac:dyDescent="0.25">
      <c r="A915" s="6">
        <v>913</v>
      </c>
      <c r="B915" s="7">
        <v>94.150001525878906</v>
      </c>
      <c r="C915" s="5">
        <f t="shared" si="3"/>
        <v>9.9269672705961671E-3</v>
      </c>
    </row>
    <row r="916" spans="1:3" ht="13.2" x14ac:dyDescent="0.25">
      <c r="A916" s="6">
        <v>914</v>
      </c>
      <c r="B916" s="7">
        <v>92.650001525878906</v>
      </c>
      <c r="C916" s="5">
        <f t="shared" si="3"/>
        <v>-1.6060302109403714E-2</v>
      </c>
    </row>
    <row r="917" spans="1:3" ht="13.2" x14ac:dyDescent="0.25">
      <c r="A917" s="6">
        <v>915</v>
      </c>
      <c r="B917" s="7">
        <v>91.5</v>
      </c>
      <c r="C917" s="5">
        <f t="shared" si="3"/>
        <v>-1.2489996919174275E-2</v>
      </c>
    </row>
    <row r="918" spans="1:3" ht="13.2" x14ac:dyDescent="0.25">
      <c r="A918" s="6">
        <v>916</v>
      </c>
      <c r="B918" s="7">
        <v>93.620002746582003</v>
      </c>
      <c r="C918" s="5">
        <f t="shared" si="3"/>
        <v>2.290509292800464E-2</v>
      </c>
    </row>
    <row r="919" spans="1:3" ht="13.2" x14ac:dyDescent="0.25">
      <c r="A919" s="6">
        <v>917</v>
      </c>
      <c r="B919" s="7">
        <v>92.760002136230398</v>
      </c>
      <c r="C919" s="5">
        <f t="shared" si="3"/>
        <v>-9.228529792498899E-3</v>
      </c>
    </row>
    <row r="920" spans="1:3" ht="13.2" x14ac:dyDescent="0.25">
      <c r="A920" s="6">
        <v>918</v>
      </c>
      <c r="B920" s="7">
        <v>92.139999389648395</v>
      </c>
      <c r="C920" s="5">
        <f t="shared" si="3"/>
        <v>-6.7063825333867127E-3</v>
      </c>
    </row>
    <row r="921" spans="1:3" ht="13.2" x14ac:dyDescent="0.25">
      <c r="A921" s="6">
        <v>919</v>
      </c>
      <c r="B921" s="7">
        <v>91.910003662109304</v>
      </c>
      <c r="C921" s="5">
        <f t="shared" si="3"/>
        <v>-2.4992756690630732E-3</v>
      </c>
    </row>
    <row r="922" spans="1:3" ht="13.2" x14ac:dyDescent="0.25">
      <c r="A922" s="6">
        <v>920</v>
      </c>
      <c r="B922" s="7">
        <v>91.839996337890597</v>
      </c>
      <c r="C922" s="5">
        <f t="shared" si="3"/>
        <v>-7.619845181606452E-4</v>
      </c>
    </row>
    <row r="923" spans="1:3" ht="13.2" x14ac:dyDescent="0.25">
      <c r="A923" s="6">
        <v>921</v>
      </c>
      <c r="B923" s="7">
        <v>92.419998168945298</v>
      </c>
      <c r="C923" s="5">
        <f t="shared" si="3"/>
        <v>6.2954929334282919E-3</v>
      </c>
    </row>
    <row r="924" spans="1:3" ht="13.2" x14ac:dyDescent="0.25">
      <c r="A924" s="6">
        <v>922</v>
      </c>
      <c r="B924" s="7">
        <v>91.370002746582003</v>
      </c>
      <c r="C924" s="5">
        <f t="shared" si="3"/>
        <v>-1.1426158559272528E-2</v>
      </c>
    </row>
    <row r="925" spans="1:3" ht="13.2" x14ac:dyDescent="0.25">
      <c r="A925" s="6">
        <v>923</v>
      </c>
      <c r="B925" s="7">
        <v>91.819999694824205</v>
      </c>
      <c r="C925" s="5">
        <f t="shared" si="3"/>
        <v>4.9129084269184005E-3</v>
      </c>
    </row>
    <row r="926" spans="1:3" ht="13.2" x14ac:dyDescent="0.25">
      <c r="A926" s="6">
        <v>924</v>
      </c>
      <c r="B926" s="7">
        <v>90.650001525878906</v>
      </c>
      <c r="C926" s="5">
        <f t="shared" si="3"/>
        <v>-1.2824181463944068E-2</v>
      </c>
    </row>
    <row r="927" spans="1:3" ht="13.2" x14ac:dyDescent="0.25">
      <c r="A927" s="6">
        <v>925</v>
      </c>
      <c r="B927" s="7">
        <v>91.019996643066406</v>
      </c>
      <c r="C927" s="5">
        <f t="shared" si="3"/>
        <v>4.073271673719841E-3</v>
      </c>
    </row>
    <row r="928" spans="1:3" ht="13.2" x14ac:dyDescent="0.25">
      <c r="A928" s="6">
        <v>926</v>
      </c>
      <c r="B928" s="7">
        <v>90.709999084472599</v>
      </c>
      <c r="C928" s="5">
        <f t="shared" si="3"/>
        <v>-3.411631173272972E-3</v>
      </c>
    </row>
    <row r="929" spans="1:3" ht="13.2" x14ac:dyDescent="0.25">
      <c r="A929" s="6">
        <v>927</v>
      </c>
      <c r="B929" s="7">
        <v>91.169998168945298</v>
      </c>
      <c r="C929" s="5">
        <f t="shared" si="3"/>
        <v>5.0582809789026925E-3</v>
      </c>
    </row>
    <row r="930" spans="1:3" ht="13.2" x14ac:dyDescent="0.25">
      <c r="A930" s="6">
        <v>928</v>
      </c>
      <c r="B930" s="7">
        <v>91.940002441406193</v>
      </c>
      <c r="C930" s="5">
        <f t="shared" si="3"/>
        <v>8.4103414195731141E-3</v>
      </c>
    </row>
    <row r="931" spans="1:3" ht="13.2" x14ac:dyDescent="0.25">
      <c r="A931" s="6">
        <v>929</v>
      </c>
      <c r="B931" s="7">
        <v>93</v>
      </c>
      <c r="C931" s="5">
        <f t="shared" si="3"/>
        <v>1.1463276220832369E-2</v>
      </c>
    </row>
    <row r="932" spans="1:3" ht="13.2" x14ac:dyDescent="0.25">
      <c r="A932" s="6">
        <v>930</v>
      </c>
      <c r="B932" s="7">
        <v>92.449996948242102</v>
      </c>
      <c r="C932" s="5">
        <f t="shared" si="3"/>
        <v>-5.9315683299430945E-3</v>
      </c>
    </row>
    <row r="933" spans="1:3" ht="13.2" x14ac:dyDescent="0.25">
      <c r="A933" s="6">
        <v>931</v>
      </c>
      <c r="B933" s="7">
        <v>90.919998168945298</v>
      </c>
      <c r="C933" s="5">
        <f t="shared" si="3"/>
        <v>-1.6687945978155701E-2</v>
      </c>
    </row>
    <row r="934" spans="1:3" ht="13.2" x14ac:dyDescent="0.25">
      <c r="A934" s="6">
        <v>932</v>
      </c>
      <c r="B934" s="7">
        <v>88.900001525878906</v>
      </c>
      <c r="C934" s="5">
        <f t="shared" si="3"/>
        <v>-2.2467819161306295E-2</v>
      </c>
    </row>
    <row r="935" spans="1:3" ht="13.2" x14ac:dyDescent="0.25">
      <c r="A935" s="6">
        <v>933</v>
      </c>
      <c r="B935" s="7">
        <v>88.839996337890597</v>
      </c>
      <c r="C935" s="5">
        <f t="shared" si="3"/>
        <v>-6.7520187902760716E-4</v>
      </c>
    </row>
    <row r="936" spans="1:3" ht="13.2" x14ac:dyDescent="0.25">
      <c r="A936" s="6">
        <v>934</v>
      </c>
      <c r="B936" s="7">
        <v>87.510002136230398</v>
      </c>
      <c r="C936" s="5">
        <f t="shared" si="3"/>
        <v>-1.5083860845812048E-2</v>
      </c>
    </row>
    <row r="937" spans="1:3" ht="13.2" x14ac:dyDescent="0.25">
      <c r="A937" s="6">
        <v>935</v>
      </c>
      <c r="B937" s="7">
        <v>89.639999389648395</v>
      </c>
      <c r="C937" s="5">
        <f t="shared" si="3"/>
        <v>2.4048545164794675E-2</v>
      </c>
    </row>
    <row r="938" spans="1:3" ht="13.2" x14ac:dyDescent="0.25">
      <c r="A938" s="6">
        <v>936</v>
      </c>
      <c r="B938" s="7">
        <v>88.319999694824205</v>
      </c>
      <c r="C938" s="5">
        <f t="shared" si="3"/>
        <v>-1.4835063050362769E-2</v>
      </c>
    </row>
    <row r="939" spans="1:3" ht="13.2" x14ac:dyDescent="0.25">
      <c r="A939" s="6">
        <v>937</v>
      </c>
      <c r="B939" s="7">
        <v>89.709999084472599</v>
      </c>
      <c r="C939" s="5">
        <f t="shared" si="3"/>
        <v>1.5615656292337981E-2</v>
      </c>
    </row>
    <row r="940" spans="1:3" ht="13.2" x14ac:dyDescent="0.25">
      <c r="A940" s="6">
        <v>938</v>
      </c>
      <c r="B940" s="7">
        <v>89.629997253417898</v>
      </c>
      <c r="C940" s="5">
        <f t="shared" si="3"/>
        <v>-8.9218064006942467E-4</v>
      </c>
    </row>
    <row r="941" spans="1:3" ht="13.2" x14ac:dyDescent="0.25">
      <c r="A941" s="6">
        <v>939</v>
      </c>
      <c r="B941" s="7">
        <v>88.709999084472599</v>
      </c>
      <c r="C941" s="5">
        <f t="shared" si="3"/>
        <v>-1.0317442513669542E-2</v>
      </c>
    </row>
    <row r="942" spans="1:3" ht="13.2" x14ac:dyDescent="0.25">
      <c r="A942" s="6">
        <v>940</v>
      </c>
      <c r="B942" s="7">
        <v>90.5</v>
      </c>
      <c r="C942" s="5">
        <f t="shared" si="3"/>
        <v>1.9977238493838142E-2</v>
      </c>
    </row>
    <row r="943" spans="1:3" ht="13.2" x14ac:dyDescent="0.25">
      <c r="A943" s="6">
        <v>941</v>
      </c>
      <c r="B943" s="7">
        <v>87.769996643066406</v>
      </c>
      <c r="C943" s="5">
        <f t="shared" si="3"/>
        <v>-3.0630132348791118E-2</v>
      </c>
    </row>
    <row r="944" spans="1:3" ht="13.2" x14ac:dyDescent="0.25">
      <c r="A944" s="6">
        <v>942</v>
      </c>
      <c r="B944" s="7">
        <v>87.040000915527301</v>
      </c>
      <c r="C944" s="5">
        <f t="shared" si="3"/>
        <v>-8.3519247309905998E-3</v>
      </c>
    </row>
    <row r="945" spans="1:3" ht="13.2" x14ac:dyDescent="0.25">
      <c r="A945" s="6">
        <v>943</v>
      </c>
      <c r="B945" s="7">
        <v>88.720001220703097</v>
      </c>
      <c r="C945" s="5">
        <f t="shared" si="3"/>
        <v>1.9117563175064776E-2</v>
      </c>
    </row>
    <row r="946" spans="1:3" ht="13.2" x14ac:dyDescent="0.25">
      <c r="A946" s="6">
        <v>944</v>
      </c>
      <c r="B946" s="7">
        <v>86.849998474121094</v>
      </c>
      <c r="C946" s="5">
        <f t="shared" si="3"/>
        <v>-2.1302881683179321E-2</v>
      </c>
    </row>
    <row r="947" spans="1:3" ht="13.2" x14ac:dyDescent="0.25">
      <c r="A947" s="6">
        <v>945</v>
      </c>
      <c r="B947" s="7">
        <v>87.870002746582003</v>
      </c>
      <c r="C947" s="5">
        <f t="shared" si="3"/>
        <v>1.167600564710182E-2</v>
      </c>
    </row>
    <row r="948" spans="1:3" ht="13.2" x14ac:dyDescent="0.25">
      <c r="A948" s="6">
        <v>946</v>
      </c>
      <c r="B948" s="7">
        <v>87.949996948242102</v>
      </c>
      <c r="C948" s="5">
        <f t="shared" si="3"/>
        <v>9.0995571969838438E-4</v>
      </c>
    </row>
    <row r="949" spans="1:3" ht="13.2" x14ac:dyDescent="0.25">
      <c r="A949" s="6">
        <v>947</v>
      </c>
      <c r="B949" s="7">
        <v>86.940002441406193</v>
      </c>
      <c r="C949" s="5">
        <f t="shared" si="3"/>
        <v>-1.1550182842631958E-2</v>
      </c>
    </row>
    <row r="950" spans="1:3" ht="13.2" x14ac:dyDescent="0.25">
      <c r="A950" s="6">
        <v>948</v>
      </c>
      <c r="B950" s="7">
        <v>88.75</v>
      </c>
      <c r="C950" s="5">
        <f t="shared" si="3"/>
        <v>2.0605174713372955E-2</v>
      </c>
    </row>
    <row r="951" spans="1:3" ht="13.2" x14ac:dyDescent="0.25">
      <c r="A951" s="6">
        <v>949</v>
      </c>
      <c r="B951" s="7">
        <v>87.029998779296804</v>
      </c>
      <c r="C951" s="5">
        <f t="shared" si="3"/>
        <v>-1.9570555580337472E-2</v>
      </c>
    </row>
    <row r="952" spans="1:3" ht="13.2" x14ac:dyDescent="0.25">
      <c r="A952" s="6">
        <v>950</v>
      </c>
      <c r="B952" s="7">
        <v>83.529998779296804</v>
      </c>
      <c r="C952" s="5">
        <f t="shared" si="3"/>
        <v>-4.1047038621322286E-2</v>
      </c>
    </row>
    <row r="953" spans="1:3" ht="13.2" x14ac:dyDescent="0.25">
      <c r="A953" s="6">
        <v>951</v>
      </c>
      <c r="B953" s="7">
        <v>83.059997558593693</v>
      </c>
      <c r="C953" s="5">
        <f t="shared" si="3"/>
        <v>-5.6426253445439273E-3</v>
      </c>
    </row>
    <row r="954" spans="1:3" ht="13.2" x14ac:dyDescent="0.25">
      <c r="A954" s="6">
        <v>952</v>
      </c>
      <c r="B954" s="7">
        <v>87.029998779296804</v>
      </c>
      <c r="C954" s="5">
        <f t="shared" si="3"/>
        <v>4.6689663965866331E-2</v>
      </c>
    </row>
    <row r="955" spans="1:3" ht="13.2" x14ac:dyDescent="0.25">
      <c r="A955" s="6">
        <v>953</v>
      </c>
      <c r="B955" s="7">
        <v>89.610000610351506</v>
      </c>
      <c r="C955" s="5">
        <f t="shared" si="3"/>
        <v>2.9214054932139095E-2</v>
      </c>
    </row>
    <row r="956" spans="1:3" ht="13.2" x14ac:dyDescent="0.25">
      <c r="A956" s="6">
        <v>954</v>
      </c>
      <c r="B956" s="7">
        <v>89.110000610351506</v>
      </c>
      <c r="C956" s="5">
        <f t="shared" si="3"/>
        <v>-5.5953592332816911E-3</v>
      </c>
    </row>
    <row r="957" spans="1:3" ht="13.2" x14ac:dyDescent="0.25">
      <c r="A957" s="6">
        <v>955</v>
      </c>
      <c r="B957" s="7">
        <v>87.589996337890597</v>
      </c>
      <c r="C957" s="5">
        <f t="shared" si="3"/>
        <v>-1.7204774108722856E-2</v>
      </c>
    </row>
    <row r="958" spans="1:3" ht="13.2" x14ac:dyDescent="0.25">
      <c r="A958" s="6">
        <v>956</v>
      </c>
      <c r="B958" s="7">
        <v>89.559997558593693</v>
      </c>
      <c r="C958" s="5">
        <f t="shared" si="3"/>
        <v>2.2241970105223673E-2</v>
      </c>
    </row>
    <row r="959" spans="1:3" ht="13.2" x14ac:dyDescent="0.25">
      <c r="A959" s="6">
        <v>957</v>
      </c>
      <c r="B959" s="7">
        <v>89.470001220703097</v>
      </c>
      <c r="C959" s="5">
        <f t="shared" si="3"/>
        <v>-1.0053772673272127E-3</v>
      </c>
    </row>
    <row r="960" spans="1:3" ht="13.2" x14ac:dyDescent="0.25">
      <c r="A960" s="6">
        <v>958</v>
      </c>
      <c r="B960" s="7">
        <v>88.610000610351506</v>
      </c>
      <c r="C960" s="5">
        <f t="shared" si="3"/>
        <v>-9.6586622559417887E-3</v>
      </c>
    </row>
    <row r="961" spans="1:3" ht="13.2" x14ac:dyDescent="0.25">
      <c r="A961" s="6">
        <v>959</v>
      </c>
      <c r="B961" s="7">
        <v>88.449996948242102</v>
      </c>
      <c r="C961" s="5">
        <f t="shared" si="3"/>
        <v>-1.8073388441161901E-3</v>
      </c>
    </row>
    <row r="962" spans="1:3" ht="13.2" x14ac:dyDescent="0.25">
      <c r="A962" s="6">
        <v>960</v>
      </c>
      <c r="B962" s="7">
        <v>89.559997558593693</v>
      </c>
      <c r="C962" s="5">
        <f t="shared" si="3"/>
        <v>1.2471378367385145E-2</v>
      </c>
    </row>
    <row r="963" spans="1:3" ht="13.2" x14ac:dyDescent="0.25">
      <c r="A963" s="6">
        <v>961</v>
      </c>
      <c r="B963" s="7">
        <v>90.849998474121094</v>
      </c>
      <c r="C963" s="5">
        <f t="shared" si="3"/>
        <v>1.4301013576049102E-2</v>
      </c>
    </row>
    <row r="964" spans="1:3" ht="13.2" x14ac:dyDescent="0.25">
      <c r="A964" s="6">
        <v>962</v>
      </c>
      <c r="B964" s="7">
        <v>89.989997863769503</v>
      </c>
      <c r="C964" s="5">
        <f t="shared" si="3"/>
        <v>-9.51124873927006E-3</v>
      </c>
    </row>
    <row r="965" spans="1:3" ht="13.2" x14ac:dyDescent="0.25">
      <c r="A965" s="6">
        <v>963</v>
      </c>
      <c r="B965" s="7">
        <v>88.809997558593693</v>
      </c>
      <c r="C965" s="5">
        <f t="shared" si="3"/>
        <v>-1.3199300527130989E-2</v>
      </c>
    </row>
    <row r="966" spans="1:3" ht="13.2" x14ac:dyDescent="0.25">
      <c r="A966" s="6">
        <v>964</v>
      </c>
      <c r="B966" s="7">
        <v>88.489997863769503</v>
      </c>
      <c r="C966" s="5">
        <f t="shared" si="3"/>
        <v>-3.6097016418607897E-3</v>
      </c>
    </row>
    <row r="967" spans="1:3" ht="13.2" x14ac:dyDescent="0.25">
      <c r="A967" s="6">
        <v>965</v>
      </c>
      <c r="B967" s="7">
        <v>88.629997253417898</v>
      </c>
      <c r="C967" s="5">
        <f t="shared" si="3"/>
        <v>1.5808426226679799E-3</v>
      </c>
    </row>
    <row r="968" spans="1:3" ht="13.2" x14ac:dyDescent="0.25">
      <c r="A968" s="6">
        <v>966</v>
      </c>
      <c r="B968" s="7">
        <v>89.529998779296804</v>
      </c>
      <c r="C968" s="5">
        <f t="shared" si="3"/>
        <v>1.0103381250491903E-2</v>
      </c>
    </row>
    <row r="969" spans="1:3" ht="13.2" x14ac:dyDescent="0.25">
      <c r="A969" s="6">
        <v>967</v>
      </c>
      <c r="B969" s="7">
        <v>88.730003356933594</v>
      </c>
      <c r="C969" s="5">
        <f t="shared" si="3"/>
        <v>-8.9756623311176027E-3</v>
      </c>
    </row>
    <row r="970" spans="1:3" ht="13.2" x14ac:dyDescent="0.25">
      <c r="A970" s="6">
        <v>968</v>
      </c>
      <c r="B970" s="7">
        <v>86.849998474121094</v>
      </c>
      <c r="C970" s="5">
        <f t="shared" si="3"/>
        <v>-2.141561356239121E-2</v>
      </c>
    </row>
    <row r="971" spans="1:3" ht="13.2" x14ac:dyDescent="0.25">
      <c r="A971" s="6">
        <v>969</v>
      </c>
      <c r="B971" s="7">
        <v>87.900001525878906</v>
      </c>
      <c r="C971" s="5">
        <f t="shared" si="3"/>
        <v>1.2017346932406345E-2</v>
      </c>
    </row>
    <row r="972" spans="1:3" ht="13.2" x14ac:dyDescent="0.25">
      <c r="A972" s="6">
        <v>970</v>
      </c>
      <c r="B972" s="7">
        <v>88.230003356933594</v>
      </c>
      <c r="C972" s="5">
        <f t="shared" si="3"/>
        <v>3.7472572311522167E-3</v>
      </c>
    </row>
    <row r="973" spans="1:3" ht="13.2" x14ac:dyDescent="0.25">
      <c r="A973" s="6">
        <v>971</v>
      </c>
      <c r="B973" s="7">
        <v>87.980003356933594</v>
      </c>
      <c r="C973" s="5">
        <f t="shared" si="3"/>
        <v>-2.8375252053255405E-3</v>
      </c>
    </row>
    <row r="974" spans="1:3" ht="13.2" x14ac:dyDescent="0.25">
      <c r="A974" s="6">
        <v>972</v>
      </c>
      <c r="B974" s="7">
        <v>83.889999389648395</v>
      </c>
      <c r="C974" s="5">
        <f t="shared" si="3"/>
        <v>-4.7603144493632253E-2</v>
      </c>
    </row>
    <row r="975" spans="1:3" ht="13.2" x14ac:dyDescent="0.25">
      <c r="A975" s="6">
        <v>973</v>
      </c>
      <c r="B975" s="7">
        <v>84.620002746582003</v>
      </c>
      <c r="C975" s="5">
        <f t="shared" si="3"/>
        <v>8.6642681671709413E-3</v>
      </c>
    </row>
    <row r="976" spans="1:3" ht="13.2" x14ac:dyDescent="0.25">
      <c r="A976" s="6">
        <v>974</v>
      </c>
      <c r="B976" s="7">
        <v>84</v>
      </c>
      <c r="C976" s="5">
        <f t="shared" si="3"/>
        <v>-7.3538789064422861E-3</v>
      </c>
    </row>
    <row r="977" spans="1:3" ht="13.2" x14ac:dyDescent="0.25">
      <c r="A977" s="6">
        <v>975</v>
      </c>
      <c r="B977" s="7">
        <v>83.910003662109304</v>
      </c>
      <c r="C977" s="5">
        <f t="shared" si="3"/>
        <v>-1.071959318036502E-3</v>
      </c>
    </row>
    <row r="978" spans="1:3" ht="13.2" x14ac:dyDescent="0.25">
      <c r="A978" s="6">
        <v>976</v>
      </c>
      <c r="B978" s="7">
        <v>84.470001220703097</v>
      </c>
      <c r="C978" s="5">
        <f t="shared" si="3"/>
        <v>6.6516166654491359E-3</v>
      </c>
    </row>
    <row r="979" spans="1:3" ht="13.2" x14ac:dyDescent="0.25">
      <c r="A979" s="6">
        <v>977</v>
      </c>
      <c r="B979" s="7">
        <v>83.150001525878906</v>
      </c>
      <c r="C979" s="5">
        <f t="shared" si="3"/>
        <v>-1.5750232200870951E-2</v>
      </c>
    </row>
    <row r="980" spans="1:3" ht="13.2" x14ac:dyDescent="0.25">
      <c r="A980" s="6">
        <v>978</v>
      </c>
      <c r="B980" s="7">
        <v>83.680000305175696</v>
      </c>
      <c r="C980" s="5">
        <f t="shared" si="3"/>
        <v>6.3537799736945039E-3</v>
      </c>
    </row>
    <row r="981" spans="1:3" ht="13.2" x14ac:dyDescent="0.25">
      <c r="A981" s="6">
        <v>979</v>
      </c>
      <c r="B981" s="7">
        <v>84.620002746582003</v>
      </c>
      <c r="C981" s="5">
        <f t="shared" si="3"/>
        <v>1.1170673786206108E-2</v>
      </c>
    </row>
    <row r="982" spans="1:3" ht="13.2" x14ac:dyDescent="0.25">
      <c r="A982" s="6">
        <v>980</v>
      </c>
      <c r="B982" s="7">
        <v>83.900001525878906</v>
      </c>
      <c r="C982" s="5">
        <f t="shared" si="3"/>
        <v>-8.5450460897195293E-3</v>
      </c>
    </row>
    <row r="983" spans="1:3" ht="13.2" x14ac:dyDescent="0.25">
      <c r="A983" s="6">
        <v>981</v>
      </c>
      <c r="B983" s="7">
        <v>82.599998474121094</v>
      </c>
      <c r="C983" s="5">
        <f t="shared" si="3"/>
        <v>-1.5615969606214461E-2</v>
      </c>
    </row>
    <row r="984" spans="1:3" ht="13.2" x14ac:dyDescent="0.25">
      <c r="A984" s="6">
        <v>982</v>
      </c>
      <c r="B984" s="7">
        <v>82.190002441406193</v>
      </c>
      <c r="C984" s="5">
        <f t="shared" si="3"/>
        <v>-4.9759921889948209E-3</v>
      </c>
    </row>
    <row r="985" spans="1:3" ht="13.2" x14ac:dyDescent="0.25">
      <c r="A985" s="6">
        <v>983</v>
      </c>
      <c r="B985" s="7">
        <v>81.900001525878906</v>
      </c>
      <c r="C985" s="5">
        <f t="shared" si="3"/>
        <v>-3.5346603748034841E-3</v>
      </c>
    </row>
    <row r="986" spans="1:3" ht="13.2" x14ac:dyDescent="0.25">
      <c r="A986" s="6">
        <v>984</v>
      </c>
      <c r="B986" s="7">
        <v>82.629997253417898</v>
      </c>
      <c r="C986" s="5">
        <f t="shared" si="3"/>
        <v>8.873767983541855E-3</v>
      </c>
    </row>
    <row r="987" spans="1:3" ht="13.2" x14ac:dyDescent="0.25">
      <c r="A987" s="6">
        <v>985</v>
      </c>
      <c r="B987" s="7">
        <v>82.699996948242102</v>
      </c>
      <c r="C987" s="5">
        <f t="shared" si="3"/>
        <v>8.4678765453281651E-4</v>
      </c>
    </row>
    <row r="988" spans="1:3" ht="13.2" x14ac:dyDescent="0.25">
      <c r="A988" s="6">
        <v>986</v>
      </c>
      <c r="B988" s="7">
        <v>83.349998474121094</v>
      </c>
      <c r="C988" s="5">
        <f t="shared" si="3"/>
        <v>7.8290257618189047E-3</v>
      </c>
    </row>
    <row r="989" spans="1:3" ht="13.2" x14ac:dyDescent="0.25">
      <c r="A989" s="6">
        <v>987</v>
      </c>
      <c r="B989" s="7">
        <v>82.050003051757798</v>
      </c>
      <c r="C989" s="5">
        <f t="shared" si="3"/>
        <v>-1.5719736159938831E-2</v>
      </c>
    </row>
    <row r="990" spans="1:3" ht="13.2" x14ac:dyDescent="0.25">
      <c r="A990" s="6">
        <v>988</v>
      </c>
      <c r="B990" s="7">
        <v>82.440002441406193</v>
      </c>
      <c r="C990" s="5">
        <f t="shared" si="3"/>
        <v>4.7419309066192858E-3</v>
      </c>
    </row>
    <row r="991" spans="1:3" ht="13.2" x14ac:dyDescent="0.25">
      <c r="A991" s="6">
        <v>989</v>
      </c>
      <c r="B991" s="7">
        <v>83.019996643066406</v>
      </c>
      <c r="C991" s="5">
        <f t="shared" si="3"/>
        <v>7.0107165530543828E-3</v>
      </c>
    </row>
    <row r="992" spans="1:3" ht="13.2" x14ac:dyDescent="0.25">
      <c r="A992" s="6">
        <v>990</v>
      </c>
      <c r="B992" s="7">
        <v>85.069999694824205</v>
      </c>
      <c r="C992" s="5">
        <f t="shared" si="3"/>
        <v>2.4392941210791552E-2</v>
      </c>
    </row>
    <row r="993" spans="1:3" ht="13.2" x14ac:dyDescent="0.25">
      <c r="A993" s="6">
        <v>991</v>
      </c>
      <c r="B993" s="7">
        <v>85.800003051757798</v>
      </c>
      <c r="C993" s="5">
        <f t="shared" si="3"/>
        <v>8.544598661744859E-3</v>
      </c>
    </row>
    <row r="994" spans="1:3" ht="13.2" x14ac:dyDescent="0.25">
      <c r="A994" s="6">
        <v>992</v>
      </c>
      <c r="B994" s="7">
        <v>84.819999694824205</v>
      </c>
      <c r="C994" s="5">
        <f t="shared" si="3"/>
        <v>-1.1487681613666619E-2</v>
      </c>
    </row>
    <row r="995" spans="1:3" ht="13.2" x14ac:dyDescent="0.25">
      <c r="A995" s="6">
        <v>993</v>
      </c>
      <c r="B995" s="7">
        <v>83.779998779296804</v>
      </c>
      <c r="C995" s="5">
        <f t="shared" si="3"/>
        <v>-1.2337059499974665E-2</v>
      </c>
    </row>
    <row r="996" spans="1:3" ht="13.2" x14ac:dyDescent="0.25">
      <c r="A996" s="6">
        <v>994</v>
      </c>
      <c r="B996" s="7">
        <v>82.989997863769503</v>
      </c>
      <c r="C996" s="5">
        <f t="shared" si="3"/>
        <v>-9.4742080790092484E-3</v>
      </c>
    </row>
    <row r="997" spans="1:3" ht="13.2" x14ac:dyDescent="0.25">
      <c r="A997" s="6">
        <v>995</v>
      </c>
      <c r="B997" s="7">
        <v>81.889999389648395</v>
      </c>
      <c r="C997" s="5">
        <f t="shared" si="3"/>
        <v>-1.3343217040751866E-2</v>
      </c>
    </row>
    <row r="998" spans="1:3" ht="13.2" x14ac:dyDescent="0.25">
      <c r="A998" s="6">
        <v>996</v>
      </c>
      <c r="B998" s="7">
        <v>81.279998779296804</v>
      </c>
      <c r="C998" s="5">
        <f t="shared" si="3"/>
        <v>-7.4769070171086397E-3</v>
      </c>
    </row>
    <row r="999" spans="1:3" ht="13.2" x14ac:dyDescent="0.25">
      <c r="A999" s="6">
        <v>997</v>
      </c>
      <c r="B999" s="7">
        <v>82.809997558593693</v>
      </c>
      <c r="C999" s="5">
        <f t="shared" si="3"/>
        <v>1.8648828751907934E-2</v>
      </c>
    </row>
    <row r="1000" spans="1:3" ht="13.2" x14ac:dyDescent="0.25">
      <c r="A1000" s="6">
        <v>998</v>
      </c>
      <c r="B1000" s="7">
        <v>82.389999389648395</v>
      </c>
      <c r="C1000" s="5">
        <f t="shared" si="3"/>
        <v>-5.0847346441655764E-3</v>
      </c>
    </row>
    <row r="1001" spans="1:3" ht="13.2" x14ac:dyDescent="0.25">
      <c r="A1001" s="6">
        <v>999</v>
      </c>
      <c r="B1001" s="7">
        <v>81.470001220703097</v>
      </c>
      <c r="C1001" s="5">
        <f t="shared" si="3"/>
        <v>-1.1229193613402166E-2</v>
      </c>
    </row>
    <row r="1002" spans="1:3" ht="13.2" x14ac:dyDescent="0.25">
      <c r="A1002" s="6">
        <v>1000</v>
      </c>
      <c r="B1002" s="7">
        <v>82.300003051757798</v>
      </c>
      <c r="C1002" s="5">
        <f t="shared" si="3"/>
        <v>1.0136275457902372E-2</v>
      </c>
    </row>
    <row r="1003" spans="1:3" ht="13.2" x14ac:dyDescent="0.25">
      <c r="A1003" s="6">
        <v>1001</v>
      </c>
      <c r="B1003" s="7">
        <v>79.809997558593693</v>
      </c>
      <c r="C1003" s="5">
        <f t="shared" si="3"/>
        <v>-3.0722365466233754E-2</v>
      </c>
    </row>
    <row r="1004" spans="1:3" ht="13.2" x14ac:dyDescent="0.25">
      <c r="A1004" s="6">
        <v>1002</v>
      </c>
      <c r="B1004" s="7">
        <v>78.919998168945298</v>
      </c>
      <c r="C1004" s="5">
        <f t="shared" si="3"/>
        <v>-1.12141213446748E-2</v>
      </c>
    </row>
    <row r="1005" spans="1:3" ht="13.2" x14ac:dyDescent="0.25">
      <c r="A1005" s="6">
        <v>1003</v>
      </c>
      <c r="B1005" s="7">
        <v>78.220001220703097</v>
      </c>
      <c r="C1005" s="5">
        <f t="shared" si="3"/>
        <v>-8.9092730196210067E-3</v>
      </c>
    </row>
    <row r="1006" spans="1:3" ht="13.2" x14ac:dyDescent="0.25">
      <c r="A1006" s="6">
        <v>1004</v>
      </c>
      <c r="B1006" s="7">
        <v>78.610000610351506</v>
      </c>
      <c r="C1006" s="5">
        <f t="shared" si="3"/>
        <v>4.9735406365730133E-3</v>
      </c>
    </row>
    <row r="1007" spans="1:3" ht="13.2" x14ac:dyDescent="0.25">
      <c r="A1007" s="6">
        <v>1005</v>
      </c>
      <c r="B1007" s="7">
        <v>78.470001220703097</v>
      </c>
      <c r="C1007" s="5">
        <f t="shared" si="3"/>
        <v>-1.7825238742788449E-3</v>
      </c>
    </row>
    <row r="1008" spans="1:3" ht="13.2" x14ac:dyDescent="0.25">
      <c r="A1008" s="6">
        <v>1006</v>
      </c>
      <c r="B1008" s="7">
        <v>77.589996337890597</v>
      </c>
      <c r="C1008" s="5">
        <f t="shared" si="3"/>
        <v>-1.1277895988041716E-2</v>
      </c>
    </row>
    <row r="1009" spans="1:3" ht="13.2" x14ac:dyDescent="0.25">
      <c r="A1009" s="6">
        <v>1007</v>
      </c>
      <c r="B1009" s="7">
        <v>75.089996337890597</v>
      </c>
      <c r="C1009" s="5">
        <f t="shared" si="3"/>
        <v>-3.2751160365453585E-2</v>
      </c>
    </row>
    <row r="1010" spans="1:3" ht="13.2" x14ac:dyDescent="0.25">
      <c r="A1010" s="6">
        <v>1008</v>
      </c>
      <c r="B1010" s="7">
        <v>73.389999389648395</v>
      </c>
      <c r="C1010" s="5">
        <f t="shared" si="3"/>
        <v>-2.2899667101768089E-2</v>
      </c>
    </row>
    <row r="1011" spans="1:3" ht="13.2" x14ac:dyDescent="0.25">
      <c r="A1011" s="6">
        <v>1009</v>
      </c>
      <c r="B1011" s="7">
        <v>74.900001525878906</v>
      </c>
      <c r="C1011" s="5">
        <f t="shared" si="3"/>
        <v>2.0366232654967148E-2</v>
      </c>
    </row>
    <row r="1012" spans="1:3" ht="13.2" x14ac:dyDescent="0.25">
      <c r="A1012" s="6">
        <v>1010</v>
      </c>
      <c r="B1012" s="7">
        <v>73.760002136230398</v>
      </c>
      <c r="C1012" s="5">
        <f t="shared" si="3"/>
        <v>-1.5337302685141763E-2</v>
      </c>
    </row>
    <row r="1013" spans="1:3" ht="13.2" x14ac:dyDescent="0.25">
      <c r="A1013" s="6">
        <v>1011</v>
      </c>
      <c r="B1013" s="7">
        <v>75.290000915527301</v>
      </c>
      <c r="C1013" s="5">
        <f t="shared" si="3"/>
        <v>2.0530727811796056E-2</v>
      </c>
    </row>
    <row r="1014" spans="1:3" ht="13.2" x14ac:dyDescent="0.25">
      <c r="A1014" s="6">
        <v>1012</v>
      </c>
      <c r="B1014" s="7">
        <v>75.099998474121094</v>
      </c>
      <c r="C1014" s="5">
        <f t="shared" si="3"/>
        <v>-2.5267975699154515E-3</v>
      </c>
    </row>
    <row r="1015" spans="1:3" ht="13.2" x14ac:dyDescent="0.25">
      <c r="A1015" s="6">
        <v>1013</v>
      </c>
      <c r="B1015" s="7">
        <v>72.620002746582003</v>
      </c>
      <c r="C1015" s="5">
        <f t="shared" si="3"/>
        <v>-3.3580134644649449E-2</v>
      </c>
    </row>
    <row r="1016" spans="1:3" ht="13.2" x14ac:dyDescent="0.25">
      <c r="A1016" s="6">
        <v>1014</v>
      </c>
      <c r="B1016" s="7">
        <v>70.010002136230398</v>
      </c>
      <c r="C1016" s="5">
        <f t="shared" si="3"/>
        <v>-3.6602284305154102E-2</v>
      </c>
    </row>
    <row r="1017" spans="1:3" ht="13.2" x14ac:dyDescent="0.25">
      <c r="A1017" s="6">
        <v>1015</v>
      </c>
      <c r="B1017" s="7">
        <v>73.180000305175696</v>
      </c>
      <c r="C1017" s="5">
        <f t="shared" si="3"/>
        <v>4.428404425894316E-2</v>
      </c>
    </row>
    <row r="1018" spans="1:3" ht="13.2" x14ac:dyDescent="0.25">
      <c r="A1018" s="6">
        <v>1016</v>
      </c>
      <c r="B1018" s="7">
        <v>75.849998474121094</v>
      </c>
      <c r="C1018" s="5">
        <f t="shared" si="3"/>
        <v>3.5835521916215286E-2</v>
      </c>
    </row>
    <row r="1019" spans="1:3" ht="13.2" x14ac:dyDescent="0.25">
      <c r="A1019" s="6">
        <v>1017</v>
      </c>
      <c r="B1019" s="7">
        <v>78.669998168945298</v>
      </c>
      <c r="C1019" s="5">
        <f t="shared" si="3"/>
        <v>3.6504179388535805E-2</v>
      </c>
    </row>
    <row r="1020" spans="1:3" ht="13.2" x14ac:dyDescent="0.25">
      <c r="A1020" s="6">
        <v>1018</v>
      </c>
      <c r="B1020" s="7">
        <v>82.25</v>
      </c>
      <c r="C1020" s="5">
        <f t="shared" si="3"/>
        <v>4.4501524579463173E-2</v>
      </c>
    </row>
    <row r="1021" spans="1:3" ht="13.2" x14ac:dyDescent="0.25">
      <c r="A1021" s="6">
        <v>1019</v>
      </c>
      <c r="B1021" s="7">
        <v>80.779998779296804</v>
      </c>
      <c r="C1021" s="5">
        <f t="shared" si="3"/>
        <v>-1.8033994621667816E-2</v>
      </c>
    </row>
    <row r="1022" spans="1:3" ht="13.2" x14ac:dyDescent="0.25">
      <c r="A1022" s="6">
        <v>1020</v>
      </c>
      <c r="B1022" s="7">
        <v>80.040000915527301</v>
      </c>
      <c r="C1022" s="5">
        <f t="shared" si="3"/>
        <v>-9.2028738699087495E-3</v>
      </c>
    </row>
    <row r="1023" spans="1:3" ht="13.2" x14ac:dyDescent="0.25">
      <c r="A1023" s="6">
        <v>1021</v>
      </c>
      <c r="B1023" s="7">
        <v>80.690002441406193</v>
      </c>
      <c r="C1023" s="5">
        <f t="shared" si="3"/>
        <v>8.0881609631241313E-3</v>
      </c>
    </row>
    <row r="1024" spans="1:3" ht="13.2" x14ac:dyDescent="0.25">
      <c r="A1024" s="6">
        <v>1022</v>
      </c>
      <c r="B1024" s="7">
        <v>80.5</v>
      </c>
      <c r="C1024" s="5">
        <f t="shared" ref="C1024:C1260" si="4">LN(B1024/B1023)</f>
        <v>-2.3574976925111926E-3</v>
      </c>
    </row>
    <row r="1025" spans="1:3" ht="13.2" x14ac:dyDescent="0.25">
      <c r="A1025" s="6">
        <v>1023</v>
      </c>
      <c r="B1025" s="7">
        <v>79.839996337890597</v>
      </c>
      <c r="C1025" s="5">
        <f t="shared" si="4"/>
        <v>-8.2325982894139258E-3</v>
      </c>
    </row>
    <row r="1026" spans="1:3" ht="13.2" x14ac:dyDescent="0.25">
      <c r="A1026" s="6">
        <v>1024</v>
      </c>
      <c r="B1026" s="7">
        <v>82.690002441406193</v>
      </c>
      <c r="C1026" s="5">
        <f t="shared" si="4"/>
        <v>3.5074119123776927E-2</v>
      </c>
    </row>
    <row r="1027" spans="1:3" ht="13.2" x14ac:dyDescent="0.25">
      <c r="A1027" s="6">
        <v>1025</v>
      </c>
      <c r="B1027" s="7">
        <v>83.25</v>
      </c>
      <c r="C1027" s="5">
        <f t="shared" si="4"/>
        <v>6.7494236016725773E-3</v>
      </c>
    </row>
    <row r="1028" spans="1:3" ht="13.2" x14ac:dyDescent="0.25">
      <c r="A1028" s="6">
        <v>1026</v>
      </c>
      <c r="B1028" s="7">
        <v>83.709999084472599</v>
      </c>
      <c r="C1028" s="5">
        <f t="shared" si="4"/>
        <v>5.510304874517688E-3</v>
      </c>
    </row>
    <row r="1029" spans="1:3" ht="13.2" x14ac:dyDescent="0.25">
      <c r="A1029" s="6">
        <v>1027</v>
      </c>
      <c r="B1029" s="7">
        <v>83.440002441406193</v>
      </c>
      <c r="C1029" s="5">
        <f t="shared" si="4"/>
        <v>-3.230593783132086E-3</v>
      </c>
    </row>
    <row r="1030" spans="1:3" ht="13.2" x14ac:dyDescent="0.25">
      <c r="A1030" s="6">
        <v>1028</v>
      </c>
      <c r="B1030" s="7">
        <v>84.980003356933594</v>
      </c>
      <c r="C1030" s="5">
        <f t="shared" si="4"/>
        <v>1.8288134237357055E-2</v>
      </c>
    </row>
    <row r="1031" spans="1:3" ht="13.2" x14ac:dyDescent="0.25">
      <c r="A1031" s="6">
        <v>1029</v>
      </c>
      <c r="B1031" s="7">
        <v>85</v>
      </c>
      <c r="C1031" s="5">
        <f t="shared" si="4"/>
        <v>2.3528230102049815E-4</v>
      </c>
    </row>
    <row r="1032" spans="1:3" ht="13.2" x14ac:dyDescent="0.25">
      <c r="A1032" s="6">
        <v>1030</v>
      </c>
      <c r="B1032" s="7">
        <v>85.360000610351506</v>
      </c>
      <c r="C1032" s="5">
        <f t="shared" si="4"/>
        <v>4.2263576535036722E-3</v>
      </c>
    </row>
    <row r="1033" spans="1:3" ht="13.2" x14ac:dyDescent="0.25">
      <c r="A1033" s="6">
        <v>1031</v>
      </c>
      <c r="B1033" s="7">
        <v>85.879997253417898</v>
      </c>
      <c r="C1033" s="5">
        <f t="shared" si="4"/>
        <v>6.0733268851329352E-3</v>
      </c>
    </row>
    <row r="1034" spans="1:3" ht="13.2" x14ac:dyDescent="0.25">
      <c r="A1034" s="6">
        <v>1032</v>
      </c>
      <c r="B1034" s="7">
        <v>85.980003356933594</v>
      </c>
      <c r="C1034" s="5">
        <f t="shared" si="4"/>
        <v>1.1638090823730602E-3</v>
      </c>
    </row>
    <row r="1035" spans="1:3" ht="13.2" x14ac:dyDescent="0.25">
      <c r="A1035" s="6">
        <v>1033</v>
      </c>
      <c r="B1035" s="7">
        <v>86</v>
      </c>
      <c r="C1035" s="5">
        <f t="shared" si="4"/>
        <v>2.32546142181686E-4</v>
      </c>
    </row>
    <row r="1036" spans="1:3" ht="13.2" x14ac:dyDescent="0.25">
      <c r="A1036" s="6">
        <v>1034</v>
      </c>
      <c r="B1036" s="7">
        <v>86.519996643066406</v>
      </c>
      <c r="C1036" s="5">
        <f t="shared" si="4"/>
        <v>6.0282660318396698E-3</v>
      </c>
    </row>
    <row r="1037" spans="1:3" ht="13.2" x14ac:dyDescent="0.25">
      <c r="A1037" s="6">
        <v>1035</v>
      </c>
      <c r="B1037" s="7">
        <v>87.279998779296804</v>
      </c>
      <c r="C1037" s="5">
        <f t="shared" si="4"/>
        <v>8.7457652534092024E-3</v>
      </c>
    </row>
    <row r="1038" spans="1:3" ht="13.2" x14ac:dyDescent="0.25">
      <c r="A1038" s="6">
        <v>1036</v>
      </c>
      <c r="B1038" s="7">
        <v>87.269996643066406</v>
      </c>
      <c r="C1038" s="5">
        <f t="shared" si="4"/>
        <v>-1.1460482960359375E-4</v>
      </c>
    </row>
    <row r="1039" spans="1:3" ht="13.2" x14ac:dyDescent="0.25">
      <c r="A1039" s="6">
        <v>1037</v>
      </c>
      <c r="B1039" s="7">
        <v>87.410003662109304</v>
      </c>
      <c r="C1039" s="5">
        <f t="shared" si="4"/>
        <v>1.6030117790131477E-3</v>
      </c>
    </row>
    <row r="1040" spans="1:3" ht="13.2" x14ac:dyDescent="0.25">
      <c r="A1040" s="6">
        <v>1038</v>
      </c>
      <c r="B1040" s="7">
        <v>88.930000305175696</v>
      </c>
      <c r="C1040" s="5">
        <f t="shared" si="4"/>
        <v>1.723981235502187E-2</v>
      </c>
    </row>
    <row r="1041" spans="1:3" ht="13.2" x14ac:dyDescent="0.25">
      <c r="A1041" s="6">
        <v>1039</v>
      </c>
      <c r="B1041" s="7">
        <v>89</v>
      </c>
      <c r="C1041" s="5">
        <f t="shared" si="4"/>
        <v>7.8682288895162581E-4</v>
      </c>
    </row>
    <row r="1042" spans="1:3" ht="13.2" x14ac:dyDescent="0.25">
      <c r="A1042" s="6">
        <v>1040</v>
      </c>
      <c r="B1042" s="7">
        <v>88.940002441406193</v>
      </c>
      <c r="C1042" s="5">
        <f t="shared" si="4"/>
        <v>-6.7435719955396438E-4</v>
      </c>
    </row>
    <row r="1043" spans="1:3" ht="13.2" x14ac:dyDescent="0.25">
      <c r="A1043" s="6">
        <v>1041</v>
      </c>
      <c r="B1043" s="7">
        <v>87.160003662109304</v>
      </c>
      <c r="C1043" s="5">
        <f t="shared" si="4"/>
        <v>-2.0216460440227926E-2</v>
      </c>
    </row>
    <row r="1044" spans="1:3" ht="13.2" x14ac:dyDescent="0.25">
      <c r="A1044" s="6">
        <v>1042</v>
      </c>
      <c r="B1044" s="7">
        <v>87.050003051757798</v>
      </c>
      <c r="C1044" s="5">
        <f t="shared" si="4"/>
        <v>-1.2628508206326788E-3</v>
      </c>
    </row>
    <row r="1045" spans="1:3" ht="13.2" x14ac:dyDescent="0.25">
      <c r="A1045" s="6">
        <v>1043</v>
      </c>
      <c r="B1045" s="7">
        <v>88.389999389648395</v>
      </c>
      <c r="C1045" s="5">
        <f t="shared" si="4"/>
        <v>1.5276132895920187E-2</v>
      </c>
    </row>
    <row r="1046" spans="1:3" ht="13.2" x14ac:dyDescent="0.25">
      <c r="A1046" s="6">
        <v>1044</v>
      </c>
      <c r="B1046" s="7">
        <v>88.139999389648395</v>
      </c>
      <c r="C1046" s="5">
        <f t="shared" si="4"/>
        <v>-2.832381678601593E-3</v>
      </c>
    </row>
    <row r="1047" spans="1:3" ht="13.2" x14ac:dyDescent="0.25">
      <c r="A1047" s="6">
        <v>1045</v>
      </c>
      <c r="B1047" s="7">
        <v>88.540000915527301</v>
      </c>
      <c r="C1047" s="5">
        <f t="shared" si="4"/>
        <v>4.5279851552185524E-3</v>
      </c>
    </row>
    <row r="1048" spans="1:3" ht="13.2" x14ac:dyDescent="0.25">
      <c r="A1048" s="6">
        <v>1046</v>
      </c>
      <c r="B1048" s="7">
        <v>89.25</v>
      </c>
      <c r="C1048" s="5">
        <f t="shared" si="4"/>
        <v>7.9869830154858552E-3</v>
      </c>
    </row>
    <row r="1049" spans="1:3" ht="13.2" x14ac:dyDescent="0.25">
      <c r="A1049" s="6">
        <v>1047</v>
      </c>
      <c r="B1049" s="7">
        <v>87.300003051757798</v>
      </c>
      <c r="C1049" s="5">
        <f t="shared" si="4"/>
        <v>-2.2090922857058572E-2</v>
      </c>
    </row>
    <row r="1050" spans="1:3" ht="13.2" x14ac:dyDescent="0.25">
      <c r="A1050" s="6">
        <v>1048</v>
      </c>
      <c r="B1050" s="7">
        <v>86.730003356933594</v>
      </c>
      <c r="C1050" s="5">
        <f t="shared" si="4"/>
        <v>-6.5506144007619121E-3</v>
      </c>
    </row>
    <row r="1051" spans="1:3" ht="13.2" x14ac:dyDescent="0.25">
      <c r="A1051" s="6">
        <v>1049</v>
      </c>
      <c r="B1051" s="7">
        <v>88.160003662109304</v>
      </c>
      <c r="C1051" s="5">
        <f t="shared" si="4"/>
        <v>1.6353503542027883E-2</v>
      </c>
    </row>
    <row r="1052" spans="1:3" ht="13.2" x14ac:dyDescent="0.25">
      <c r="A1052" s="6">
        <v>1050</v>
      </c>
      <c r="B1052" s="7">
        <v>88.660003662109304</v>
      </c>
      <c r="C1052" s="5">
        <f t="shared" si="4"/>
        <v>5.655483678041087E-3</v>
      </c>
    </row>
    <row r="1053" spans="1:3" ht="13.2" x14ac:dyDescent="0.25">
      <c r="A1053" s="6">
        <v>1051</v>
      </c>
      <c r="B1053" s="7">
        <v>88.239997863769503</v>
      </c>
      <c r="C1053" s="5">
        <f t="shared" si="4"/>
        <v>-4.7485198860712655E-3</v>
      </c>
    </row>
    <row r="1054" spans="1:3" ht="13.2" x14ac:dyDescent="0.25">
      <c r="A1054" s="6">
        <v>1052</v>
      </c>
      <c r="B1054" s="7">
        <v>87.680000305175696</v>
      </c>
      <c r="C1054" s="5">
        <f t="shared" si="4"/>
        <v>-6.3665240556579957E-3</v>
      </c>
    </row>
    <row r="1055" spans="1:3" ht="13.2" x14ac:dyDescent="0.25">
      <c r="A1055" s="6">
        <v>1053</v>
      </c>
      <c r="B1055" s="7">
        <v>87.330001831054602</v>
      </c>
      <c r="C1055" s="5">
        <f t="shared" si="4"/>
        <v>-3.9997592875519062E-3</v>
      </c>
    </row>
    <row r="1056" spans="1:3" ht="13.2" x14ac:dyDescent="0.25">
      <c r="A1056" s="6">
        <v>1054</v>
      </c>
      <c r="B1056" s="7">
        <v>85.860000610351506</v>
      </c>
      <c r="C1056" s="5">
        <f t="shared" si="4"/>
        <v>-1.6975997487618359E-2</v>
      </c>
    </row>
    <row r="1057" spans="1:3" ht="13.2" x14ac:dyDescent="0.25">
      <c r="A1057" s="6">
        <v>1055</v>
      </c>
      <c r="B1057" s="7">
        <v>86.989997863769503</v>
      </c>
      <c r="C1057" s="5">
        <f t="shared" si="4"/>
        <v>1.3075075057155668E-2</v>
      </c>
    </row>
    <row r="1058" spans="1:3" ht="13.2" x14ac:dyDescent="0.25">
      <c r="A1058" s="6">
        <v>1056</v>
      </c>
      <c r="B1058" s="7">
        <v>84.680000305175696</v>
      </c>
      <c r="C1058" s="5">
        <f t="shared" si="4"/>
        <v>-2.6913695091718651E-2</v>
      </c>
    </row>
    <row r="1059" spans="1:3" ht="13.2" x14ac:dyDescent="0.25">
      <c r="A1059" s="6">
        <v>1057</v>
      </c>
      <c r="B1059" s="7">
        <v>84.769996643066406</v>
      </c>
      <c r="C1059" s="5">
        <f t="shared" si="4"/>
        <v>1.0622171492885146E-3</v>
      </c>
    </row>
    <row r="1060" spans="1:3" ht="13.2" x14ac:dyDescent="0.25">
      <c r="A1060" s="6">
        <v>1058</v>
      </c>
      <c r="B1060" s="7">
        <v>88.339996337890597</v>
      </c>
      <c r="C1060" s="5">
        <f t="shared" si="4"/>
        <v>4.1251297693843204E-2</v>
      </c>
    </row>
    <row r="1061" spans="1:3" ht="13.2" x14ac:dyDescent="0.25">
      <c r="A1061" s="6">
        <v>1059</v>
      </c>
      <c r="B1061" s="7">
        <v>86.110000610351506</v>
      </c>
      <c r="C1061" s="5">
        <f t="shared" si="4"/>
        <v>-2.5567408917547673E-2</v>
      </c>
    </row>
    <row r="1062" spans="1:3" ht="13.2" x14ac:dyDescent="0.25">
      <c r="A1062" s="6">
        <v>1060</v>
      </c>
      <c r="B1062" s="7">
        <v>84.430000305175696</v>
      </c>
      <c r="C1062" s="5">
        <f t="shared" si="4"/>
        <v>-1.9702763500168707E-2</v>
      </c>
    </row>
    <row r="1063" spans="1:3" ht="13.2" x14ac:dyDescent="0.25">
      <c r="A1063" s="6">
        <v>1061</v>
      </c>
      <c r="B1063" s="7">
        <v>84.129997253417898</v>
      </c>
      <c r="C1063" s="5">
        <f t="shared" si="4"/>
        <v>-3.559603380108938E-3</v>
      </c>
    </row>
    <row r="1064" spans="1:3" ht="13.2" x14ac:dyDescent="0.25">
      <c r="A1064" s="6">
        <v>1062</v>
      </c>
      <c r="B1064" s="7">
        <v>84.709999084472599</v>
      </c>
      <c r="C1064" s="5">
        <f t="shared" si="4"/>
        <v>6.8704587198347607E-3</v>
      </c>
    </row>
    <row r="1065" spans="1:3" ht="13.2" x14ac:dyDescent="0.25">
      <c r="A1065" s="6">
        <v>1063</v>
      </c>
      <c r="B1065" s="7">
        <v>85.5</v>
      </c>
      <c r="C1065" s="5">
        <f t="shared" si="4"/>
        <v>9.2827283070393389E-3</v>
      </c>
    </row>
    <row r="1066" spans="1:3" ht="13.2" x14ac:dyDescent="0.25">
      <c r="A1066" s="6">
        <v>1064</v>
      </c>
      <c r="B1066" s="7">
        <v>84.739997863769503</v>
      </c>
      <c r="C1066" s="5">
        <f t="shared" si="4"/>
        <v>-8.928655953535777E-3</v>
      </c>
    </row>
    <row r="1067" spans="1:3" ht="13.2" x14ac:dyDescent="0.25">
      <c r="A1067" s="6">
        <v>1065</v>
      </c>
      <c r="B1067" s="7">
        <v>87.010002136230398</v>
      </c>
      <c r="C1067" s="5">
        <f t="shared" si="4"/>
        <v>2.6435359140304364E-2</v>
      </c>
    </row>
    <row r="1068" spans="1:3" ht="13.2" x14ac:dyDescent="0.25">
      <c r="A1068" s="6">
        <v>1066</v>
      </c>
      <c r="B1068" s="7">
        <v>85.900001525878906</v>
      </c>
      <c r="C1068" s="5">
        <f t="shared" si="4"/>
        <v>-1.2839232375840485E-2</v>
      </c>
    </row>
    <row r="1069" spans="1:3" ht="13.2" x14ac:dyDescent="0.25">
      <c r="A1069" s="6">
        <v>1067</v>
      </c>
      <c r="B1069" s="7">
        <v>84.5</v>
      </c>
      <c r="C1069" s="5">
        <f t="shared" si="4"/>
        <v>-1.6432312390514511E-2</v>
      </c>
    </row>
    <row r="1070" spans="1:3" ht="13.2" x14ac:dyDescent="0.25">
      <c r="A1070" s="6">
        <v>1068</v>
      </c>
      <c r="B1070" s="7">
        <v>84.25</v>
      </c>
      <c r="C1070" s="5">
        <f t="shared" si="4"/>
        <v>-2.9629651306570721E-3</v>
      </c>
    </row>
    <row r="1071" spans="1:3" ht="13.2" x14ac:dyDescent="0.25">
      <c r="A1071" s="6">
        <v>1069</v>
      </c>
      <c r="B1071" s="7">
        <v>78.309997558593693</v>
      </c>
      <c r="C1071" s="5">
        <f t="shared" si="4"/>
        <v>-7.3113291645800826E-2</v>
      </c>
    </row>
    <row r="1072" spans="1:3" ht="13.2" x14ac:dyDescent="0.25">
      <c r="A1072" s="6">
        <v>1070</v>
      </c>
      <c r="B1072" s="7">
        <v>78.059997558593693</v>
      </c>
      <c r="C1072" s="5">
        <f t="shared" si="4"/>
        <v>-3.1975471102241833E-3</v>
      </c>
    </row>
    <row r="1073" spans="1:3" ht="13.2" x14ac:dyDescent="0.25">
      <c r="A1073" s="6">
        <v>1071</v>
      </c>
      <c r="B1073" s="7">
        <v>77.400001525878906</v>
      </c>
      <c r="C1073" s="5">
        <f t="shared" si="4"/>
        <v>-8.490930166567082E-3</v>
      </c>
    </row>
    <row r="1074" spans="1:3" ht="13.2" x14ac:dyDescent="0.25">
      <c r="A1074" s="6">
        <v>1072</v>
      </c>
      <c r="B1074" s="7">
        <v>76.940002441406193</v>
      </c>
      <c r="C1074" s="5">
        <f t="shared" si="4"/>
        <v>-5.9608712544307772E-3</v>
      </c>
    </row>
    <row r="1075" spans="1:3" ht="13.2" x14ac:dyDescent="0.25">
      <c r="A1075" s="6">
        <v>1073</v>
      </c>
      <c r="B1075" s="7">
        <v>79.040000915527301</v>
      </c>
      <c r="C1075" s="5">
        <f t="shared" si="4"/>
        <v>2.6928135967252416E-2</v>
      </c>
    </row>
    <row r="1076" spans="1:3" ht="13.2" x14ac:dyDescent="0.25">
      <c r="A1076" s="6">
        <v>1074</v>
      </c>
      <c r="B1076" s="7">
        <v>79.540000915527301</v>
      </c>
      <c r="C1076" s="5">
        <f t="shared" si="4"/>
        <v>6.3059862671192854E-3</v>
      </c>
    </row>
    <row r="1077" spans="1:3" ht="13.2" x14ac:dyDescent="0.25">
      <c r="A1077" s="6">
        <v>1075</v>
      </c>
      <c r="B1077" s="7">
        <v>77.589996337890597</v>
      </c>
      <c r="C1077" s="5">
        <f t="shared" si="4"/>
        <v>-2.4821545582176752E-2</v>
      </c>
    </row>
    <row r="1078" spans="1:3" ht="13.2" x14ac:dyDescent="0.25">
      <c r="A1078" s="6">
        <v>1076</v>
      </c>
      <c r="B1078" s="7">
        <v>78.260002136230398</v>
      </c>
      <c r="C1078" s="5">
        <f t="shared" si="4"/>
        <v>8.5981383712035418E-3</v>
      </c>
    </row>
    <row r="1079" spans="1:3" ht="13.2" x14ac:dyDescent="0.25">
      <c r="A1079" s="6">
        <v>1077</v>
      </c>
      <c r="B1079" s="7">
        <v>78.519996643066406</v>
      </c>
      <c r="C1079" s="5">
        <f t="shared" si="4"/>
        <v>3.3166825768198949E-3</v>
      </c>
    </row>
    <row r="1080" spans="1:3" ht="13.2" x14ac:dyDescent="0.25">
      <c r="A1080" s="6">
        <v>1078</v>
      </c>
      <c r="B1080" s="7">
        <v>77.900001525878906</v>
      </c>
      <c r="C1080" s="5">
        <f t="shared" si="4"/>
        <v>-7.9273541913016162E-3</v>
      </c>
    </row>
    <row r="1081" spans="1:3" ht="13.2" x14ac:dyDescent="0.25">
      <c r="A1081" s="6">
        <v>1079</v>
      </c>
      <c r="B1081" s="7">
        <v>81.400001525878906</v>
      </c>
      <c r="C1081" s="5">
        <f t="shared" si="4"/>
        <v>4.3949319289570653E-2</v>
      </c>
    </row>
    <row r="1082" spans="1:3" ht="13.2" x14ac:dyDescent="0.25">
      <c r="A1082" s="6">
        <v>1080</v>
      </c>
      <c r="B1082" s="7">
        <v>79.459999084472599</v>
      </c>
      <c r="C1082" s="5">
        <f t="shared" si="4"/>
        <v>-2.412155288934778E-2</v>
      </c>
    </row>
    <row r="1083" spans="1:3" ht="13.2" x14ac:dyDescent="0.25">
      <c r="A1083" s="6">
        <v>1081</v>
      </c>
      <c r="B1083" s="7">
        <v>79.569999694824205</v>
      </c>
      <c r="C1083" s="5">
        <f t="shared" si="4"/>
        <v>1.3833946895435371E-3</v>
      </c>
    </row>
    <row r="1084" spans="1:3" ht="13.2" x14ac:dyDescent="0.25">
      <c r="A1084" s="6">
        <v>1082</v>
      </c>
      <c r="B1084" s="7">
        <v>78.569999694824205</v>
      </c>
      <c r="C1084" s="5">
        <f t="shared" si="4"/>
        <v>-1.264719025052724E-2</v>
      </c>
    </row>
    <row r="1085" spans="1:3" ht="13.2" x14ac:dyDescent="0.25">
      <c r="A1085" s="6">
        <v>1083</v>
      </c>
      <c r="B1085" s="7">
        <v>78.809997558593693</v>
      </c>
      <c r="C1085" s="5">
        <f t="shared" si="4"/>
        <v>3.0499180835714679E-3</v>
      </c>
    </row>
    <row r="1086" spans="1:3" ht="13.2" x14ac:dyDescent="0.25">
      <c r="A1086" s="6">
        <v>1084</v>
      </c>
      <c r="B1086" s="7">
        <v>78.029998779296804</v>
      </c>
      <c r="C1086" s="5">
        <f t="shared" si="4"/>
        <v>-9.9465089025297486E-3</v>
      </c>
    </row>
    <row r="1087" spans="1:3" ht="13.2" x14ac:dyDescent="0.25">
      <c r="A1087" s="6">
        <v>1085</v>
      </c>
      <c r="B1087" s="7">
        <v>77.660003662109304</v>
      </c>
      <c r="C1087" s="5">
        <f t="shared" si="4"/>
        <v>-4.7529810254558942E-3</v>
      </c>
    </row>
    <row r="1088" spans="1:3" ht="13.2" x14ac:dyDescent="0.25">
      <c r="A1088" s="6">
        <v>1086</v>
      </c>
      <c r="B1088" s="7">
        <v>78.680000305175696</v>
      </c>
      <c r="C1088" s="5">
        <f t="shared" si="4"/>
        <v>1.3048625940363214E-2</v>
      </c>
    </row>
    <row r="1089" spans="1:3" ht="13.2" x14ac:dyDescent="0.25">
      <c r="A1089" s="6">
        <v>1087</v>
      </c>
      <c r="B1089" s="7">
        <v>77.620002746582003</v>
      </c>
      <c r="C1089" s="5">
        <f t="shared" si="4"/>
        <v>-1.3563836073815274E-2</v>
      </c>
    </row>
    <row r="1090" spans="1:3" ht="13.2" x14ac:dyDescent="0.25">
      <c r="A1090" s="6">
        <v>1088</v>
      </c>
      <c r="B1090" s="7">
        <v>79.139999389648395</v>
      </c>
      <c r="C1090" s="5">
        <f t="shared" si="4"/>
        <v>1.9393266919238237E-2</v>
      </c>
    </row>
    <row r="1091" spans="1:3" ht="13.2" x14ac:dyDescent="0.25">
      <c r="A1091" s="6">
        <v>1089</v>
      </c>
      <c r="B1091" s="7">
        <v>76.110000610351506</v>
      </c>
      <c r="C1091" s="5">
        <f t="shared" si="4"/>
        <v>-3.9038757946341762E-2</v>
      </c>
    </row>
    <row r="1092" spans="1:3" ht="13.2" x14ac:dyDescent="0.25">
      <c r="A1092" s="6">
        <v>1090</v>
      </c>
      <c r="B1092" s="7">
        <v>74.75</v>
      </c>
      <c r="C1092" s="5">
        <f t="shared" si="4"/>
        <v>-1.8030458027838328E-2</v>
      </c>
    </row>
    <row r="1093" spans="1:3" ht="13.2" x14ac:dyDescent="0.25">
      <c r="A1093" s="6">
        <v>1091</v>
      </c>
      <c r="B1093" s="7">
        <v>72.870002746582003</v>
      </c>
      <c r="C1093" s="5">
        <f t="shared" si="4"/>
        <v>-2.5472142897072839E-2</v>
      </c>
    </row>
    <row r="1094" spans="1:3" ht="13.2" x14ac:dyDescent="0.25">
      <c r="A1094" s="6">
        <v>1092</v>
      </c>
      <c r="B1094" s="7">
        <v>73.629997253417898</v>
      </c>
      <c r="C1094" s="5">
        <f t="shared" si="4"/>
        <v>1.0375444704415046E-2</v>
      </c>
    </row>
    <row r="1095" spans="1:3" ht="13.2" x14ac:dyDescent="0.25">
      <c r="A1095" s="6">
        <v>1093</v>
      </c>
      <c r="B1095" s="7">
        <v>72.680000305175696</v>
      </c>
      <c r="C1095" s="5">
        <f t="shared" si="4"/>
        <v>-1.2986266351272403E-2</v>
      </c>
    </row>
    <row r="1096" spans="1:3" ht="13.2" x14ac:dyDescent="0.25">
      <c r="A1096" s="6">
        <v>1094</v>
      </c>
      <c r="B1096" s="7">
        <v>73.290000915527301</v>
      </c>
      <c r="C1096" s="5">
        <f t="shared" si="4"/>
        <v>8.3579387027378684E-3</v>
      </c>
    </row>
    <row r="1097" spans="1:3" ht="13.2" x14ac:dyDescent="0.25">
      <c r="A1097" s="6">
        <v>1095</v>
      </c>
      <c r="B1097" s="7">
        <v>72.279998779296804</v>
      </c>
      <c r="C1097" s="5">
        <f t="shared" si="4"/>
        <v>-1.3876737594109271E-2</v>
      </c>
    </row>
    <row r="1098" spans="1:3" ht="13.2" x14ac:dyDescent="0.25">
      <c r="A1098" s="6">
        <v>1096</v>
      </c>
      <c r="B1098" s="7">
        <v>71.309997558593693</v>
      </c>
      <c r="C1098" s="5">
        <f t="shared" si="4"/>
        <v>-1.3510913031803446E-2</v>
      </c>
    </row>
    <row r="1099" spans="1:3" ht="13.2" x14ac:dyDescent="0.25">
      <c r="A1099" s="6">
        <v>1097</v>
      </c>
      <c r="B1099" s="7">
        <v>71.580001831054602</v>
      </c>
      <c r="C1099" s="5">
        <f t="shared" si="4"/>
        <v>3.7791951147222737E-3</v>
      </c>
    </row>
    <row r="1100" spans="1:3" ht="13.2" x14ac:dyDescent="0.25">
      <c r="A1100" s="6">
        <v>1098</v>
      </c>
      <c r="B1100" s="7">
        <v>71.720001220703097</v>
      </c>
      <c r="C1100" s="5">
        <f t="shared" si="4"/>
        <v>1.9539348389189842E-3</v>
      </c>
    </row>
    <row r="1101" spans="1:3" ht="13.2" x14ac:dyDescent="0.25">
      <c r="A1101" s="6">
        <v>1099</v>
      </c>
      <c r="B1101" s="7">
        <v>72.480003356933594</v>
      </c>
      <c r="C1101" s="5">
        <f t="shared" si="4"/>
        <v>1.054104229269974E-2</v>
      </c>
    </row>
    <row r="1102" spans="1:3" ht="13.2" x14ac:dyDescent="0.25">
      <c r="A1102" s="6">
        <v>1100</v>
      </c>
      <c r="B1102" s="7">
        <v>71.900001525878906</v>
      </c>
      <c r="C1102" s="5">
        <f t="shared" si="4"/>
        <v>-8.0344221007931337E-3</v>
      </c>
    </row>
    <row r="1103" spans="1:3" ht="13.2" x14ac:dyDescent="0.25">
      <c r="A1103" s="6">
        <v>1101</v>
      </c>
      <c r="B1103" s="7">
        <v>72</v>
      </c>
      <c r="C1103" s="5">
        <f t="shared" si="4"/>
        <v>1.3898330668167067E-3</v>
      </c>
    </row>
    <row r="1104" spans="1:3" ht="13.2" x14ac:dyDescent="0.25">
      <c r="A1104" s="6">
        <v>1102</v>
      </c>
      <c r="B1104" s="7">
        <v>71.690002441406193</v>
      </c>
      <c r="C1104" s="5">
        <f t="shared" si="4"/>
        <v>-4.314817096229738E-3</v>
      </c>
    </row>
    <row r="1105" spans="1:3" ht="13.2" x14ac:dyDescent="0.25">
      <c r="A1105" s="6">
        <v>1103</v>
      </c>
      <c r="B1105" s="7">
        <v>71.980003356933594</v>
      </c>
      <c r="C1105" s="5">
        <f t="shared" si="4"/>
        <v>4.0370473680905062E-3</v>
      </c>
    </row>
    <row r="1106" spans="1:3" ht="13.2" x14ac:dyDescent="0.25">
      <c r="A1106" s="6">
        <v>1104</v>
      </c>
      <c r="B1106" s="7">
        <v>71.819999694824205</v>
      </c>
      <c r="C1106" s="5">
        <f t="shared" si="4"/>
        <v>-2.2253647391548407E-3</v>
      </c>
    </row>
    <row r="1107" spans="1:3" ht="13.2" x14ac:dyDescent="0.25">
      <c r="A1107" s="6">
        <v>1105</v>
      </c>
      <c r="B1107" s="7">
        <v>70.949996948242102</v>
      </c>
      <c r="C1107" s="5">
        <f t="shared" si="4"/>
        <v>-1.2187623955506715E-2</v>
      </c>
    </row>
    <row r="1108" spans="1:3" ht="13.2" x14ac:dyDescent="0.25">
      <c r="A1108" s="6">
        <v>1106</v>
      </c>
      <c r="B1108" s="7">
        <v>71.620002746582003</v>
      </c>
      <c r="C1108" s="5">
        <f t="shared" si="4"/>
        <v>9.3990423264031144E-3</v>
      </c>
    </row>
    <row r="1109" spans="1:3" ht="13.2" x14ac:dyDescent="0.25">
      <c r="A1109" s="6">
        <v>1107</v>
      </c>
      <c r="B1109" s="7">
        <v>71.180000305175696</v>
      </c>
      <c r="C1109" s="5">
        <f t="shared" si="4"/>
        <v>-6.1625185502312222E-3</v>
      </c>
    </row>
    <row r="1110" spans="1:3" ht="13.2" x14ac:dyDescent="0.25">
      <c r="A1110" s="6">
        <v>1108</v>
      </c>
      <c r="B1110" s="7">
        <v>73.75</v>
      </c>
      <c r="C1110" s="5">
        <f t="shared" si="4"/>
        <v>3.5469110850502736E-2</v>
      </c>
    </row>
    <row r="1111" spans="1:3" ht="13.2" x14ac:dyDescent="0.25">
      <c r="A1111" s="6">
        <v>1109</v>
      </c>
      <c r="B1111" s="7">
        <v>77.650001525878906</v>
      </c>
      <c r="C1111" s="5">
        <f t="shared" si="4"/>
        <v>5.1530574025493041E-2</v>
      </c>
    </row>
    <row r="1112" spans="1:3" ht="13.2" x14ac:dyDescent="0.25">
      <c r="A1112" s="6">
        <v>1110</v>
      </c>
      <c r="B1112" s="7">
        <v>76.319999694824205</v>
      </c>
      <c r="C1112" s="5">
        <f t="shared" si="4"/>
        <v>-1.7276546104025861E-2</v>
      </c>
    </row>
    <row r="1113" spans="1:3" ht="13.2" x14ac:dyDescent="0.25">
      <c r="A1113" s="6">
        <v>1111</v>
      </c>
      <c r="B1113" s="7">
        <v>73.879997253417898</v>
      </c>
      <c r="C1113" s="5">
        <f t="shared" si="4"/>
        <v>-3.2492904986618117E-2</v>
      </c>
    </row>
    <row r="1114" spans="1:3" ht="13.2" x14ac:dyDescent="0.25">
      <c r="A1114" s="6">
        <v>1112</v>
      </c>
      <c r="B1114" s="7">
        <v>77.699996948242102</v>
      </c>
      <c r="C1114" s="5">
        <f t="shared" si="4"/>
        <v>5.0413099942659231E-2</v>
      </c>
    </row>
    <row r="1115" spans="1:3" ht="13.2" x14ac:dyDescent="0.25">
      <c r="A1115" s="6">
        <v>1113</v>
      </c>
      <c r="B1115" s="7">
        <v>79.199996948242102</v>
      </c>
      <c r="C1115" s="5">
        <f t="shared" si="4"/>
        <v>1.9121042190645272E-2</v>
      </c>
    </row>
    <row r="1116" spans="1:3" ht="13.2" x14ac:dyDescent="0.25">
      <c r="A1116" s="6">
        <v>1114</v>
      </c>
      <c r="B1116" s="7">
        <v>78.699996948242102</v>
      </c>
      <c r="C1116" s="5">
        <f t="shared" si="4"/>
        <v>-6.3331436418275948E-3</v>
      </c>
    </row>
    <row r="1117" spans="1:3" ht="13.2" x14ac:dyDescent="0.25">
      <c r="A1117" s="6">
        <v>1115</v>
      </c>
      <c r="B1117" s="7">
        <v>77.449996948242102</v>
      </c>
      <c r="C1117" s="5">
        <f t="shared" si="4"/>
        <v>-1.6010589186320791E-2</v>
      </c>
    </row>
    <row r="1118" spans="1:3" ht="13.2" x14ac:dyDescent="0.25">
      <c r="A1118" s="6">
        <v>1116</v>
      </c>
      <c r="B1118" s="7">
        <v>76.529998779296804</v>
      </c>
      <c r="C1118" s="5">
        <f t="shared" si="4"/>
        <v>-1.1949722588754109E-2</v>
      </c>
    </row>
    <row r="1119" spans="1:3" ht="13.2" x14ac:dyDescent="0.25">
      <c r="A1119" s="6">
        <v>1117</v>
      </c>
      <c r="B1119" s="7">
        <v>73.959999084472599</v>
      </c>
      <c r="C1119" s="5">
        <f t="shared" si="4"/>
        <v>-3.4158410730939281E-2</v>
      </c>
    </row>
    <row r="1120" spans="1:3" ht="13.2" x14ac:dyDescent="0.25">
      <c r="A1120" s="6">
        <v>1118</v>
      </c>
      <c r="B1120" s="7">
        <v>71.930000305175696</v>
      </c>
      <c r="C1120" s="5">
        <f t="shared" si="4"/>
        <v>-2.7830966018299898E-2</v>
      </c>
    </row>
    <row r="1121" spans="1:3" ht="13.2" x14ac:dyDescent="0.25">
      <c r="A1121" s="6">
        <v>1119</v>
      </c>
      <c r="B1121" s="7">
        <v>73.529998779296804</v>
      </c>
      <c r="C1121" s="5">
        <f t="shared" si="4"/>
        <v>2.2000041484759168E-2</v>
      </c>
    </row>
    <row r="1122" spans="1:3" ht="13.2" x14ac:dyDescent="0.25">
      <c r="A1122" s="6">
        <v>1120</v>
      </c>
      <c r="B1122" s="7">
        <v>72.129997253417898</v>
      </c>
      <c r="C1122" s="5">
        <f t="shared" si="4"/>
        <v>-1.9223461169340837E-2</v>
      </c>
    </row>
    <row r="1123" spans="1:3" ht="13.2" x14ac:dyDescent="0.25">
      <c r="A1123" s="6">
        <v>1121</v>
      </c>
      <c r="B1123" s="7">
        <v>70.709999084472599</v>
      </c>
      <c r="C1123" s="5">
        <f t="shared" si="4"/>
        <v>-1.9883015768846775E-2</v>
      </c>
    </row>
    <row r="1124" spans="1:3" ht="13.2" x14ac:dyDescent="0.25">
      <c r="A1124" s="6">
        <v>1122</v>
      </c>
      <c r="B1124" s="7">
        <v>69.160003662109304</v>
      </c>
      <c r="C1124" s="5">
        <f t="shared" si="4"/>
        <v>-2.2164278902161771E-2</v>
      </c>
    </row>
    <row r="1125" spans="1:3" ht="13.2" x14ac:dyDescent="0.25">
      <c r="A1125" s="6">
        <v>1123</v>
      </c>
      <c r="B1125" s="7">
        <v>69.190002441406193</v>
      </c>
      <c r="C1125" s="5">
        <f t="shared" si="4"/>
        <v>4.3366502990370431E-4</v>
      </c>
    </row>
    <row r="1126" spans="1:3" ht="13.2" x14ac:dyDescent="0.25">
      <c r="A1126" s="6">
        <v>1124</v>
      </c>
      <c r="B1126" s="7">
        <v>68.699996948242102</v>
      </c>
      <c r="C1126" s="5">
        <f t="shared" si="4"/>
        <v>-7.1072239894641696E-3</v>
      </c>
    </row>
    <row r="1127" spans="1:3" ht="13.2" x14ac:dyDescent="0.25">
      <c r="A1127" s="6">
        <v>1125</v>
      </c>
      <c r="B1127" s="7">
        <v>66.980003356933594</v>
      </c>
      <c r="C1127" s="5">
        <f t="shared" si="4"/>
        <v>-2.5355037322285865E-2</v>
      </c>
    </row>
    <row r="1128" spans="1:3" ht="13.2" x14ac:dyDescent="0.25">
      <c r="A1128" s="6">
        <v>1126</v>
      </c>
      <c r="B1128" s="7">
        <v>67.680000305175696</v>
      </c>
      <c r="C1128" s="5">
        <f t="shared" si="4"/>
        <v>1.0396602322560412E-2</v>
      </c>
    </row>
    <row r="1129" spans="1:3" ht="13.2" x14ac:dyDescent="0.25">
      <c r="A1129" s="6">
        <v>1127</v>
      </c>
      <c r="B1129" s="7">
        <v>66.120002746582003</v>
      </c>
      <c r="C1129" s="5">
        <f t="shared" si="4"/>
        <v>-2.3319405314889671E-2</v>
      </c>
    </row>
    <row r="1130" spans="1:3" ht="13.2" x14ac:dyDescent="0.25">
      <c r="A1130" s="6">
        <v>1128</v>
      </c>
      <c r="B1130" s="7">
        <v>66.980003356933594</v>
      </c>
      <c r="C1130" s="5">
        <f t="shared" si="4"/>
        <v>1.2922802992329122E-2</v>
      </c>
    </row>
    <row r="1131" spans="1:3" ht="13.2" x14ac:dyDescent="0.25">
      <c r="A1131" s="6">
        <v>1129</v>
      </c>
      <c r="B1131" s="7">
        <v>69</v>
      </c>
      <c r="C1131" s="5">
        <f t="shared" si="4"/>
        <v>2.9712387112754989E-2</v>
      </c>
    </row>
    <row r="1132" spans="1:3" ht="13.2" x14ac:dyDescent="0.25">
      <c r="A1132" s="6">
        <v>1130</v>
      </c>
      <c r="B1132" s="7">
        <v>70.860000610351506</v>
      </c>
      <c r="C1132" s="5">
        <f t="shared" si="4"/>
        <v>2.6599603453551019E-2</v>
      </c>
    </row>
    <row r="1133" spans="1:3" ht="13.2" x14ac:dyDescent="0.25">
      <c r="A1133" s="6">
        <v>1131</v>
      </c>
      <c r="B1133" s="7">
        <v>69.120002746582003</v>
      </c>
      <c r="C1133" s="5">
        <f t="shared" si="4"/>
        <v>-2.4861943818581499E-2</v>
      </c>
    </row>
    <row r="1134" spans="1:3" ht="13.2" x14ac:dyDescent="0.25">
      <c r="A1134" s="6">
        <v>1132</v>
      </c>
      <c r="B1134" s="7">
        <v>69.260002136230398</v>
      </c>
      <c r="C1134" s="5">
        <f t="shared" si="4"/>
        <v>2.0234055856849955E-3</v>
      </c>
    </row>
    <row r="1135" spans="1:3" ht="13.2" x14ac:dyDescent="0.25">
      <c r="A1135" s="6">
        <v>1133</v>
      </c>
      <c r="B1135" s="7">
        <v>70.360000610351506</v>
      </c>
      <c r="C1135" s="5">
        <f t="shared" si="4"/>
        <v>1.5757358726138107E-2</v>
      </c>
    </row>
    <row r="1136" spans="1:3" ht="13.2" x14ac:dyDescent="0.25">
      <c r="A1136" s="6">
        <v>1134</v>
      </c>
      <c r="B1136" s="7">
        <v>68.690002441406193</v>
      </c>
      <c r="C1136" s="5">
        <f t="shared" si="4"/>
        <v>-2.402126477588061E-2</v>
      </c>
    </row>
    <row r="1137" spans="1:3" ht="13.2" x14ac:dyDescent="0.25">
      <c r="A1137" s="6">
        <v>1135</v>
      </c>
      <c r="B1137" s="7">
        <v>70.120002746582003</v>
      </c>
      <c r="C1137" s="5">
        <f t="shared" si="4"/>
        <v>2.0604435454599397E-2</v>
      </c>
    </row>
    <row r="1138" spans="1:3" ht="13.2" x14ac:dyDescent="0.25">
      <c r="A1138" s="6">
        <v>1136</v>
      </c>
      <c r="B1138" s="7">
        <v>71.620002746582003</v>
      </c>
      <c r="C1138" s="5">
        <f t="shared" si="4"/>
        <v>2.1166303696887014E-2</v>
      </c>
    </row>
    <row r="1139" spans="1:3" ht="13.2" x14ac:dyDescent="0.25">
      <c r="A1139" s="6">
        <v>1137</v>
      </c>
      <c r="B1139" s="7">
        <v>72.599998474121094</v>
      </c>
      <c r="C1139" s="5">
        <f t="shared" si="4"/>
        <v>1.359049789347678E-2</v>
      </c>
    </row>
    <row r="1140" spans="1:3" ht="13.2" x14ac:dyDescent="0.25">
      <c r="A1140" s="6">
        <v>1138</v>
      </c>
      <c r="B1140" s="7">
        <v>70</v>
      </c>
      <c r="C1140" s="5">
        <f t="shared" si="4"/>
        <v>-3.6469658763775364E-2</v>
      </c>
    </row>
    <row r="1141" spans="1:3" ht="13.2" x14ac:dyDescent="0.25">
      <c r="A1141" s="6">
        <v>1139</v>
      </c>
      <c r="B1141" s="7">
        <v>69.819999694824205</v>
      </c>
      <c r="C1141" s="5">
        <f t="shared" si="4"/>
        <v>-2.5747447433626443E-3</v>
      </c>
    </row>
    <row r="1142" spans="1:3" ht="13.2" x14ac:dyDescent="0.25">
      <c r="A1142" s="6">
        <v>1140</v>
      </c>
      <c r="B1142" s="7">
        <v>71.239997863769503</v>
      </c>
      <c r="C1142" s="5">
        <f t="shared" si="4"/>
        <v>2.0133931129073201E-2</v>
      </c>
    </row>
    <row r="1143" spans="1:3" ht="13.2" x14ac:dyDescent="0.25">
      <c r="A1143" s="6">
        <v>1141</v>
      </c>
      <c r="B1143" s="7">
        <v>70.730003356933594</v>
      </c>
      <c r="C1143" s="5">
        <f t="shared" si="4"/>
        <v>-7.1845699259307479E-3</v>
      </c>
    </row>
    <row r="1144" spans="1:3" ht="13.2" x14ac:dyDescent="0.25">
      <c r="A1144" s="6">
        <v>1142</v>
      </c>
      <c r="B1144" s="7">
        <v>72.599998474121094</v>
      </c>
      <c r="C1144" s="5">
        <f t="shared" si="4"/>
        <v>2.609504230399565E-2</v>
      </c>
    </row>
    <row r="1145" spans="1:3" ht="13.2" x14ac:dyDescent="0.25">
      <c r="A1145" s="6">
        <v>1143</v>
      </c>
      <c r="B1145" s="7">
        <v>69.839996337890597</v>
      </c>
      <c r="C1145" s="5">
        <f t="shared" si="4"/>
        <v>-3.8758041717490692E-2</v>
      </c>
    </row>
    <row r="1146" spans="1:3" ht="13.2" x14ac:dyDescent="0.25">
      <c r="A1146" s="6">
        <v>1144</v>
      </c>
      <c r="B1146" s="7">
        <v>70.360000610351506</v>
      </c>
      <c r="C1146" s="5">
        <f t="shared" si="4"/>
        <v>7.4180694484081199E-3</v>
      </c>
    </row>
    <row r="1147" spans="1:3" ht="13.2" x14ac:dyDescent="0.25">
      <c r="A1147" s="6">
        <v>1145</v>
      </c>
      <c r="B1147" s="7">
        <v>69.660003662109304</v>
      </c>
      <c r="C1147" s="5">
        <f t="shared" si="4"/>
        <v>-9.9986110350051109E-3</v>
      </c>
    </row>
    <row r="1148" spans="1:3" ht="13.2" x14ac:dyDescent="0.25">
      <c r="A1148" s="6">
        <v>1146</v>
      </c>
      <c r="B1148" s="7">
        <v>70.559997558593693</v>
      </c>
      <c r="C1148" s="5">
        <f t="shared" si="4"/>
        <v>1.2837059589059044E-2</v>
      </c>
    </row>
    <row r="1149" spans="1:3" ht="13.2" x14ac:dyDescent="0.25">
      <c r="A1149" s="6">
        <v>1147</v>
      </c>
      <c r="B1149" s="7">
        <v>71.459999084472599</v>
      </c>
      <c r="C1149" s="5">
        <f t="shared" si="4"/>
        <v>1.2674462685411506E-2</v>
      </c>
    </row>
    <row r="1150" spans="1:3" ht="13.2" x14ac:dyDescent="0.25">
      <c r="A1150" s="6">
        <v>1148</v>
      </c>
      <c r="B1150" s="7">
        <v>69.889999389648395</v>
      </c>
      <c r="C1150" s="5">
        <f t="shared" si="4"/>
        <v>-2.2215271027511595E-2</v>
      </c>
    </row>
    <row r="1151" spans="1:3" ht="13.2" x14ac:dyDescent="0.25">
      <c r="A1151" s="6">
        <v>1149</v>
      </c>
      <c r="B1151" s="7">
        <v>69.819999694824205</v>
      </c>
      <c r="C1151" s="5">
        <f t="shared" si="4"/>
        <v>-1.0020714500093028E-3</v>
      </c>
    </row>
    <row r="1152" spans="1:3" ht="13.2" x14ac:dyDescent="0.25">
      <c r="A1152" s="6">
        <v>1150</v>
      </c>
      <c r="B1152" s="7">
        <v>69.940002441406193</v>
      </c>
      <c r="C1152" s="5">
        <f t="shared" si="4"/>
        <v>1.7172692363845708E-3</v>
      </c>
    </row>
    <row r="1153" spans="1:3" ht="13.2" x14ac:dyDescent="0.25">
      <c r="A1153" s="6">
        <v>1151</v>
      </c>
      <c r="B1153" s="7">
        <v>70.290000915527301</v>
      </c>
      <c r="C1153" s="5">
        <f t="shared" si="4"/>
        <v>4.9917876704337165E-3</v>
      </c>
    </row>
    <row r="1154" spans="1:3" ht="13.2" x14ac:dyDescent="0.25">
      <c r="A1154" s="6">
        <v>1152</v>
      </c>
      <c r="B1154" s="7">
        <v>68.050003051757798</v>
      </c>
      <c r="C1154" s="5">
        <f t="shared" si="4"/>
        <v>-3.2386780269524296E-2</v>
      </c>
    </row>
    <row r="1155" spans="1:3" ht="13.2" x14ac:dyDescent="0.25">
      <c r="A1155" s="6">
        <v>1153</v>
      </c>
      <c r="B1155" s="7">
        <v>66.160003662109304</v>
      </c>
      <c r="C1155" s="5">
        <f t="shared" si="4"/>
        <v>-2.8166667875538842E-2</v>
      </c>
    </row>
    <row r="1156" spans="1:3" ht="13.2" x14ac:dyDescent="0.25">
      <c r="A1156" s="6">
        <v>1154</v>
      </c>
      <c r="B1156" s="7">
        <v>66</v>
      </c>
      <c r="C1156" s="5">
        <f t="shared" si="4"/>
        <v>-2.4213640413259276E-3</v>
      </c>
    </row>
    <row r="1157" spans="1:3" ht="13.2" x14ac:dyDescent="0.25">
      <c r="A1157" s="6">
        <v>1155</v>
      </c>
      <c r="B1157" s="7">
        <v>66.349998474121094</v>
      </c>
      <c r="C1157" s="5">
        <f t="shared" si="4"/>
        <v>5.2889957543692679E-3</v>
      </c>
    </row>
    <row r="1158" spans="1:3" ht="13.2" x14ac:dyDescent="0.25">
      <c r="A1158" s="6">
        <v>1156</v>
      </c>
      <c r="B1158" s="7">
        <v>65.389999389648395</v>
      </c>
      <c r="C1158" s="5">
        <f t="shared" si="4"/>
        <v>-1.4574405541630944E-2</v>
      </c>
    </row>
    <row r="1159" spans="1:3" ht="13.2" x14ac:dyDescent="0.25">
      <c r="A1159" s="6">
        <v>1157</v>
      </c>
      <c r="B1159" s="7">
        <v>65.489997863769503</v>
      </c>
      <c r="C1159" s="5">
        <f t="shared" si="4"/>
        <v>1.5280943716116187E-3</v>
      </c>
    </row>
    <row r="1160" spans="1:3" ht="13.2" x14ac:dyDescent="0.25">
      <c r="A1160" s="6">
        <v>1158</v>
      </c>
      <c r="B1160" s="7">
        <v>63.799999237060497</v>
      </c>
      <c r="C1160" s="5">
        <f t="shared" si="4"/>
        <v>-2.6144248218330841E-2</v>
      </c>
    </row>
    <row r="1161" spans="1:3" ht="13.2" x14ac:dyDescent="0.25">
      <c r="A1161" s="6">
        <v>1159</v>
      </c>
      <c r="B1161" s="7">
        <v>64.029998779296804</v>
      </c>
      <c r="C1161" s="5">
        <f t="shared" si="4"/>
        <v>3.5985260737150943E-3</v>
      </c>
    </row>
    <row r="1162" spans="1:3" ht="13.2" x14ac:dyDescent="0.25">
      <c r="A1162" s="6">
        <v>1160</v>
      </c>
      <c r="B1162" s="7">
        <v>68.559997558593693</v>
      </c>
      <c r="C1162" s="5">
        <f t="shared" si="4"/>
        <v>6.8357534213587021E-2</v>
      </c>
    </row>
    <row r="1163" spans="1:3" ht="13.2" x14ac:dyDescent="0.25">
      <c r="A1163" s="6">
        <v>1161</v>
      </c>
      <c r="B1163" s="7">
        <v>70.660003662109304</v>
      </c>
      <c r="C1163" s="5">
        <f t="shared" si="4"/>
        <v>3.0170455078441974E-2</v>
      </c>
    </row>
    <row r="1164" spans="1:3" ht="13.2" x14ac:dyDescent="0.25">
      <c r="A1164" s="6">
        <v>1162</v>
      </c>
      <c r="B1164" s="7">
        <v>69.709999084472599</v>
      </c>
      <c r="C1164" s="5">
        <f t="shared" si="4"/>
        <v>-1.3535927393253953E-2</v>
      </c>
    </row>
    <row r="1165" spans="1:3" ht="13.2" x14ac:dyDescent="0.25">
      <c r="A1165" s="6">
        <v>1163</v>
      </c>
      <c r="B1165" s="7">
        <v>67.889999389648395</v>
      </c>
      <c r="C1165" s="5">
        <f t="shared" si="4"/>
        <v>-2.6455027041681144E-2</v>
      </c>
    </row>
    <row r="1166" spans="1:3" ht="13.2" x14ac:dyDescent="0.25">
      <c r="A1166" s="6">
        <v>1164</v>
      </c>
      <c r="B1166" s="7">
        <v>70.900001525878906</v>
      </c>
      <c r="C1166" s="5">
        <f t="shared" si="4"/>
        <v>4.3381715736392247E-2</v>
      </c>
    </row>
    <row r="1167" spans="1:3" ht="13.2" x14ac:dyDescent="0.25">
      <c r="A1167" s="6">
        <v>1165</v>
      </c>
      <c r="B1167" s="7">
        <v>69.419998168945298</v>
      </c>
      <c r="C1167" s="5">
        <f t="shared" si="4"/>
        <v>-2.1095471002478255E-2</v>
      </c>
    </row>
    <row r="1168" spans="1:3" ht="13.2" x14ac:dyDescent="0.25">
      <c r="A1168" s="6">
        <v>1166</v>
      </c>
      <c r="B1168" s="7">
        <v>69.330001831054602</v>
      </c>
      <c r="C1168" s="5">
        <f t="shared" si="4"/>
        <v>-1.297244692057863E-3</v>
      </c>
    </row>
    <row r="1169" spans="1:3" ht="13.2" x14ac:dyDescent="0.25">
      <c r="A1169" s="6">
        <v>1167</v>
      </c>
      <c r="B1169" s="7">
        <v>67.529998779296804</v>
      </c>
      <c r="C1169" s="5">
        <f t="shared" si="4"/>
        <v>-2.6305813854817242E-2</v>
      </c>
    </row>
    <row r="1170" spans="1:3" ht="13.2" x14ac:dyDescent="0.25">
      <c r="A1170" s="6">
        <v>1168</v>
      </c>
      <c r="B1170" s="7">
        <v>67.050003051757798</v>
      </c>
      <c r="C1170" s="5">
        <f t="shared" si="4"/>
        <v>-7.1332702679484071E-3</v>
      </c>
    </row>
    <row r="1171" spans="1:3" ht="13.2" x14ac:dyDescent="0.25">
      <c r="A1171" s="6">
        <v>1169</v>
      </c>
      <c r="B1171" s="7">
        <v>66.709999084472599</v>
      </c>
      <c r="C1171" s="5">
        <f t="shared" si="4"/>
        <v>-5.0838022449106526E-3</v>
      </c>
    </row>
    <row r="1172" spans="1:3" ht="13.2" x14ac:dyDescent="0.25">
      <c r="A1172" s="6">
        <v>1170</v>
      </c>
      <c r="B1172" s="7">
        <v>69.690002441406193</v>
      </c>
      <c r="C1172" s="5">
        <f t="shared" si="4"/>
        <v>4.3702017485368103E-2</v>
      </c>
    </row>
    <row r="1173" spans="1:3" ht="13.2" x14ac:dyDescent="0.25">
      <c r="A1173" s="6">
        <v>1171</v>
      </c>
      <c r="B1173" s="7">
        <v>70.290000915527301</v>
      </c>
      <c r="C1173" s="5">
        <f t="shared" si="4"/>
        <v>8.5726837300130754E-3</v>
      </c>
    </row>
    <row r="1174" spans="1:3" ht="13.2" x14ac:dyDescent="0.25">
      <c r="A1174" s="6">
        <v>1172</v>
      </c>
      <c r="B1174" s="7">
        <v>70.540000915527301</v>
      </c>
      <c r="C1174" s="5">
        <f t="shared" si="4"/>
        <v>3.5503835739301762E-3</v>
      </c>
    </row>
    <row r="1175" spans="1:3" ht="13.2" x14ac:dyDescent="0.25">
      <c r="A1175" s="6">
        <v>1173</v>
      </c>
      <c r="B1175" s="7">
        <v>68</v>
      </c>
      <c r="C1175" s="5">
        <f t="shared" si="4"/>
        <v>-3.6672232610638102E-2</v>
      </c>
    </row>
    <row r="1176" spans="1:3" ht="13.2" x14ac:dyDescent="0.25">
      <c r="A1176" s="6">
        <v>1174</v>
      </c>
      <c r="B1176" s="7">
        <v>65.769996643066406</v>
      </c>
      <c r="C1176" s="5">
        <f t="shared" si="4"/>
        <v>-3.3343948903346923E-2</v>
      </c>
    </row>
    <row r="1177" spans="1:3" ht="13.2" x14ac:dyDescent="0.25">
      <c r="A1177" s="6">
        <v>1175</v>
      </c>
      <c r="B1177" s="7">
        <v>64.720001220703097</v>
      </c>
      <c r="C1177" s="5">
        <f t="shared" si="4"/>
        <v>-1.6093464661227328E-2</v>
      </c>
    </row>
    <row r="1178" spans="1:3" ht="13.2" x14ac:dyDescent="0.25">
      <c r="A1178" s="6">
        <v>1176</v>
      </c>
      <c r="B1178" s="7">
        <v>65.410003662109304</v>
      </c>
      <c r="C1178" s="5">
        <f t="shared" si="4"/>
        <v>1.0604916348581867E-2</v>
      </c>
    </row>
    <row r="1179" spans="1:3" ht="13.2" x14ac:dyDescent="0.25">
      <c r="A1179" s="6">
        <v>1177</v>
      </c>
      <c r="B1179" s="7">
        <v>65.370002746582003</v>
      </c>
      <c r="C1179" s="5">
        <f t="shared" si="4"/>
        <v>-6.1172831953686742E-4</v>
      </c>
    </row>
    <row r="1180" spans="1:3" ht="13.2" x14ac:dyDescent="0.25">
      <c r="A1180" s="6">
        <v>1178</v>
      </c>
      <c r="B1180" s="7">
        <v>64.610000610351506</v>
      </c>
      <c r="C1180" s="5">
        <f t="shared" si="4"/>
        <v>-1.1694272623799911E-2</v>
      </c>
    </row>
    <row r="1181" spans="1:3" ht="13.2" x14ac:dyDescent="0.25">
      <c r="A1181" s="6">
        <v>1179</v>
      </c>
      <c r="B1181" s="7">
        <v>66.580001831054602</v>
      </c>
      <c r="C1181" s="5">
        <f t="shared" si="4"/>
        <v>3.0035052631672228E-2</v>
      </c>
    </row>
    <row r="1182" spans="1:3" ht="13.2" x14ac:dyDescent="0.25">
      <c r="A1182" s="6">
        <v>1180</v>
      </c>
      <c r="B1182" s="7">
        <v>63.159999847412102</v>
      </c>
      <c r="C1182" s="5">
        <f t="shared" si="4"/>
        <v>-5.2733072676902727E-2</v>
      </c>
    </row>
    <row r="1183" spans="1:3" ht="13.2" x14ac:dyDescent="0.25">
      <c r="A1183" s="6">
        <v>1181</v>
      </c>
      <c r="B1183" s="7">
        <v>63.400001525878899</v>
      </c>
      <c r="C1183" s="5">
        <f t="shared" si="4"/>
        <v>3.7926985391236586E-3</v>
      </c>
    </row>
    <row r="1184" spans="1:3" ht="13.2" x14ac:dyDescent="0.25">
      <c r="A1184" s="6">
        <v>1182</v>
      </c>
      <c r="B1184" s="7">
        <v>63.290000915527301</v>
      </c>
      <c r="C1184" s="5">
        <f t="shared" si="4"/>
        <v>-1.7365322578648454E-3</v>
      </c>
    </row>
    <row r="1185" spans="1:3" ht="13.2" x14ac:dyDescent="0.25">
      <c r="A1185" s="6">
        <v>1183</v>
      </c>
      <c r="B1185" s="7">
        <v>63</v>
      </c>
      <c r="C1185" s="5">
        <f t="shared" si="4"/>
        <v>-4.5926268612729061E-3</v>
      </c>
    </row>
    <row r="1186" spans="1:3" ht="13.2" x14ac:dyDescent="0.25">
      <c r="A1186" s="6">
        <v>1184</v>
      </c>
      <c r="B1186" s="7">
        <v>63.419998168945298</v>
      </c>
      <c r="C1186" s="5">
        <f t="shared" si="4"/>
        <v>6.6445138467870497E-3</v>
      </c>
    </row>
    <row r="1187" spans="1:3" ht="13.2" x14ac:dyDescent="0.25">
      <c r="A1187" s="6">
        <v>1185</v>
      </c>
      <c r="B1187" s="7">
        <v>63.720001220703097</v>
      </c>
      <c r="C1187" s="5">
        <f t="shared" si="4"/>
        <v>4.7192639608270312E-3</v>
      </c>
    </row>
    <row r="1188" spans="1:3" ht="13.2" x14ac:dyDescent="0.25">
      <c r="A1188" s="6">
        <v>1186</v>
      </c>
      <c r="B1188" s="7">
        <v>64</v>
      </c>
      <c r="C1188" s="5">
        <f t="shared" si="4"/>
        <v>4.3845791605252316E-3</v>
      </c>
    </row>
    <row r="1189" spans="1:3" ht="13.2" x14ac:dyDescent="0.25">
      <c r="A1189" s="6">
        <v>1187</v>
      </c>
      <c r="B1189" s="7">
        <v>64.010002136230398</v>
      </c>
      <c r="C1189" s="5">
        <f t="shared" si="4"/>
        <v>1.562711676249824E-4</v>
      </c>
    </row>
    <row r="1190" spans="1:3" ht="13.2" x14ac:dyDescent="0.25">
      <c r="A1190" s="6">
        <v>1188</v>
      </c>
      <c r="B1190" s="7">
        <v>64.949996948242102</v>
      </c>
      <c r="C1190" s="5">
        <f t="shared" si="4"/>
        <v>1.4578341603045719E-2</v>
      </c>
    </row>
    <row r="1191" spans="1:3" ht="13.2" x14ac:dyDescent="0.25">
      <c r="A1191" s="6">
        <v>1189</v>
      </c>
      <c r="B1191" s="7">
        <v>64.870002746582003</v>
      </c>
      <c r="C1191" s="5">
        <f t="shared" si="4"/>
        <v>-1.2323865655921554E-3</v>
      </c>
    </row>
    <row r="1192" spans="1:3" ht="13.2" x14ac:dyDescent="0.25">
      <c r="A1192" s="6">
        <v>1190</v>
      </c>
      <c r="B1192" s="7">
        <v>64.940002441406193</v>
      </c>
      <c r="C1192" s="5">
        <f t="shared" si="4"/>
        <v>1.0784947047469274E-3</v>
      </c>
    </row>
    <row r="1193" spans="1:3" ht="13.2" x14ac:dyDescent="0.25">
      <c r="A1193" s="6">
        <v>1191</v>
      </c>
      <c r="B1193" s="7">
        <v>64.730003356933594</v>
      </c>
      <c r="C1193" s="5">
        <f t="shared" si="4"/>
        <v>-3.2389798515268997E-3</v>
      </c>
    </row>
    <row r="1194" spans="1:3" ht="13.2" x14ac:dyDescent="0.25">
      <c r="A1194" s="6">
        <v>1192</v>
      </c>
      <c r="B1194" s="7">
        <v>63.669998168945298</v>
      </c>
      <c r="C1194" s="5">
        <f t="shared" si="4"/>
        <v>-1.6511359147552737E-2</v>
      </c>
    </row>
    <row r="1195" spans="1:3" ht="13.2" x14ac:dyDescent="0.25">
      <c r="A1195" s="6">
        <v>1193</v>
      </c>
      <c r="B1195" s="7">
        <v>65.080001831054602</v>
      </c>
      <c r="C1195" s="5">
        <f t="shared" si="4"/>
        <v>2.1903845215861559E-2</v>
      </c>
    </row>
    <row r="1196" spans="1:3" ht="13.2" x14ac:dyDescent="0.25">
      <c r="A1196" s="6">
        <v>1194</v>
      </c>
      <c r="B1196" s="7">
        <v>64.930000305175696</v>
      </c>
      <c r="C1196" s="5">
        <f t="shared" si="4"/>
        <v>-2.3075392658115325E-3</v>
      </c>
    </row>
    <row r="1197" spans="1:3" ht="13.2" x14ac:dyDescent="0.25">
      <c r="A1197" s="6">
        <v>1195</v>
      </c>
      <c r="B1197" s="7">
        <v>65.080001831054602</v>
      </c>
      <c r="C1197" s="5">
        <f t="shared" si="4"/>
        <v>2.307539265811486E-3</v>
      </c>
    </row>
    <row r="1198" spans="1:3" ht="13.2" x14ac:dyDescent="0.25">
      <c r="A1198" s="6">
        <v>1196</v>
      </c>
      <c r="B1198" s="7">
        <v>65.449996948242102</v>
      </c>
      <c r="C1198" s="5">
        <f t="shared" si="4"/>
        <v>5.6691352423116174E-3</v>
      </c>
    </row>
    <row r="1199" spans="1:3" ht="13.2" x14ac:dyDescent="0.25">
      <c r="A1199" s="6">
        <v>1197</v>
      </c>
      <c r="B1199" s="7">
        <v>69.019996643066406</v>
      </c>
      <c r="C1199" s="5">
        <f t="shared" si="4"/>
        <v>5.3109823304151628E-2</v>
      </c>
    </row>
    <row r="1200" spans="1:3" ht="13.2" x14ac:dyDescent="0.25">
      <c r="A1200" s="6">
        <v>1198</v>
      </c>
      <c r="B1200" s="7">
        <v>67.550003051757798</v>
      </c>
      <c r="C1200" s="5">
        <f t="shared" si="4"/>
        <v>-2.1528159448773884E-2</v>
      </c>
    </row>
    <row r="1201" spans="1:3" ht="13.2" x14ac:dyDescent="0.25">
      <c r="A1201" s="6">
        <v>1199</v>
      </c>
      <c r="B1201" s="7">
        <v>68.190002441406193</v>
      </c>
      <c r="C1201" s="5">
        <f t="shared" si="4"/>
        <v>9.4298527515868421E-3</v>
      </c>
    </row>
    <row r="1202" spans="1:3" ht="13.2" x14ac:dyDescent="0.25">
      <c r="A1202" s="6">
        <v>1200</v>
      </c>
      <c r="B1202" s="7">
        <v>64.930000305175696</v>
      </c>
      <c r="C1202" s="5">
        <f t="shared" si="4"/>
        <v>-4.8988191115087613E-2</v>
      </c>
    </row>
    <row r="1203" spans="1:3" ht="13.2" x14ac:dyDescent="0.25">
      <c r="A1203" s="6">
        <v>1201</v>
      </c>
      <c r="B1203" s="7">
        <v>65.589996337890597</v>
      </c>
      <c r="C1203" s="5">
        <f t="shared" si="4"/>
        <v>1.011341825182523E-2</v>
      </c>
    </row>
    <row r="1204" spans="1:3" ht="13.2" x14ac:dyDescent="0.25">
      <c r="A1204" s="6">
        <v>1202</v>
      </c>
      <c r="B1204" s="7">
        <v>65.459999084472599</v>
      </c>
      <c r="C1204" s="5">
        <f t="shared" si="4"/>
        <v>-1.9839343853172908E-3</v>
      </c>
    </row>
    <row r="1205" spans="1:3" ht="13.2" x14ac:dyDescent="0.25">
      <c r="A1205" s="6">
        <v>1203</v>
      </c>
      <c r="B1205" s="7">
        <v>67</v>
      </c>
      <c r="C1205" s="5">
        <f t="shared" si="4"/>
        <v>2.3253364303990422E-2</v>
      </c>
    </row>
    <row r="1206" spans="1:3" ht="13.2" x14ac:dyDescent="0.25">
      <c r="A1206" s="6">
        <v>1204</v>
      </c>
      <c r="B1206" s="7">
        <v>65.099998474121094</v>
      </c>
      <c r="C1206" s="5">
        <f t="shared" si="4"/>
        <v>-2.8768093615442844E-2</v>
      </c>
    </row>
    <row r="1207" spans="1:3" ht="13.2" x14ac:dyDescent="0.25">
      <c r="A1207" s="6">
        <v>1205</v>
      </c>
      <c r="B1207" s="7">
        <v>66.989997863769503</v>
      </c>
      <c r="C1207" s="5">
        <f t="shared" si="4"/>
        <v>2.8618796855855787E-2</v>
      </c>
    </row>
    <row r="1208" spans="1:3" ht="13.2" x14ac:dyDescent="0.25">
      <c r="A1208" s="6">
        <v>1206</v>
      </c>
      <c r="B1208" s="7">
        <v>67.569999694824205</v>
      </c>
      <c r="C1208" s="5">
        <f t="shared" si="4"/>
        <v>8.6207704162650483E-3</v>
      </c>
    </row>
    <row r="1209" spans="1:3" ht="13.2" x14ac:dyDescent="0.25">
      <c r="A1209" s="6">
        <v>1207</v>
      </c>
      <c r="B1209" s="7">
        <v>68.580001831054602</v>
      </c>
      <c r="C1209" s="5">
        <f t="shared" si="4"/>
        <v>1.4836880686672058E-2</v>
      </c>
    </row>
    <row r="1210" spans="1:3" ht="13.2" x14ac:dyDescent="0.25">
      <c r="A1210" s="6">
        <v>1208</v>
      </c>
      <c r="B1210" s="7">
        <v>69.080001831054602</v>
      </c>
      <c r="C1210" s="5">
        <f t="shared" si="4"/>
        <v>7.2643060504527087E-3</v>
      </c>
    </row>
    <row r="1211" spans="1:3" ht="13.2" x14ac:dyDescent="0.25">
      <c r="A1211" s="6">
        <v>1209</v>
      </c>
      <c r="B1211" s="7">
        <v>68.610000610351506</v>
      </c>
      <c r="C1211" s="5">
        <f t="shared" si="4"/>
        <v>-6.8269741860138792E-3</v>
      </c>
    </row>
    <row r="1212" spans="1:3" ht="13.2" x14ac:dyDescent="0.25">
      <c r="A1212" s="6">
        <v>1210</v>
      </c>
      <c r="B1212" s="7">
        <v>70.25</v>
      </c>
      <c r="C1212" s="5">
        <f t="shared" si="4"/>
        <v>2.3622002615100349E-2</v>
      </c>
    </row>
    <row r="1213" spans="1:3" ht="13.2" x14ac:dyDescent="0.25">
      <c r="A1213" s="6">
        <v>1211</v>
      </c>
      <c r="B1213" s="7">
        <v>70.010002136230398</v>
      </c>
      <c r="C1213" s="5">
        <f t="shared" si="4"/>
        <v>-3.4221887115313721E-3</v>
      </c>
    </row>
    <row r="1214" spans="1:3" ht="13.2" x14ac:dyDescent="0.25">
      <c r="A1214" s="6">
        <v>1212</v>
      </c>
      <c r="B1214" s="7">
        <v>69.470001220703097</v>
      </c>
      <c r="C1214" s="5">
        <f t="shared" si="4"/>
        <v>-7.7430972258762379E-3</v>
      </c>
    </row>
    <row r="1215" spans="1:3" ht="13.2" x14ac:dyDescent="0.25">
      <c r="A1215" s="6">
        <v>1213</v>
      </c>
      <c r="B1215" s="7">
        <v>69.889999389648395</v>
      </c>
      <c r="C1215" s="5">
        <f t="shared" si="4"/>
        <v>6.027546479557987E-3</v>
      </c>
    </row>
    <row r="1216" spans="1:3" ht="13.2" x14ac:dyDescent="0.25">
      <c r="A1216" s="6">
        <v>1214</v>
      </c>
      <c r="B1216" s="7">
        <v>70.410003662109304</v>
      </c>
      <c r="C1216" s="5">
        <f t="shared" si="4"/>
        <v>7.4127817862449886E-3</v>
      </c>
    </row>
    <row r="1217" spans="1:3" ht="13.2" x14ac:dyDescent="0.25">
      <c r="A1217" s="6">
        <v>1215</v>
      </c>
      <c r="B1217" s="7">
        <v>70.400001525878906</v>
      </c>
      <c r="C1217" s="5">
        <f t="shared" si="4"/>
        <v>-1.4206570383788116E-4</v>
      </c>
    </row>
    <row r="1218" spans="1:3" ht="13.2" x14ac:dyDescent="0.25">
      <c r="A1218" s="6">
        <v>1216</v>
      </c>
      <c r="B1218" s="7">
        <v>69.139999389648395</v>
      </c>
      <c r="C1218" s="5">
        <f t="shared" si="4"/>
        <v>-1.805985917269836E-2</v>
      </c>
    </row>
    <row r="1219" spans="1:3" ht="13.2" x14ac:dyDescent="0.25">
      <c r="A1219" s="6">
        <v>1217</v>
      </c>
      <c r="B1219" s="7">
        <v>68.519996643066406</v>
      </c>
      <c r="C1219" s="5">
        <f t="shared" si="4"/>
        <v>-9.0078012018220827E-3</v>
      </c>
    </row>
    <row r="1220" spans="1:3" ht="13.2" x14ac:dyDescent="0.25">
      <c r="A1220" s="6">
        <v>1218</v>
      </c>
      <c r="B1220" s="7">
        <v>68.739997863769503</v>
      </c>
      <c r="C1220" s="5">
        <f t="shared" si="4"/>
        <v>3.2056158808310897E-3</v>
      </c>
    </row>
    <row r="1221" spans="1:3" ht="13.2" x14ac:dyDescent="0.25">
      <c r="A1221" s="6">
        <v>1219</v>
      </c>
      <c r="B1221" s="7">
        <v>70.199996948242102</v>
      </c>
      <c r="C1221" s="5">
        <f t="shared" si="4"/>
        <v>2.1017027214706309E-2</v>
      </c>
    </row>
    <row r="1222" spans="1:3" ht="13.2" x14ac:dyDescent="0.25">
      <c r="A1222" s="6">
        <v>1220</v>
      </c>
      <c r="B1222" s="7">
        <v>67.760002136230398</v>
      </c>
      <c r="C1222" s="5">
        <f t="shared" si="4"/>
        <v>-3.5376185689208701E-2</v>
      </c>
    </row>
    <row r="1223" spans="1:3" ht="13.2" x14ac:dyDescent="0.25">
      <c r="A1223" s="6">
        <v>1221</v>
      </c>
      <c r="B1223" s="7">
        <v>68.110000610351506</v>
      </c>
      <c r="C1223" s="5">
        <f t="shared" si="4"/>
        <v>5.1519723442671559E-3</v>
      </c>
    </row>
    <row r="1224" spans="1:3" ht="13.2" x14ac:dyDescent="0.25">
      <c r="A1224" s="6">
        <v>1222</v>
      </c>
      <c r="B1224" s="7">
        <v>69.5</v>
      </c>
      <c r="C1224" s="5">
        <f t="shared" si="4"/>
        <v>2.0202698356258205E-2</v>
      </c>
    </row>
    <row r="1225" spans="1:3" ht="13.2" x14ac:dyDescent="0.25">
      <c r="A1225" s="6">
        <v>1223</v>
      </c>
      <c r="B1225" s="7">
        <v>70.709999084472599</v>
      </c>
      <c r="C1225" s="5">
        <f t="shared" si="4"/>
        <v>1.7260240097766097E-2</v>
      </c>
    </row>
    <row r="1226" spans="1:3" ht="13.2" x14ac:dyDescent="0.25">
      <c r="A1226" s="6">
        <v>1224</v>
      </c>
      <c r="B1226" s="7">
        <v>70.25</v>
      </c>
      <c r="C1226" s="5">
        <f t="shared" si="4"/>
        <v>-6.5266844546573929E-3</v>
      </c>
    </row>
    <row r="1227" spans="1:3" ht="13.2" x14ac:dyDescent="0.25">
      <c r="A1227" s="6">
        <v>1225</v>
      </c>
      <c r="B1227" s="7">
        <v>68.940002441406193</v>
      </c>
      <c r="C1227" s="5">
        <f t="shared" si="4"/>
        <v>-1.8823711711643674E-2</v>
      </c>
    </row>
    <row r="1228" spans="1:3" ht="13.2" x14ac:dyDescent="0.25">
      <c r="A1228" s="6">
        <v>1226</v>
      </c>
      <c r="B1228" s="7">
        <v>70.989997863769503</v>
      </c>
      <c r="C1228" s="5">
        <f t="shared" si="4"/>
        <v>2.9302395457090777E-2</v>
      </c>
    </row>
    <row r="1229" spans="1:3" ht="13.2" x14ac:dyDescent="0.25">
      <c r="A1229" s="6">
        <v>1227</v>
      </c>
      <c r="B1229" s="7">
        <v>69.879997253417898</v>
      </c>
      <c r="C1229" s="5">
        <f t="shared" si="4"/>
        <v>-1.5759545997713134E-2</v>
      </c>
    </row>
    <row r="1230" spans="1:3" ht="13.2" x14ac:dyDescent="0.25">
      <c r="A1230" s="6">
        <v>1228</v>
      </c>
      <c r="B1230" s="7">
        <v>69.190002441406193</v>
      </c>
      <c r="C1230" s="5">
        <f t="shared" si="4"/>
        <v>-9.9230671653346373E-3</v>
      </c>
    </row>
    <row r="1231" spans="1:3" ht="13.2" x14ac:dyDescent="0.25">
      <c r="A1231" s="6">
        <v>1229</v>
      </c>
      <c r="B1231" s="7">
        <v>69.099998474121094</v>
      </c>
      <c r="C1231" s="5">
        <f t="shared" si="4"/>
        <v>-1.3016701048143202E-3</v>
      </c>
    </row>
    <row r="1232" spans="1:3" ht="13.2" x14ac:dyDescent="0.25">
      <c r="A1232" s="6">
        <v>1230</v>
      </c>
      <c r="B1232" s="7">
        <v>68.269996643066406</v>
      </c>
      <c r="C1232" s="5">
        <f t="shared" si="4"/>
        <v>-1.2084326432683356E-2</v>
      </c>
    </row>
    <row r="1233" spans="1:3" ht="13.2" x14ac:dyDescent="0.25">
      <c r="A1233" s="6">
        <v>1231</v>
      </c>
      <c r="B1233" s="7">
        <v>67.989997863769503</v>
      </c>
      <c r="C1233" s="5">
        <f t="shared" si="4"/>
        <v>-4.1097781401638707E-3</v>
      </c>
    </row>
    <row r="1234" spans="1:3" ht="13.2" x14ac:dyDescent="0.25">
      <c r="A1234" s="6">
        <v>1232</v>
      </c>
      <c r="B1234" s="7">
        <v>69.339996337890597</v>
      </c>
      <c r="C1234" s="5">
        <f t="shared" si="4"/>
        <v>1.9661283324475812E-2</v>
      </c>
    </row>
    <row r="1235" spans="1:3" ht="13.2" x14ac:dyDescent="0.25">
      <c r="A1235" s="6">
        <v>1233</v>
      </c>
      <c r="B1235" s="7">
        <v>68.680000305175696</v>
      </c>
      <c r="C1235" s="5">
        <f t="shared" si="4"/>
        <v>-9.5638469703503426E-3</v>
      </c>
    </row>
    <row r="1236" spans="1:3" ht="13.2" x14ac:dyDescent="0.25">
      <c r="A1236" s="6">
        <v>1234</v>
      </c>
      <c r="B1236" s="7">
        <v>67.870002746582003</v>
      </c>
      <c r="C1236" s="5">
        <f t="shared" si="4"/>
        <v>-1.1863889288774462E-2</v>
      </c>
    </row>
    <row r="1237" spans="1:3" ht="13.2" x14ac:dyDescent="0.25">
      <c r="A1237" s="6">
        <v>1235</v>
      </c>
      <c r="B1237" s="7">
        <v>68.449996948242102</v>
      </c>
      <c r="C1237" s="5">
        <f t="shared" si="4"/>
        <v>8.5093559667599999E-3</v>
      </c>
    </row>
    <row r="1238" spans="1:3" ht="13.2" x14ac:dyDescent="0.25">
      <c r="A1238" s="6">
        <v>1236</v>
      </c>
      <c r="B1238" s="7">
        <v>69.790000915527301</v>
      </c>
      <c r="C1238" s="5">
        <f t="shared" si="4"/>
        <v>1.9387238996672846E-2</v>
      </c>
    </row>
    <row r="1239" spans="1:3" ht="13.2" x14ac:dyDescent="0.25">
      <c r="A1239" s="6">
        <v>1237</v>
      </c>
      <c r="B1239" s="7">
        <v>66.430000305175696</v>
      </c>
      <c r="C1239" s="5">
        <f t="shared" si="4"/>
        <v>-4.9341979876282853E-2</v>
      </c>
    </row>
    <row r="1240" spans="1:3" ht="13.2" x14ac:dyDescent="0.25">
      <c r="A1240" s="6">
        <v>1238</v>
      </c>
      <c r="B1240" s="7">
        <v>68.330001831054602</v>
      </c>
      <c r="C1240" s="5">
        <f t="shared" si="4"/>
        <v>2.8200169318821092E-2</v>
      </c>
    </row>
    <row r="1241" spans="1:3" ht="13.2" x14ac:dyDescent="0.25">
      <c r="A1241" s="6">
        <v>1239</v>
      </c>
      <c r="B1241" s="7">
        <v>69.849998474121094</v>
      </c>
      <c r="C1241" s="5">
        <f t="shared" si="4"/>
        <v>2.2001128267974897E-2</v>
      </c>
    </row>
    <row r="1242" spans="1:3" ht="13.2" x14ac:dyDescent="0.25">
      <c r="A1242" s="6">
        <v>1240</v>
      </c>
      <c r="B1242" s="7">
        <v>68.650001525878906</v>
      </c>
      <c r="C1242" s="5">
        <f t="shared" si="4"/>
        <v>-1.7328909416977425E-2</v>
      </c>
    </row>
    <row r="1243" spans="1:3" ht="13.2" x14ac:dyDescent="0.25">
      <c r="A1243" s="6">
        <v>1241</v>
      </c>
      <c r="B1243" s="7">
        <v>69.190002441406193</v>
      </c>
      <c r="C1243" s="5">
        <f t="shared" si="4"/>
        <v>7.835224355342214E-3</v>
      </c>
    </row>
    <row r="1244" spans="1:3" ht="13.2" x14ac:dyDescent="0.25">
      <c r="A1244" s="6">
        <v>1242</v>
      </c>
      <c r="B1244" s="7">
        <v>68.150001525878906</v>
      </c>
      <c r="C1244" s="5">
        <f t="shared" si="4"/>
        <v>-1.5145198263707135E-2</v>
      </c>
    </row>
    <row r="1245" spans="1:3" ht="13.2" x14ac:dyDescent="0.25">
      <c r="A1245" s="6">
        <v>1243</v>
      </c>
      <c r="B1245" s="7">
        <v>67.709999084472599</v>
      </c>
      <c r="C1245" s="5">
        <f t="shared" si="4"/>
        <v>-6.4773145562960306E-3</v>
      </c>
    </row>
    <row r="1246" spans="1:3" ht="13.2" x14ac:dyDescent="0.25">
      <c r="A1246" s="6">
        <v>1244</v>
      </c>
      <c r="B1246" s="7">
        <v>66.980003356933594</v>
      </c>
      <c r="C1246" s="5">
        <f t="shared" si="4"/>
        <v>-1.0839748491746869E-2</v>
      </c>
    </row>
    <row r="1247" spans="1:3" ht="13.2" x14ac:dyDescent="0.25">
      <c r="A1247" s="6">
        <v>1245</v>
      </c>
      <c r="B1247" s="7">
        <v>65.739997863769503</v>
      </c>
      <c r="C1247" s="5">
        <f t="shared" si="4"/>
        <v>-1.8686581743571594E-2</v>
      </c>
    </row>
    <row r="1248" spans="1:3" ht="13.2" x14ac:dyDescent="0.25">
      <c r="A1248" s="6">
        <v>1246</v>
      </c>
      <c r="B1248" s="7">
        <v>67.339996337890597</v>
      </c>
      <c r="C1248" s="5">
        <f t="shared" si="4"/>
        <v>2.4046823609615006E-2</v>
      </c>
    </row>
    <row r="1249" spans="1:3" ht="13.2" x14ac:dyDescent="0.25">
      <c r="A1249" s="6">
        <v>1247</v>
      </c>
      <c r="B1249" s="7">
        <v>66.209999084472599</v>
      </c>
      <c r="C1249" s="5">
        <f t="shared" si="4"/>
        <v>-1.6922864241423537E-2</v>
      </c>
    </row>
    <row r="1250" spans="1:3" ht="13.2" x14ac:dyDescent="0.25">
      <c r="A1250" s="6">
        <v>1248</v>
      </c>
      <c r="B1250" s="7">
        <v>66.029998779296804</v>
      </c>
      <c r="C1250" s="5">
        <f t="shared" si="4"/>
        <v>-2.7223293897443031E-3</v>
      </c>
    </row>
    <row r="1251" spans="1:3" ht="13.2" x14ac:dyDescent="0.25">
      <c r="A1251" s="6">
        <v>1249</v>
      </c>
      <c r="B1251" s="7">
        <v>64.650001525878906</v>
      </c>
      <c r="C1251" s="5">
        <f t="shared" si="4"/>
        <v>-2.1121036899365262E-2</v>
      </c>
    </row>
    <row r="1252" spans="1:3" ht="13.2" x14ac:dyDescent="0.25">
      <c r="A1252" s="6">
        <v>1250</v>
      </c>
      <c r="B1252" s="7">
        <v>64.5</v>
      </c>
      <c r="C1252" s="5">
        <f t="shared" si="4"/>
        <v>-2.3229050182879884E-3</v>
      </c>
    </row>
    <row r="1253" spans="1:3" ht="13.2" x14ac:dyDescent="0.25">
      <c r="A1253" s="6">
        <v>1251</v>
      </c>
      <c r="B1253" s="7">
        <v>65.949996948242102</v>
      </c>
      <c r="C1253" s="5">
        <f t="shared" si="4"/>
        <v>2.2231609087783682E-2</v>
      </c>
    </row>
    <row r="1254" spans="1:3" ht="13.2" x14ac:dyDescent="0.25">
      <c r="A1254" s="6">
        <v>1252</v>
      </c>
      <c r="B1254" s="7">
        <v>64.470001220703097</v>
      </c>
      <c r="C1254" s="5">
        <f t="shared" si="4"/>
        <v>-2.2696814632545876E-2</v>
      </c>
    </row>
    <row r="1255" spans="1:3" ht="13.2" x14ac:dyDescent="0.25">
      <c r="A1255" s="6">
        <v>1253</v>
      </c>
      <c r="B1255" s="7">
        <v>64.160003662109304</v>
      </c>
      <c r="C1255" s="5">
        <f t="shared" si="4"/>
        <v>-4.8199976209438843E-3</v>
      </c>
    </row>
    <row r="1256" spans="1:3" ht="13.2" x14ac:dyDescent="0.25">
      <c r="A1256" s="6">
        <v>1254</v>
      </c>
      <c r="B1256" s="7">
        <v>65.339996337890597</v>
      </c>
      <c r="C1256" s="5">
        <f t="shared" si="4"/>
        <v>1.8224329489925809E-2</v>
      </c>
    </row>
    <row r="1257" spans="1:3" ht="13.2" x14ac:dyDescent="0.25">
      <c r="A1257" s="6">
        <v>1255</v>
      </c>
      <c r="B1257" s="7">
        <v>65.400001525878906</v>
      </c>
      <c r="C1257" s="5">
        <f t="shared" si="4"/>
        <v>9.1793166868793367E-4</v>
      </c>
    </row>
    <row r="1258" spans="1:3" ht="13.2" x14ac:dyDescent="0.25">
      <c r="A1258" s="6">
        <v>1256</v>
      </c>
      <c r="B1258" s="7">
        <v>65.5</v>
      </c>
      <c r="C1258" s="5">
        <f t="shared" si="4"/>
        <v>1.527860846571737E-3</v>
      </c>
    </row>
    <row r="1259" spans="1:3" ht="13.2" x14ac:dyDescent="0.25">
      <c r="A1259" s="6">
        <v>1257</v>
      </c>
      <c r="B1259" s="7">
        <v>64.660003662109304</v>
      </c>
      <c r="C1259" s="5">
        <f t="shared" si="4"/>
        <v>-1.2907313707525811E-2</v>
      </c>
    </row>
    <row r="1260" spans="1:3" ht="13.2" x14ac:dyDescent="0.25">
      <c r="A1260" s="6">
        <v>1258</v>
      </c>
      <c r="B1260" s="7">
        <v>64.599998474121094</v>
      </c>
      <c r="C1260" s="5">
        <f t="shared" si="4"/>
        <v>-9.2844176554109927E-4</v>
      </c>
    </row>
    <row r="1261" spans="1:3" ht="13.8" x14ac:dyDescent="0.3">
      <c r="A1261" s="1"/>
      <c r="B1261" s="9"/>
      <c r="C1261" s="5"/>
    </row>
  </sheetData>
  <hyperlinks>
    <hyperlink ref="B1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261"/>
  <sheetViews>
    <sheetView workbookViewId="0"/>
  </sheetViews>
  <sheetFormatPr baseColWidth="10" defaultColWidth="12.6640625" defaultRowHeight="15.75" customHeight="1" x14ac:dyDescent="0.25"/>
  <cols>
    <col min="2" max="2" width="13.21875" customWidth="1"/>
    <col min="3" max="3" width="15" customWidth="1"/>
    <col min="6" max="6" width="14.44140625" customWidth="1"/>
  </cols>
  <sheetData>
    <row r="1" spans="1:6" ht="15.75" customHeight="1" x14ac:dyDescent="0.3">
      <c r="A1" s="1"/>
      <c r="B1" s="10" t="s">
        <v>5</v>
      </c>
      <c r="C1" s="10" t="s">
        <v>6</v>
      </c>
      <c r="E1" s="4" t="s">
        <v>2</v>
      </c>
      <c r="F1" s="5">
        <f>AVERAGE(C:C)</f>
        <v>5.0333562542119209E-4</v>
      </c>
    </row>
    <row r="2" spans="1:6" x14ac:dyDescent="0.25">
      <c r="A2" s="6">
        <v>0</v>
      </c>
      <c r="B2" s="7">
        <v>63.069999694824197</v>
      </c>
      <c r="E2" s="4" t="s">
        <v>3</v>
      </c>
      <c r="F2" s="5">
        <f>_xlfn.VAR.S(C:C)</f>
        <v>6.1694380570537699E-4</v>
      </c>
    </row>
    <row r="3" spans="1:6" x14ac:dyDescent="0.25">
      <c r="A3" s="6">
        <v>1</v>
      </c>
      <c r="B3" s="7">
        <v>62.139999389648402</v>
      </c>
      <c r="C3" s="3">
        <f t="shared" ref="C3:C257" si="0">LN(B3/B2)</f>
        <v>-1.48553216941759E-2</v>
      </c>
      <c r="E3" s="4" t="s">
        <v>4</v>
      </c>
      <c r="F3" s="5">
        <f>SQRT(F2)</f>
        <v>2.4838353522433347E-2</v>
      </c>
    </row>
    <row r="4" spans="1:6" x14ac:dyDescent="0.25">
      <c r="A4" s="6">
        <v>2</v>
      </c>
      <c r="B4" s="7">
        <v>61.509998321533203</v>
      </c>
      <c r="C4" s="3">
        <f t="shared" si="0"/>
        <v>-1.0190158210129353E-2</v>
      </c>
    </row>
    <row r="5" spans="1:6" x14ac:dyDescent="0.25">
      <c r="A5" s="6">
        <v>3</v>
      </c>
      <c r="B5" s="7">
        <v>64.720001220703097</v>
      </c>
      <c r="C5" s="3">
        <f t="shared" si="0"/>
        <v>5.0870555678961898E-2</v>
      </c>
    </row>
    <row r="6" spans="1:6" x14ac:dyDescent="0.25">
      <c r="A6" s="6">
        <v>4</v>
      </c>
      <c r="B6" s="7">
        <v>66.550003051757798</v>
      </c>
      <c r="C6" s="3">
        <f t="shared" si="0"/>
        <v>2.7883299086203212E-2</v>
      </c>
    </row>
    <row r="7" spans="1:6" x14ac:dyDescent="0.25">
      <c r="A7" s="6">
        <v>5</v>
      </c>
      <c r="B7" s="7">
        <v>66.269996643066406</v>
      </c>
      <c r="C7" s="3">
        <f t="shared" si="0"/>
        <v>-4.216335253004978E-3</v>
      </c>
    </row>
    <row r="8" spans="1:6" x14ac:dyDescent="0.25">
      <c r="A8" s="6">
        <v>6</v>
      </c>
      <c r="B8" s="7">
        <v>64.400001525878906</v>
      </c>
      <c r="C8" s="3">
        <f t="shared" si="0"/>
        <v>-2.8623598640651164E-2</v>
      </c>
    </row>
    <row r="9" spans="1:6" x14ac:dyDescent="0.25">
      <c r="A9" s="6">
        <v>7</v>
      </c>
      <c r="B9" s="7">
        <v>68.120002746582003</v>
      </c>
      <c r="C9" s="3">
        <f t="shared" si="0"/>
        <v>5.6157239310166425E-2</v>
      </c>
    </row>
    <row r="10" spans="1:6" x14ac:dyDescent="0.25">
      <c r="A10" s="6">
        <v>8</v>
      </c>
      <c r="B10" s="7">
        <v>66.919998168945298</v>
      </c>
      <c r="C10" s="3">
        <f t="shared" si="0"/>
        <v>-1.7773047357468708E-2</v>
      </c>
    </row>
    <row r="11" spans="1:6" x14ac:dyDescent="0.25">
      <c r="A11" s="6">
        <v>9</v>
      </c>
      <c r="B11" s="7">
        <v>67.980003356933594</v>
      </c>
      <c r="C11" s="3">
        <f t="shared" si="0"/>
        <v>1.571574489238586E-2</v>
      </c>
    </row>
    <row r="12" spans="1:6" x14ac:dyDescent="0.25">
      <c r="A12" s="6">
        <v>10</v>
      </c>
      <c r="B12" s="7">
        <v>68.110000610351506</v>
      </c>
      <c r="C12" s="3">
        <f t="shared" si="0"/>
        <v>1.9104605653250503E-3</v>
      </c>
    </row>
    <row r="13" spans="1:6" x14ac:dyDescent="0.25">
      <c r="A13" s="6">
        <v>11</v>
      </c>
      <c r="B13" s="7">
        <v>69.139999389648395</v>
      </c>
      <c r="C13" s="3">
        <f t="shared" si="0"/>
        <v>1.500937145122622E-2</v>
      </c>
    </row>
    <row r="14" spans="1:6" x14ac:dyDescent="0.25">
      <c r="A14" s="6">
        <v>12</v>
      </c>
      <c r="B14" s="7">
        <v>67.220001220703097</v>
      </c>
      <c r="C14" s="3">
        <f t="shared" si="0"/>
        <v>-2.8162585208935005E-2</v>
      </c>
    </row>
    <row r="15" spans="1:6" x14ac:dyDescent="0.25">
      <c r="A15" s="6">
        <v>13</v>
      </c>
      <c r="B15" s="7">
        <v>68.370002746582003</v>
      </c>
      <c r="C15" s="3">
        <f t="shared" si="0"/>
        <v>1.696333164124943E-2</v>
      </c>
    </row>
    <row r="16" spans="1:6" x14ac:dyDescent="0.25">
      <c r="A16" s="6">
        <v>14</v>
      </c>
      <c r="B16" s="7">
        <v>67.889999389648395</v>
      </c>
      <c r="C16" s="3">
        <f t="shared" si="0"/>
        <v>-7.0454327747752126E-3</v>
      </c>
    </row>
    <row r="17" spans="1:3" x14ac:dyDescent="0.25">
      <c r="A17" s="6">
        <v>15</v>
      </c>
      <c r="B17" s="7">
        <v>65.900001525878906</v>
      </c>
      <c r="C17" s="3">
        <f t="shared" si="0"/>
        <v>-2.9750274660332487E-2</v>
      </c>
    </row>
    <row r="18" spans="1:3" x14ac:dyDescent="0.25">
      <c r="A18" s="6">
        <v>16</v>
      </c>
      <c r="B18" s="7">
        <v>67.290000915527301</v>
      </c>
      <c r="C18" s="3">
        <f t="shared" si="0"/>
        <v>2.0873186143001588E-2</v>
      </c>
    </row>
    <row r="19" spans="1:3" x14ac:dyDescent="0.25">
      <c r="A19" s="6">
        <v>17</v>
      </c>
      <c r="B19" s="7">
        <v>68.330001831054602</v>
      </c>
      <c r="C19" s="3">
        <f t="shared" si="0"/>
        <v>1.5337284783991942E-2</v>
      </c>
    </row>
    <row r="20" spans="1:3" x14ac:dyDescent="0.25">
      <c r="A20" s="6">
        <v>18</v>
      </c>
      <c r="B20" s="7">
        <v>69.139999389648395</v>
      </c>
      <c r="C20" s="3">
        <f t="shared" si="0"/>
        <v>1.1784490075799563E-2</v>
      </c>
    </row>
    <row r="21" spans="1:3" x14ac:dyDescent="0.25">
      <c r="A21" s="6">
        <v>19</v>
      </c>
      <c r="B21" s="7">
        <v>68.209999084472599</v>
      </c>
      <c r="C21" s="3">
        <f t="shared" si="0"/>
        <v>-1.354225742127391E-2</v>
      </c>
    </row>
    <row r="22" spans="1:3" x14ac:dyDescent="0.25">
      <c r="A22" s="6">
        <v>20</v>
      </c>
      <c r="B22" s="7">
        <v>66.330001831054602</v>
      </c>
      <c r="C22" s="3">
        <f t="shared" si="0"/>
        <v>-2.7948857101750792E-2</v>
      </c>
    </row>
    <row r="23" spans="1:3" x14ac:dyDescent="0.25">
      <c r="A23" s="6">
        <v>21</v>
      </c>
      <c r="B23" s="7">
        <v>67</v>
      </c>
      <c r="C23" s="3">
        <f t="shared" si="0"/>
        <v>1.0050308248276499E-2</v>
      </c>
    </row>
    <row r="24" spans="1:3" x14ac:dyDescent="0.25">
      <c r="A24" s="6">
        <v>22</v>
      </c>
      <c r="B24" s="7">
        <v>66.639999389648395</v>
      </c>
      <c r="C24" s="3">
        <f t="shared" si="0"/>
        <v>-5.38763069131655E-3</v>
      </c>
    </row>
    <row r="25" spans="1:3" x14ac:dyDescent="0.25">
      <c r="A25" s="6">
        <v>23</v>
      </c>
      <c r="B25" s="7">
        <v>64.879997253417898</v>
      </c>
      <c r="C25" s="3">
        <f t="shared" si="0"/>
        <v>-2.6765621225755938E-2</v>
      </c>
    </row>
    <row r="26" spans="1:3" x14ac:dyDescent="0.25">
      <c r="A26" s="6">
        <v>24</v>
      </c>
      <c r="B26" s="7">
        <v>65.519996643066406</v>
      </c>
      <c r="C26" s="3">
        <f t="shared" si="0"/>
        <v>9.8160208356688136E-3</v>
      </c>
    </row>
    <row r="27" spans="1:3" x14ac:dyDescent="0.25">
      <c r="A27" s="6">
        <v>25</v>
      </c>
      <c r="B27" s="7">
        <v>65.760002136230398</v>
      </c>
      <c r="C27" s="3">
        <f t="shared" si="0"/>
        <v>3.6563949236169883E-3</v>
      </c>
    </row>
    <row r="28" spans="1:3" x14ac:dyDescent="0.25">
      <c r="A28" s="6">
        <v>26</v>
      </c>
      <c r="B28" s="7">
        <v>65.360000610351506</v>
      </c>
      <c r="C28" s="3">
        <f t="shared" si="0"/>
        <v>-6.1013233431286484E-3</v>
      </c>
    </row>
    <row r="29" spans="1:3" x14ac:dyDescent="0.25">
      <c r="A29" s="6">
        <v>27</v>
      </c>
      <c r="B29" s="7">
        <v>66.120002746582003</v>
      </c>
      <c r="C29" s="3">
        <f t="shared" si="0"/>
        <v>1.1560854602124554E-2</v>
      </c>
    </row>
    <row r="30" spans="1:3" x14ac:dyDescent="0.25">
      <c r="A30" s="6">
        <v>28</v>
      </c>
      <c r="B30" s="7">
        <v>67.540000915527301</v>
      </c>
      <c r="C30" s="3">
        <f t="shared" si="0"/>
        <v>2.1248714020580876E-2</v>
      </c>
    </row>
    <row r="31" spans="1:3" ht="13.2" x14ac:dyDescent="0.25">
      <c r="A31" s="6">
        <v>29</v>
      </c>
      <c r="B31" s="7">
        <v>67.129997253417898</v>
      </c>
      <c r="C31" s="3">
        <f t="shared" si="0"/>
        <v>-6.0890314764734709E-3</v>
      </c>
    </row>
    <row r="32" spans="1:3" ht="13.2" x14ac:dyDescent="0.25">
      <c r="A32" s="6">
        <v>30</v>
      </c>
      <c r="B32" s="7">
        <v>66.889999389648395</v>
      </c>
      <c r="C32" s="3">
        <f t="shared" si="0"/>
        <v>-3.5815270306724209E-3</v>
      </c>
    </row>
    <row r="33" spans="1:3" ht="13.2" x14ac:dyDescent="0.25">
      <c r="A33" s="6">
        <v>31</v>
      </c>
      <c r="B33" s="7">
        <v>65.569999694824205</v>
      </c>
      <c r="C33" s="3">
        <f t="shared" si="0"/>
        <v>-1.9931200384280798E-2</v>
      </c>
    </row>
    <row r="34" spans="1:3" ht="13.2" x14ac:dyDescent="0.25">
      <c r="A34" s="6">
        <v>32</v>
      </c>
      <c r="B34" s="7">
        <v>66.129997253417898</v>
      </c>
      <c r="C34" s="3">
        <f t="shared" si="0"/>
        <v>8.5041905321679209E-3</v>
      </c>
    </row>
    <row r="35" spans="1:3" ht="13.2" x14ac:dyDescent="0.25">
      <c r="A35" s="6">
        <v>33</v>
      </c>
      <c r="B35" s="7">
        <v>69.25</v>
      </c>
      <c r="C35" s="3">
        <f t="shared" si="0"/>
        <v>4.6100684913950453E-2</v>
      </c>
    </row>
    <row r="36" spans="1:3" ht="13.2" x14ac:dyDescent="0.25">
      <c r="A36" s="6">
        <v>34</v>
      </c>
      <c r="B36" s="7">
        <v>69.319999694824205</v>
      </c>
      <c r="C36" s="3">
        <f t="shared" si="0"/>
        <v>1.0103153775368196E-3</v>
      </c>
    </row>
    <row r="37" spans="1:3" ht="13.2" x14ac:dyDescent="0.25">
      <c r="A37" s="6">
        <v>35</v>
      </c>
      <c r="B37" s="7">
        <v>71.529998779296804</v>
      </c>
      <c r="C37" s="3">
        <f t="shared" si="0"/>
        <v>3.1383464609696078E-2</v>
      </c>
    </row>
    <row r="38" spans="1:3" ht="13.2" x14ac:dyDescent="0.25">
      <c r="A38" s="6">
        <v>36</v>
      </c>
      <c r="B38" s="7">
        <v>70.290000915527301</v>
      </c>
      <c r="C38" s="3">
        <f t="shared" si="0"/>
        <v>-1.7487370841866141E-2</v>
      </c>
    </row>
    <row r="39" spans="1:3" ht="13.2" x14ac:dyDescent="0.25">
      <c r="A39" s="6">
        <v>37</v>
      </c>
      <c r="B39" s="7">
        <v>71.019996643066406</v>
      </c>
      <c r="C39" s="3">
        <f t="shared" si="0"/>
        <v>1.0331926034685936E-2</v>
      </c>
    </row>
    <row r="40" spans="1:3" ht="13.2" x14ac:dyDescent="0.25">
      <c r="A40" s="6">
        <v>38</v>
      </c>
      <c r="B40" s="7">
        <v>70.569999694824205</v>
      </c>
      <c r="C40" s="3">
        <f t="shared" si="0"/>
        <v>-6.3563595592026918E-3</v>
      </c>
    </row>
    <row r="41" spans="1:3" ht="13.2" x14ac:dyDescent="0.25">
      <c r="A41" s="6">
        <v>39</v>
      </c>
      <c r="B41" s="7">
        <v>71.949996948242102</v>
      </c>
      <c r="C41" s="3">
        <f t="shared" si="0"/>
        <v>1.9366270230096742E-2</v>
      </c>
    </row>
    <row r="42" spans="1:3" ht="13.2" x14ac:dyDescent="0.25">
      <c r="A42" s="6">
        <v>40</v>
      </c>
      <c r="B42" s="7">
        <v>72.589996337890597</v>
      </c>
      <c r="C42" s="3">
        <f t="shared" si="0"/>
        <v>8.8557299291260223E-3</v>
      </c>
    </row>
    <row r="43" spans="1:3" ht="13.2" x14ac:dyDescent="0.25">
      <c r="A43" s="6">
        <v>41</v>
      </c>
      <c r="B43" s="7">
        <v>72.139999389648395</v>
      </c>
      <c r="C43" s="3">
        <f t="shared" si="0"/>
        <v>-6.2184538327822629E-3</v>
      </c>
    </row>
    <row r="44" spans="1:3" ht="13.2" x14ac:dyDescent="0.25">
      <c r="A44" s="6">
        <v>42</v>
      </c>
      <c r="B44" s="7">
        <v>71.440002441406193</v>
      </c>
      <c r="C44" s="3">
        <f t="shared" si="0"/>
        <v>-9.7506962722767061E-3</v>
      </c>
    </row>
    <row r="45" spans="1:3" ht="13.2" x14ac:dyDescent="0.25">
      <c r="A45" s="6">
        <v>43</v>
      </c>
      <c r="B45" s="7">
        <v>71.029998779296804</v>
      </c>
      <c r="C45" s="3">
        <f t="shared" si="0"/>
        <v>-5.7556649184846318E-3</v>
      </c>
    </row>
    <row r="46" spans="1:3" ht="13.2" x14ac:dyDescent="0.25">
      <c r="A46" s="6">
        <v>44</v>
      </c>
      <c r="B46" s="7">
        <v>70.430000305175696</v>
      </c>
      <c r="C46" s="3">
        <f t="shared" si="0"/>
        <v>-8.482992733622725E-3</v>
      </c>
    </row>
    <row r="47" spans="1:3" ht="13.2" x14ac:dyDescent="0.25">
      <c r="A47" s="6">
        <v>45</v>
      </c>
      <c r="B47" s="7">
        <v>69.800003051757798</v>
      </c>
      <c r="C47" s="3">
        <f t="shared" si="0"/>
        <v>-8.9852596005703007E-3</v>
      </c>
    </row>
    <row r="48" spans="1:3" ht="13.2" x14ac:dyDescent="0.25">
      <c r="A48" s="6">
        <v>46</v>
      </c>
      <c r="B48" s="7">
        <v>69.800003051757798</v>
      </c>
      <c r="C48" s="3">
        <f t="shared" si="0"/>
        <v>0</v>
      </c>
    </row>
    <row r="49" spans="1:3" ht="13.2" x14ac:dyDescent="0.25">
      <c r="A49" s="6">
        <v>47</v>
      </c>
      <c r="B49" s="7">
        <v>73.889999389648395</v>
      </c>
      <c r="C49" s="3">
        <f t="shared" si="0"/>
        <v>5.6943439050498521E-2</v>
      </c>
    </row>
    <row r="50" spans="1:3" ht="13.2" x14ac:dyDescent="0.25">
      <c r="A50" s="6">
        <v>48</v>
      </c>
      <c r="B50" s="7">
        <v>74.319999694824205</v>
      </c>
      <c r="C50" s="3">
        <f t="shared" si="0"/>
        <v>5.8025978590599053E-3</v>
      </c>
    </row>
    <row r="51" spans="1:3" ht="13.2" x14ac:dyDescent="0.25">
      <c r="A51" s="6">
        <v>49</v>
      </c>
      <c r="B51" s="7">
        <v>74.684997558593693</v>
      </c>
      <c r="C51" s="3">
        <f t="shared" si="0"/>
        <v>4.8991456735331777E-3</v>
      </c>
    </row>
    <row r="52" spans="1:3" ht="13.2" x14ac:dyDescent="0.25">
      <c r="A52" s="6">
        <v>50</v>
      </c>
      <c r="B52" s="7">
        <v>73.349998474121094</v>
      </c>
      <c r="C52" s="3">
        <f t="shared" si="0"/>
        <v>-1.8036752286596954E-2</v>
      </c>
    </row>
    <row r="53" spans="1:3" ht="13.2" x14ac:dyDescent="0.25">
      <c r="A53" s="6">
        <v>51</v>
      </c>
      <c r="B53" s="7">
        <v>73.910003662109304</v>
      </c>
      <c r="C53" s="3">
        <f t="shared" si="0"/>
        <v>7.6057025587404009E-3</v>
      </c>
    </row>
    <row r="54" spans="1:3" ht="13.2" x14ac:dyDescent="0.25">
      <c r="A54" s="6">
        <v>52</v>
      </c>
      <c r="B54" s="7">
        <v>73.930000305175696</v>
      </c>
      <c r="C54" s="3">
        <f t="shared" si="0"/>
        <v>2.7051735189029101E-4</v>
      </c>
    </row>
    <row r="55" spans="1:3" ht="13.2" x14ac:dyDescent="0.25">
      <c r="A55" s="6">
        <v>53</v>
      </c>
      <c r="B55" s="7">
        <v>74.879997253417898</v>
      </c>
      <c r="C55" s="3">
        <f t="shared" si="0"/>
        <v>1.2768091792644315E-2</v>
      </c>
    </row>
    <row r="56" spans="1:3" ht="13.2" x14ac:dyDescent="0.25">
      <c r="A56" s="6">
        <v>54</v>
      </c>
      <c r="B56" s="7">
        <v>75.639999389648395</v>
      </c>
      <c r="C56" s="3">
        <f t="shared" si="0"/>
        <v>1.0098440231538617E-2</v>
      </c>
    </row>
    <row r="57" spans="1:3" ht="13.2" x14ac:dyDescent="0.25">
      <c r="A57" s="6">
        <v>55</v>
      </c>
      <c r="B57" s="7">
        <v>75.989997863769503</v>
      </c>
      <c r="C57" s="3">
        <f t="shared" si="0"/>
        <v>4.616488848606104E-3</v>
      </c>
    </row>
    <row r="58" spans="1:3" ht="13.2" x14ac:dyDescent="0.25">
      <c r="A58" s="6">
        <v>56</v>
      </c>
      <c r="B58" s="7">
        <v>72.239997863769503</v>
      </c>
      <c r="C58" s="3">
        <f t="shared" si="0"/>
        <v>-5.0607845032265647E-2</v>
      </c>
    </row>
    <row r="59" spans="1:3" ht="13.2" x14ac:dyDescent="0.25">
      <c r="A59" s="6">
        <v>57</v>
      </c>
      <c r="B59" s="7">
        <v>76.690002441406193</v>
      </c>
      <c r="C59" s="3">
        <f t="shared" si="0"/>
        <v>5.977747407407466E-2</v>
      </c>
    </row>
    <row r="60" spans="1:3" ht="13.2" x14ac:dyDescent="0.25">
      <c r="A60" s="6">
        <v>58</v>
      </c>
      <c r="B60" s="7">
        <v>75.819999694824205</v>
      </c>
      <c r="C60" s="3">
        <f t="shared" si="0"/>
        <v>-1.1409247548322225E-2</v>
      </c>
    </row>
    <row r="61" spans="1:3" ht="13.2" x14ac:dyDescent="0.25">
      <c r="A61" s="6">
        <v>59</v>
      </c>
      <c r="B61" s="7">
        <v>74.989997863769503</v>
      </c>
      <c r="C61" s="3">
        <f t="shared" si="0"/>
        <v>-1.1007363236758813E-2</v>
      </c>
    </row>
    <row r="62" spans="1:3" ht="13.2" x14ac:dyDescent="0.25">
      <c r="A62" s="6">
        <v>60</v>
      </c>
      <c r="B62" s="7">
        <v>74.599998474121094</v>
      </c>
      <c r="C62" s="3">
        <f t="shared" si="0"/>
        <v>-5.2142560708519897E-3</v>
      </c>
    </row>
    <row r="63" spans="1:3" ht="13.2" x14ac:dyDescent="0.25">
      <c r="A63" s="6">
        <v>61</v>
      </c>
      <c r="B63" s="7">
        <v>74.620002746582003</v>
      </c>
      <c r="C63" s="3">
        <f t="shared" si="0"/>
        <v>2.6811784502210194E-4</v>
      </c>
    </row>
    <row r="64" spans="1:3" ht="13.2" x14ac:dyDescent="0.25">
      <c r="A64" s="6">
        <v>62</v>
      </c>
      <c r="B64" s="7">
        <v>74.089996337890597</v>
      </c>
      <c r="C64" s="3">
        <f t="shared" si="0"/>
        <v>-7.1280835998818797E-3</v>
      </c>
    </row>
    <row r="65" spans="1:3" ht="13.2" x14ac:dyDescent="0.25">
      <c r="A65" s="6">
        <v>63</v>
      </c>
      <c r="B65" s="7">
        <v>71.769996643066406</v>
      </c>
      <c r="C65" s="3">
        <f t="shared" si="0"/>
        <v>-3.181400633222798E-2</v>
      </c>
    </row>
    <row r="66" spans="1:3" ht="13.2" x14ac:dyDescent="0.25">
      <c r="A66" s="6">
        <v>64</v>
      </c>
      <c r="B66" s="7">
        <v>69.489997863769503</v>
      </c>
      <c r="C66" s="3">
        <f t="shared" si="0"/>
        <v>-3.2283688083803559E-2</v>
      </c>
    </row>
    <row r="67" spans="1:3" ht="13.2" x14ac:dyDescent="0.25">
      <c r="A67" s="6">
        <v>65</v>
      </c>
      <c r="B67" s="7">
        <v>69.800003051757798</v>
      </c>
      <c r="C67" s="3">
        <f t="shared" si="0"/>
        <v>4.4512269051014131E-3</v>
      </c>
    </row>
    <row r="68" spans="1:3" ht="13.2" x14ac:dyDescent="0.25">
      <c r="A68" s="6">
        <v>66</v>
      </c>
      <c r="B68" s="7">
        <v>70.849998474121094</v>
      </c>
      <c r="C68" s="3">
        <f t="shared" si="0"/>
        <v>1.4930891110152663E-2</v>
      </c>
    </row>
    <row r="69" spans="1:3" ht="13.2" x14ac:dyDescent="0.25">
      <c r="A69" s="6">
        <v>67</v>
      </c>
      <c r="B69" s="7">
        <v>70.120002746582003</v>
      </c>
      <c r="C69" s="3">
        <f t="shared" si="0"/>
        <v>-1.0356845377166192E-2</v>
      </c>
    </row>
    <row r="70" spans="1:3" ht="13.2" x14ac:dyDescent="0.25">
      <c r="A70" s="6">
        <v>68</v>
      </c>
      <c r="B70" s="7">
        <v>67.980003356933594</v>
      </c>
      <c r="C70" s="3">
        <f t="shared" si="0"/>
        <v>-3.0994505573607545E-2</v>
      </c>
    </row>
    <row r="71" spans="1:3" ht="13.2" x14ac:dyDescent="0.25">
      <c r="A71" s="6">
        <v>69</v>
      </c>
      <c r="B71" s="7">
        <v>69.175003051757798</v>
      </c>
      <c r="C71" s="3">
        <f t="shared" si="0"/>
        <v>1.7425976140309853E-2</v>
      </c>
    </row>
    <row r="72" spans="1:3" ht="13.2" x14ac:dyDescent="0.25">
      <c r="A72" s="6">
        <v>70</v>
      </c>
      <c r="B72" s="7">
        <v>66.75</v>
      </c>
      <c r="C72" s="3">
        <f t="shared" si="0"/>
        <v>-3.5685272509113984E-2</v>
      </c>
    </row>
    <row r="73" spans="1:3" ht="13.2" x14ac:dyDescent="0.25">
      <c r="A73" s="6">
        <v>71</v>
      </c>
      <c r="B73" s="7">
        <v>65.800003051757798</v>
      </c>
      <c r="C73" s="3">
        <f t="shared" si="0"/>
        <v>-1.4334412569790575E-2</v>
      </c>
    </row>
    <row r="74" spans="1:3" ht="13.2" x14ac:dyDescent="0.25">
      <c r="A74" s="6">
        <v>72</v>
      </c>
      <c r="B74" s="7">
        <v>65.959999084472599</v>
      </c>
      <c r="C74" s="3">
        <f t="shared" si="0"/>
        <v>2.4285991007902763E-3</v>
      </c>
    </row>
    <row r="75" spans="1:3" ht="13.2" x14ac:dyDescent="0.25">
      <c r="A75" s="6">
        <v>73</v>
      </c>
      <c r="B75" s="7">
        <v>66.294998168945298</v>
      </c>
      <c r="C75" s="3">
        <f t="shared" si="0"/>
        <v>5.0659681355220872E-3</v>
      </c>
    </row>
    <row r="76" spans="1:3" ht="13.2" x14ac:dyDescent="0.25">
      <c r="A76" s="6">
        <v>74</v>
      </c>
      <c r="B76" s="7">
        <v>69</v>
      </c>
      <c r="C76" s="3">
        <f t="shared" si="0"/>
        <v>3.9992052650378571E-2</v>
      </c>
    </row>
    <row r="77" spans="1:3" ht="13.2" x14ac:dyDescent="0.25">
      <c r="A77" s="6">
        <v>75</v>
      </c>
      <c r="B77" s="7">
        <v>69.610000610351506</v>
      </c>
      <c r="C77" s="3">
        <f t="shared" si="0"/>
        <v>8.8017393514740801E-3</v>
      </c>
    </row>
    <row r="78" spans="1:3" ht="13.2" x14ac:dyDescent="0.25">
      <c r="A78" s="6">
        <v>76</v>
      </c>
      <c r="B78" s="7">
        <v>66.75</v>
      </c>
      <c r="C78" s="3">
        <f t="shared" si="0"/>
        <v>-4.1953946668374598E-2</v>
      </c>
    </row>
    <row r="79" spans="1:3" ht="13.2" x14ac:dyDescent="0.25">
      <c r="A79" s="6">
        <v>77</v>
      </c>
      <c r="B79" s="7">
        <v>66.459999084472599</v>
      </c>
      <c r="C79" s="3">
        <f t="shared" si="0"/>
        <v>-4.3540481295262423E-3</v>
      </c>
    </row>
    <row r="80" spans="1:3" ht="13.2" x14ac:dyDescent="0.25">
      <c r="A80" s="6">
        <v>78</v>
      </c>
      <c r="B80" s="7">
        <v>66.559997558593693</v>
      </c>
      <c r="C80" s="3">
        <f t="shared" si="0"/>
        <v>1.5035106823375235E-3</v>
      </c>
    </row>
    <row r="81" spans="1:3" ht="13.2" x14ac:dyDescent="0.25">
      <c r="A81" s="6">
        <v>79</v>
      </c>
      <c r="B81" s="7">
        <v>66.089996337890597</v>
      </c>
      <c r="C81" s="3">
        <f t="shared" si="0"/>
        <v>-7.086365761756021E-3</v>
      </c>
    </row>
    <row r="82" spans="1:3" ht="13.2" x14ac:dyDescent="0.25">
      <c r="A82" s="6">
        <v>80</v>
      </c>
      <c r="B82" s="7">
        <v>66.580001831054602</v>
      </c>
      <c r="C82" s="3">
        <f t="shared" si="0"/>
        <v>7.3868655770354232E-3</v>
      </c>
    </row>
    <row r="83" spans="1:3" ht="13.2" x14ac:dyDescent="0.25">
      <c r="A83" s="6">
        <v>81</v>
      </c>
      <c r="B83" s="7">
        <v>66.480003356933594</v>
      </c>
      <c r="C83" s="3">
        <f t="shared" si="0"/>
        <v>-1.5030586058670525E-3</v>
      </c>
    </row>
    <row r="84" spans="1:3" ht="13.2" x14ac:dyDescent="0.25">
      <c r="A84" s="6">
        <v>82</v>
      </c>
      <c r="B84" s="7">
        <v>65.559997558593693</v>
      </c>
      <c r="C84" s="3">
        <f t="shared" si="0"/>
        <v>-1.3935484406220708E-2</v>
      </c>
    </row>
    <row r="85" spans="1:3" ht="13.2" x14ac:dyDescent="0.25">
      <c r="A85" s="6">
        <v>83</v>
      </c>
      <c r="B85" s="7">
        <v>63.669998168945298</v>
      </c>
      <c r="C85" s="3">
        <f t="shared" si="0"/>
        <v>-2.9252251365944087E-2</v>
      </c>
    </row>
    <row r="86" spans="1:3" ht="13.2" x14ac:dyDescent="0.25">
      <c r="A86" s="6">
        <v>84</v>
      </c>
      <c r="B86" s="7">
        <v>61.849998474121001</v>
      </c>
      <c r="C86" s="3">
        <f t="shared" si="0"/>
        <v>-2.9001391102559781E-2</v>
      </c>
    </row>
    <row r="87" spans="1:3" ht="13.2" x14ac:dyDescent="0.25">
      <c r="A87" s="6">
        <v>85</v>
      </c>
      <c r="B87" s="7">
        <v>60.75</v>
      </c>
      <c r="C87" s="3">
        <f t="shared" si="0"/>
        <v>-1.7944991947200162E-2</v>
      </c>
    </row>
    <row r="88" spans="1:3" ht="13.2" x14ac:dyDescent="0.25">
      <c r="A88" s="6">
        <v>86</v>
      </c>
      <c r="B88" s="7">
        <v>56.720001220703097</v>
      </c>
      <c r="C88" s="3">
        <f t="shared" si="0"/>
        <v>-6.8640178475222205E-2</v>
      </c>
    </row>
    <row r="89" spans="1:3" ht="13.2" x14ac:dyDescent="0.25">
      <c r="A89" s="6">
        <v>87</v>
      </c>
      <c r="B89" s="7">
        <v>54.029998779296797</v>
      </c>
      <c r="C89" s="3">
        <f t="shared" si="0"/>
        <v>-4.8587478482524635E-2</v>
      </c>
    </row>
    <row r="90" spans="1:3" ht="13.2" x14ac:dyDescent="0.25">
      <c r="A90" s="6">
        <v>88</v>
      </c>
      <c r="B90" s="7">
        <v>55.860000610351499</v>
      </c>
      <c r="C90" s="3">
        <f t="shared" si="0"/>
        <v>3.3309146180569696E-2</v>
      </c>
    </row>
    <row r="91" spans="1:3" ht="13.2" x14ac:dyDescent="0.25">
      <c r="A91" s="6">
        <v>89</v>
      </c>
      <c r="B91" s="7">
        <v>55.330001831054602</v>
      </c>
      <c r="C91" s="3">
        <f t="shared" si="0"/>
        <v>-9.5332814401210431E-3</v>
      </c>
    </row>
    <row r="92" spans="1:3" ht="13.2" x14ac:dyDescent="0.25">
      <c r="A92" s="6">
        <v>90</v>
      </c>
      <c r="B92" s="7">
        <v>58.939998626708899</v>
      </c>
      <c r="C92" s="3">
        <f t="shared" si="0"/>
        <v>6.3204664006373729E-2</v>
      </c>
    </row>
    <row r="93" spans="1:3" ht="13.2" x14ac:dyDescent="0.25">
      <c r="A93" s="6">
        <v>91</v>
      </c>
      <c r="B93" s="7">
        <v>56.7299995422363</v>
      </c>
      <c r="C93" s="3">
        <f t="shared" si="0"/>
        <v>-3.8216790740421967E-2</v>
      </c>
    </row>
    <row r="94" spans="1:3" ht="13.2" x14ac:dyDescent="0.25">
      <c r="A94" s="6">
        <v>92</v>
      </c>
      <c r="B94" s="7">
        <v>52.939998626708899</v>
      </c>
      <c r="C94" s="3">
        <f t="shared" si="0"/>
        <v>-6.9143992410875876E-2</v>
      </c>
    </row>
    <row r="95" spans="1:3" ht="13.2" x14ac:dyDescent="0.25">
      <c r="A95" s="6">
        <v>93</v>
      </c>
      <c r="B95" s="7">
        <v>49.819999694824197</v>
      </c>
      <c r="C95" s="3">
        <f t="shared" si="0"/>
        <v>-6.0742667149969148E-2</v>
      </c>
    </row>
    <row r="96" spans="1:3" ht="13.2" x14ac:dyDescent="0.25">
      <c r="A96" s="6">
        <v>94</v>
      </c>
      <c r="B96" s="7">
        <v>55.080001831054602</v>
      </c>
      <c r="C96" s="3">
        <f t="shared" si="0"/>
        <v>0.10037020339553494</v>
      </c>
    </row>
    <row r="97" spans="1:3" ht="13.2" x14ac:dyDescent="0.25">
      <c r="A97" s="6">
        <v>95</v>
      </c>
      <c r="B97" s="7">
        <v>51.770000457763601</v>
      </c>
      <c r="C97" s="3">
        <f t="shared" si="0"/>
        <v>-6.1975867347934997E-2</v>
      </c>
    </row>
    <row r="98" spans="1:3" ht="13.2" x14ac:dyDescent="0.25">
      <c r="A98" s="6">
        <v>96</v>
      </c>
      <c r="B98" s="7">
        <v>48.9799995422363</v>
      </c>
      <c r="C98" s="3">
        <f t="shared" si="0"/>
        <v>-5.5398797577975396E-2</v>
      </c>
    </row>
    <row r="99" spans="1:3" ht="13.2" x14ac:dyDescent="0.25">
      <c r="A99" s="6">
        <v>97</v>
      </c>
      <c r="B99" s="7">
        <v>49.799999237060497</v>
      </c>
      <c r="C99" s="3">
        <f t="shared" si="0"/>
        <v>1.6602926532446147E-2</v>
      </c>
    </row>
    <row r="100" spans="1:3" ht="13.2" x14ac:dyDescent="0.25">
      <c r="A100" s="6">
        <v>98</v>
      </c>
      <c r="B100" s="7">
        <v>55.869998931884702</v>
      </c>
      <c r="C100" s="3">
        <f t="shared" si="0"/>
        <v>0.11501257564265222</v>
      </c>
    </row>
    <row r="101" spans="1:3" ht="13.2" x14ac:dyDescent="0.25">
      <c r="A101" s="6">
        <v>99</v>
      </c>
      <c r="B101" s="7">
        <v>54.680000305175703</v>
      </c>
      <c r="C101" s="3">
        <f t="shared" si="0"/>
        <v>-2.1529526916319121E-2</v>
      </c>
    </row>
    <row r="102" spans="1:3" ht="13.2" x14ac:dyDescent="0.25">
      <c r="A102" s="6">
        <v>100</v>
      </c>
      <c r="B102" s="7">
        <v>54.810001373291001</v>
      </c>
      <c r="C102" s="3">
        <f t="shared" si="0"/>
        <v>2.3746666766374862E-3</v>
      </c>
    </row>
    <row r="103" spans="1:3" ht="13.2" x14ac:dyDescent="0.25">
      <c r="A103" s="6">
        <v>101</v>
      </c>
      <c r="B103" s="7">
        <v>58.75</v>
      </c>
      <c r="C103" s="3">
        <f t="shared" si="0"/>
        <v>6.941846891076095E-2</v>
      </c>
    </row>
    <row r="104" spans="1:3" ht="13.2" x14ac:dyDescent="0.25">
      <c r="A104" s="6">
        <v>102</v>
      </c>
      <c r="B104" s="7">
        <v>50</v>
      </c>
      <c r="C104" s="3">
        <f t="shared" si="0"/>
        <v>-0.16126814759612226</v>
      </c>
    </row>
    <row r="105" spans="1:3" ht="13.2" x14ac:dyDescent="0.25">
      <c r="A105" s="6">
        <v>103</v>
      </c>
      <c r="B105" s="7">
        <v>54.810001373291001</v>
      </c>
      <c r="C105" s="3">
        <f t="shared" si="0"/>
        <v>9.1849678685361355E-2</v>
      </c>
    </row>
    <row r="106" spans="1:3" ht="13.2" x14ac:dyDescent="0.25">
      <c r="A106" s="6">
        <v>104</v>
      </c>
      <c r="B106" s="7">
        <v>54.520000457763601</v>
      </c>
      <c r="C106" s="3">
        <f t="shared" si="0"/>
        <v>-5.3050688889246175E-3</v>
      </c>
    </row>
    <row r="107" spans="1:3" ht="13.2" x14ac:dyDescent="0.25">
      <c r="A107" s="6">
        <v>105</v>
      </c>
      <c r="B107" s="7">
        <v>56.630001068115199</v>
      </c>
      <c r="C107" s="3">
        <f t="shared" si="0"/>
        <v>3.7971283762426783E-2</v>
      </c>
    </row>
    <row r="108" spans="1:3" ht="13.2" x14ac:dyDescent="0.25">
      <c r="A108" s="6">
        <v>106</v>
      </c>
      <c r="B108" s="7">
        <v>51.389999389648402</v>
      </c>
      <c r="C108" s="3">
        <f t="shared" si="0"/>
        <v>-9.7095309859726808E-2</v>
      </c>
    </row>
    <row r="109" spans="1:3" ht="13.2" x14ac:dyDescent="0.25">
      <c r="A109" s="6">
        <v>107</v>
      </c>
      <c r="B109" s="7">
        <v>48.7299995422363</v>
      </c>
      <c r="C109" s="3">
        <f t="shared" si="0"/>
        <v>-5.3148741665746554E-2</v>
      </c>
    </row>
    <row r="110" spans="1:3" ht="13.2" x14ac:dyDescent="0.25">
      <c r="A110" s="6">
        <v>108</v>
      </c>
      <c r="B110" s="7">
        <v>46.569999694824197</v>
      </c>
      <c r="C110" s="3">
        <f t="shared" si="0"/>
        <v>-4.5338297020306124E-2</v>
      </c>
    </row>
    <row r="111" spans="1:3" ht="13.2" x14ac:dyDescent="0.25">
      <c r="A111" s="6">
        <v>109</v>
      </c>
      <c r="B111" s="7">
        <v>47.759998321533203</v>
      </c>
      <c r="C111" s="3">
        <f t="shared" si="0"/>
        <v>2.5231883499338626E-2</v>
      </c>
    </row>
    <row r="112" spans="1:3" ht="13.2" x14ac:dyDescent="0.25">
      <c r="A112" s="6">
        <v>110</v>
      </c>
      <c r="B112" s="7">
        <v>47.130001068115199</v>
      </c>
      <c r="C112" s="3">
        <f t="shared" si="0"/>
        <v>-1.3278670341759675E-2</v>
      </c>
    </row>
    <row r="113" spans="1:3" ht="13.2" x14ac:dyDescent="0.25">
      <c r="A113" s="6">
        <v>111</v>
      </c>
      <c r="B113" s="7">
        <v>48.169998168945298</v>
      </c>
      <c r="C113" s="3">
        <f t="shared" si="0"/>
        <v>2.1826619030973701E-2</v>
      </c>
    </row>
    <row r="114" spans="1:3" ht="13.2" x14ac:dyDescent="0.25">
      <c r="A114" s="6">
        <v>112</v>
      </c>
      <c r="B114" s="7">
        <v>49.939998626708899</v>
      </c>
      <c r="C114" s="3">
        <f t="shared" si="0"/>
        <v>3.6085874723023353E-2</v>
      </c>
    </row>
    <row r="115" spans="1:3" ht="13.2" x14ac:dyDescent="0.25">
      <c r="A115" s="6">
        <v>113</v>
      </c>
      <c r="B115" s="7">
        <v>51.439998626708899</v>
      </c>
      <c r="C115" s="3">
        <f t="shared" si="0"/>
        <v>2.9593795879607462E-2</v>
      </c>
    </row>
    <row r="116" spans="1:3" ht="13.2" x14ac:dyDescent="0.25">
      <c r="A116" s="6">
        <v>114</v>
      </c>
      <c r="B116" s="7">
        <v>52.619998931884702</v>
      </c>
      <c r="C116" s="3">
        <f t="shared" si="0"/>
        <v>2.2680202081076448E-2</v>
      </c>
    </row>
    <row r="117" spans="1:3" ht="13.2" x14ac:dyDescent="0.25">
      <c r="A117" s="6">
        <v>115</v>
      </c>
      <c r="B117" s="7">
        <v>50.610000610351499</v>
      </c>
      <c r="C117" s="3">
        <f t="shared" si="0"/>
        <v>-3.89470580276043E-2</v>
      </c>
    </row>
    <row r="118" spans="1:3" ht="13.2" x14ac:dyDescent="0.25">
      <c r="A118" s="6">
        <v>116</v>
      </c>
      <c r="B118" s="7">
        <v>51.900001525878899</v>
      </c>
      <c r="C118" s="3">
        <f t="shared" si="0"/>
        <v>2.5169622286321015E-2</v>
      </c>
    </row>
    <row r="119" spans="1:3" ht="13.2" x14ac:dyDescent="0.25">
      <c r="A119" s="6">
        <v>117</v>
      </c>
      <c r="B119" s="7">
        <v>49.909999847412102</v>
      </c>
      <c r="C119" s="3">
        <f t="shared" si="0"/>
        <v>-3.9097439147949858E-2</v>
      </c>
    </row>
    <row r="120" spans="1:3" ht="13.2" x14ac:dyDescent="0.25">
      <c r="A120" s="6">
        <v>118</v>
      </c>
      <c r="B120" s="7">
        <v>47.7299995422363</v>
      </c>
      <c r="C120" s="3">
        <f t="shared" si="0"/>
        <v>-4.4661258997143093E-2</v>
      </c>
    </row>
    <row r="121" spans="1:3" ht="13.2" x14ac:dyDescent="0.25">
      <c r="A121" s="6">
        <v>119</v>
      </c>
      <c r="B121" s="7">
        <v>48.490001678466797</v>
      </c>
      <c r="C121" s="3">
        <f t="shared" si="0"/>
        <v>1.5797504304846357E-2</v>
      </c>
    </row>
    <row r="122" spans="1:3" ht="13.2" x14ac:dyDescent="0.25">
      <c r="A122" s="6">
        <v>120</v>
      </c>
      <c r="B122" s="7">
        <v>48.5</v>
      </c>
      <c r="C122" s="3">
        <f t="shared" si="0"/>
        <v>2.0617221147726719E-4</v>
      </c>
    </row>
    <row r="123" spans="1:3" ht="13.2" x14ac:dyDescent="0.25">
      <c r="A123" s="6">
        <v>121</v>
      </c>
      <c r="B123" s="7">
        <v>48.529998779296797</v>
      </c>
      <c r="C123" s="3">
        <f t="shared" si="0"/>
        <v>6.183403201077065E-4</v>
      </c>
    </row>
    <row r="124" spans="1:3" ht="13.2" x14ac:dyDescent="0.25">
      <c r="A124" s="6">
        <v>122</v>
      </c>
      <c r="B124" s="7">
        <v>47.619998931884702</v>
      </c>
      <c r="C124" s="3">
        <f t="shared" si="0"/>
        <v>-1.8929319634801392E-2</v>
      </c>
    </row>
    <row r="125" spans="1:3" ht="13.2" x14ac:dyDescent="0.25">
      <c r="A125" s="6">
        <v>123</v>
      </c>
      <c r="B125" s="7">
        <v>45.7299995422363</v>
      </c>
      <c r="C125" s="3">
        <f t="shared" si="0"/>
        <v>-4.0498290968919978E-2</v>
      </c>
    </row>
    <row r="126" spans="1:3" ht="13.2" x14ac:dyDescent="0.25">
      <c r="A126" s="6">
        <v>124</v>
      </c>
      <c r="B126" s="7">
        <v>47.130001068115199</v>
      </c>
      <c r="C126" s="3">
        <f t="shared" si="0"/>
        <v>3.0155235938985323E-2</v>
      </c>
    </row>
    <row r="127" spans="1:3" ht="13.2" x14ac:dyDescent="0.25">
      <c r="A127" s="6">
        <v>125</v>
      </c>
      <c r="B127" s="7">
        <v>47.009998321533203</v>
      </c>
      <c r="C127" s="3">
        <f t="shared" si="0"/>
        <v>-2.5494542672334863E-3</v>
      </c>
    </row>
    <row r="128" spans="1:3" ht="13.2" x14ac:dyDescent="0.25">
      <c r="A128" s="6">
        <v>126</v>
      </c>
      <c r="B128" s="7">
        <v>49.400001525878899</v>
      </c>
      <c r="C128" s="3">
        <f t="shared" si="0"/>
        <v>4.9590145750537475E-2</v>
      </c>
    </row>
    <row r="129" spans="1:3" ht="13.2" x14ac:dyDescent="0.25">
      <c r="A129" s="6">
        <v>127</v>
      </c>
      <c r="B129" s="7">
        <v>53.639999389648402</v>
      </c>
      <c r="C129" s="3">
        <f t="shared" si="0"/>
        <v>8.2344591952699484E-2</v>
      </c>
    </row>
    <row r="130" spans="1:3" ht="13.2" x14ac:dyDescent="0.25">
      <c r="A130" s="6">
        <v>128</v>
      </c>
      <c r="B130" s="7">
        <v>48.25</v>
      </c>
      <c r="C130" s="3">
        <f t="shared" si="0"/>
        <v>-0.10589921924981759</v>
      </c>
    </row>
    <row r="131" spans="1:3" ht="13.2" x14ac:dyDescent="0.25">
      <c r="A131" s="6">
        <v>129</v>
      </c>
      <c r="B131" s="7">
        <v>48.619998931884702</v>
      </c>
      <c r="C131" s="3">
        <f t="shared" si="0"/>
        <v>7.6391191343416756E-3</v>
      </c>
    </row>
    <row r="132" spans="1:3" ht="13.2" x14ac:dyDescent="0.25">
      <c r="A132" s="6">
        <v>130</v>
      </c>
      <c r="B132" s="7">
        <v>48.240001678466797</v>
      </c>
      <c r="C132" s="3">
        <f t="shared" si="0"/>
        <v>-7.8463597063194081E-3</v>
      </c>
    </row>
    <row r="133" spans="1:3" ht="13.2" x14ac:dyDescent="0.25">
      <c r="A133" s="6">
        <v>131</v>
      </c>
      <c r="B133" s="7">
        <v>47.220001220703097</v>
      </c>
      <c r="C133" s="3">
        <f t="shared" si="0"/>
        <v>-2.1371029704250973E-2</v>
      </c>
    </row>
    <row r="134" spans="1:3" ht="13.2" x14ac:dyDescent="0.25">
      <c r="A134" s="6">
        <v>132</v>
      </c>
      <c r="B134" s="7">
        <v>46.680000305175703</v>
      </c>
      <c r="C134" s="3">
        <f t="shared" si="0"/>
        <v>-1.1501743552799645E-2</v>
      </c>
    </row>
    <row r="135" spans="1:3" ht="13.2" x14ac:dyDescent="0.25">
      <c r="A135" s="6">
        <v>133</v>
      </c>
      <c r="B135" s="7">
        <v>48.020000457763601</v>
      </c>
      <c r="C135" s="3">
        <f t="shared" si="0"/>
        <v>2.8301786369910088E-2</v>
      </c>
    </row>
    <row r="136" spans="1:3" ht="13.2" x14ac:dyDescent="0.25">
      <c r="A136" s="6">
        <v>134</v>
      </c>
      <c r="B136" s="7">
        <v>49.310001373291001</v>
      </c>
      <c r="C136" s="3">
        <f t="shared" si="0"/>
        <v>2.6509327760309696E-2</v>
      </c>
    </row>
    <row r="137" spans="1:3" ht="13.2" x14ac:dyDescent="0.25">
      <c r="A137" s="6">
        <v>135</v>
      </c>
      <c r="B137" s="7">
        <v>49.069999694824197</v>
      </c>
      <c r="C137" s="3">
        <f t="shared" si="0"/>
        <v>-4.8790842035674629E-3</v>
      </c>
    </row>
    <row r="138" spans="1:3" ht="13.2" x14ac:dyDescent="0.25">
      <c r="A138" s="6">
        <v>136</v>
      </c>
      <c r="B138" s="7">
        <v>47.840000152587798</v>
      </c>
      <c r="C138" s="3">
        <f t="shared" si="0"/>
        <v>-2.5385731050698385E-2</v>
      </c>
    </row>
    <row r="139" spans="1:3" ht="13.2" x14ac:dyDescent="0.25">
      <c r="A139" s="6">
        <v>137</v>
      </c>
      <c r="B139" s="7">
        <v>49.259998321533203</v>
      </c>
      <c r="C139" s="3">
        <f t="shared" si="0"/>
        <v>2.9250245786845087E-2</v>
      </c>
    </row>
    <row r="140" spans="1:3" ht="13.2" x14ac:dyDescent="0.25">
      <c r="A140" s="6">
        <v>138</v>
      </c>
      <c r="B140" s="7">
        <v>48.099998474121001</v>
      </c>
      <c r="C140" s="3">
        <f t="shared" si="0"/>
        <v>-2.3830213230106759E-2</v>
      </c>
    </row>
    <row r="141" spans="1:3" ht="13.2" x14ac:dyDescent="0.25">
      <c r="A141" s="6">
        <v>139</v>
      </c>
      <c r="B141" s="7">
        <v>50.130001068115199</v>
      </c>
      <c r="C141" s="3">
        <f t="shared" si="0"/>
        <v>4.1337507193658848E-2</v>
      </c>
    </row>
    <row r="142" spans="1:3" ht="13.2" x14ac:dyDescent="0.25">
      <c r="A142" s="6">
        <v>140</v>
      </c>
      <c r="B142" s="7">
        <v>47.889999389648402</v>
      </c>
      <c r="C142" s="3">
        <f t="shared" si="0"/>
        <v>-4.5712950972665138E-2</v>
      </c>
    </row>
    <row r="143" spans="1:3" ht="13.2" x14ac:dyDescent="0.25">
      <c r="A143" s="6">
        <v>141</v>
      </c>
      <c r="B143" s="7">
        <v>48.610000610351499</v>
      </c>
      <c r="C143" s="3">
        <f t="shared" si="0"/>
        <v>1.4922582003800724E-2</v>
      </c>
    </row>
    <row r="144" spans="1:3" ht="13.2" x14ac:dyDescent="0.25">
      <c r="A144" s="6">
        <v>142</v>
      </c>
      <c r="B144" s="7">
        <v>47.200000762939403</v>
      </c>
      <c r="C144" s="3">
        <f t="shared" si="0"/>
        <v>-2.9435374857973304E-2</v>
      </c>
    </row>
    <row r="145" spans="1:3" ht="13.2" x14ac:dyDescent="0.25">
      <c r="A145" s="6">
        <v>143</v>
      </c>
      <c r="B145" s="7">
        <v>47.610000610351499</v>
      </c>
      <c r="C145" s="3">
        <f t="shared" si="0"/>
        <v>8.6489272707645313E-3</v>
      </c>
    </row>
    <row r="146" spans="1:3" ht="13.2" x14ac:dyDescent="0.25">
      <c r="A146" s="6">
        <v>144</v>
      </c>
      <c r="B146" s="7">
        <v>47.099998474121001</v>
      </c>
      <c r="C146" s="3">
        <f t="shared" si="0"/>
        <v>-1.0769867400454665E-2</v>
      </c>
    </row>
    <row r="147" spans="1:3" ht="13.2" x14ac:dyDescent="0.25">
      <c r="A147" s="6">
        <v>145</v>
      </c>
      <c r="B147" s="7">
        <v>47.560001373291001</v>
      </c>
      <c r="C147" s="3">
        <f t="shared" si="0"/>
        <v>9.7191320717068107E-3</v>
      </c>
    </row>
    <row r="148" spans="1:3" ht="13.2" x14ac:dyDescent="0.25">
      <c r="A148" s="6">
        <v>146</v>
      </c>
      <c r="B148" s="7">
        <v>48.119998931884702</v>
      </c>
      <c r="C148" s="3">
        <f t="shared" si="0"/>
        <v>1.1705768212071459E-2</v>
      </c>
    </row>
    <row r="149" spans="1:3" ht="13.2" x14ac:dyDescent="0.25">
      <c r="A149" s="6">
        <v>147</v>
      </c>
      <c r="B149" s="7">
        <v>47.180000305175703</v>
      </c>
      <c r="C149" s="3">
        <f t="shared" si="0"/>
        <v>-1.9727788461711363E-2</v>
      </c>
    </row>
    <row r="150" spans="1:3" ht="13.2" x14ac:dyDescent="0.25">
      <c r="A150" s="6">
        <v>148</v>
      </c>
      <c r="B150" s="7">
        <v>49.990001678466797</v>
      </c>
      <c r="C150" s="3">
        <f t="shared" si="0"/>
        <v>5.7852938553672809E-2</v>
      </c>
    </row>
    <row r="151" spans="1:3" ht="13.2" x14ac:dyDescent="0.25">
      <c r="A151" s="6">
        <v>149</v>
      </c>
      <c r="B151" s="7">
        <v>49.139999389648402</v>
      </c>
      <c r="C151" s="3">
        <f t="shared" si="0"/>
        <v>-1.7149664329164021E-2</v>
      </c>
    </row>
    <row r="152" spans="1:3" ht="13.2" x14ac:dyDescent="0.25">
      <c r="A152" s="6">
        <v>150</v>
      </c>
      <c r="B152" s="7">
        <v>50.560001373291001</v>
      </c>
      <c r="C152" s="3">
        <f t="shared" si="0"/>
        <v>2.848742232784602E-2</v>
      </c>
    </row>
    <row r="153" spans="1:3" ht="13.2" x14ac:dyDescent="0.25">
      <c r="A153" s="6">
        <v>151</v>
      </c>
      <c r="B153" s="7">
        <v>50.840000152587798</v>
      </c>
      <c r="C153" s="3">
        <f t="shared" si="0"/>
        <v>5.5226723223751883E-3</v>
      </c>
    </row>
    <row r="154" spans="1:3" ht="13.2" x14ac:dyDescent="0.25">
      <c r="A154" s="6">
        <v>152</v>
      </c>
      <c r="B154" s="7">
        <v>50.159999847412102</v>
      </c>
      <c r="C154" s="3">
        <f t="shared" si="0"/>
        <v>-1.3465556039945046E-2</v>
      </c>
    </row>
    <row r="155" spans="1:3" ht="13.2" x14ac:dyDescent="0.25">
      <c r="A155" s="6">
        <v>153</v>
      </c>
      <c r="B155" s="7">
        <v>53.099998474121001</v>
      </c>
      <c r="C155" s="3">
        <f t="shared" si="0"/>
        <v>5.695900622930003E-2</v>
      </c>
    </row>
    <row r="156" spans="1:3" ht="13.2" x14ac:dyDescent="0.25">
      <c r="A156" s="6">
        <v>154</v>
      </c>
      <c r="B156" s="7">
        <v>53.689998626708899</v>
      </c>
      <c r="C156" s="3">
        <f t="shared" si="0"/>
        <v>1.1049839344381812E-2</v>
      </c>
    </row>
    <row r="157" spans="1:3" ht="13.2" x14ac:dyDescent="0.25">
      <c r="A157" s="6">
        <v>155</v>
      </c>
      <c r="B157" s="7">
        <v>51.790000915527301</v>
      </c>
      <c r="C157" s="3">
        <f t="shared" si="0"/>
        <v>-3.6029640742838757E-2</v>
      </c>
    </row>
    <row r="158" spans="1:3" ht="13.2" x14ac:dyDescent="0.25">
      <c r="A158" s="6">
        <v>156</v>
      </c>
      <c r="B158" s="7">
        <v>50.529998779296797</v>
      </c>
      <c r="C158" s="3">
        <f t="shared" si="0"/>
        <v>-2.4629902967657318E-2</v>
      </c>
    </row>
    <row r="159" spans="1:3" ht="13.2" x14ac:dyDescent="0.25">
      <c r="A159" s="6">
        <v>157</v>
      </c>
      <c r="B159" s="7">
        <v>46.580001831054602</v>
      </c>
      <c r="C159" s="3">
        <f t="shared" si="0"/>
        <v>-8.1395891379745011E-2</v>
      </c>
    </row>
    <row r="160" spans="1:3" ht="13.2" x14ac:dyDescent="0.25">
      <c r="A160" s="6">
        <v>158</v>
      </c>
      <c r="B160" s="7">
        <v>48.25</v>
      </c>
      <c r="C160" s="3">
        <f t="shared" si="0"/>
        <v>3.5224524018912372E-2</v>
      </c>
    </row>
    <row r="161" spans="1:3" ht="13.2" x14ac:dyDescent="0.25">
      <c r="A161" s="6">
        <v>159</v>
      </c>
      <c r="B161" s="7">
        <v>48.319999694824197</v>
      </c>
      <c r="C161" s="3">
        <f t="shared" si="0"/>
        <v>1.4497195258400951E-3</v>
      </c>
    </row>
    <row r="162" spans="1:3" ht="13.2" x14ac:dyDescent="0.25">
      <c r="A162" s="6">
        <v>160</v>
      </c>
      <c r="B162" s="7">
        <v>47.590000152587798</v>
      </c>
      <c r="C162" s="3">
        <f t="shared" si="0"/>
        <v>-1.5222888971516376E-2</v>
      </c>
    </row>
    <row r="163" spans="1:3" ht="13.2" x14ac:dyDescent="0.25">
      <c r="A163" s="6">
        <v>161</v>
      </c>
      <c r="B163" s="7">
        <v>47.209999084472599</v>
      </c>
      <c r="C163" s="3">
        <f t="shared" si="0"/>
        <v>-8.016943173781859E-3</v>
      </c>
    </row>
    <row r="164" spans="1:3" ht="13.2" x14ac:dyDescent="0.25">
      <c r="A164" s="6">
        <v>162</v>
      </c>
      <c r="B164" s="7">
        <v>46.580001831054602</v>
      </c>
      <c r="C164" s="3">
        <f t="shared" si="0"/>
        <v>-1.3434411399454293E-2</v>
      </c>
    </row>
    <row r="165" spans="1:3" ht="13.2" x14ac:dyDescent="0.25">
      <c r="A165" s="6">
        <v>163</v>
      </c>
      <c r="B165" s="7">
        <v>48.200000762939403</v>
      </c>
      <c r="C165" s="3">
        <f t="shared" si="0"/>
        <v>3.4187733119090256E-2</v>
      </c>
    </row>
    <row r="166" spans="1:3" ht="13.2" x14ac:dyDescent="0.25">
      <c r="A166" s="6">
        <v>164</v>
      </c>
      <c r="B166" s="7">
        <v>47.799999237060497</v>
      </c>
      <c r="C166" s="3">
        <f t="shared" si="0"/>
        <v>-8.3334133488401647E-3</v>
      </c>
    </row>
    <row r="167" spans="1:3" ht="13.2" x14ac:dyDescent="0.25">
      <c r="A167" s="6">
        <v>165</v>
      </c>
      <c r="B167" s="7">
        <v>47.439998626708899</v>
      </c>
      <c r="C167" s="3">
        <f t="shared" si="0"/>
        <v>-7.5598977948205448E-3</v>
      </c>
    </row>
    <row r="168" spans="1:3" ht="13.2" x14ac:dyDescent="0.25">
      <c r="A168" s="6">
        <v>166</v>
      </c>
      <c r="B168" s="7">
        <v>46.549999237060497</v>
      </c>
      <c r="C168" s="3">
        <f t="shared" si="0"/>
        <v>-1.8938738408114004E-2</v>
      </c>
    </row>
    <row r="169" spans="1:3" ht="13.2" x14ac:dyDescent="0.25">
      <c r="A169" s="6">
        <v>167</v>
      </c>
      <c r="B169" s="7">
        <v>45.819999694824197</v>
      </c>
      <c r="C169" s="3">
        <f t="shared" si="0"/>
        <v>-1.5806316968367363E-2</v>
      </c>
    </row>
    <row r="170" spans="1:3" ht="13.2" x14ac:dyDescent="0.25">
      <c r="A170" s="6">
        <v>168</v>
      </c>
      <c r="B170" s="7">
        <v>44.459999084472599</v>
      </c>
      <c r="C170" s="3">
        <f t="shared" si="0"/>
        <v>-3.013078242113975E-2</v>
      </c>
    </row>
    <row r="171" spans="1:3" ht="13.2" x14ac:dyDescent="0.25">
      <c r="A171" s="6">
        <v>169</v>
      </c>
      <c r="B171" s="7">
        <v>45.080001831054602</v>
      </c>
      <c r="C171" s="3">
        <f t="shared" si="0"/>
        <v>1.3848841845576366E-2</v>
      </c>
    </row>
    <row r="172" spans="1:3" ht="13.2" x14ac:dyDescent="0.25">
      <c r="A172" s="6">
        <v>170</v>
      </c>
      <c r="B172" s="7">
        <v>44.819999694824197</v>
      </c>
      <c r="C172" s="3">
        <f t="shared" si="0"/>
        <v>-5.784268225606631E-3</v>
      </c>
    </row>
    <row r="173" spans="1:3" ht="13.2" x14ac:dyDescent="0.25">
      <c r="A173" s="6">
        <v>171</v>
      </c>
      <c r="B173" s="7">
        <v>45.569999694824197</v>
      </c>
      <c r="C173" s="3">
        <f t="shared" si="0"/>
        <v>1.6595137015072765E-2</v>
      </c>
    </row>
    <row r="174" spans="1:3" ht="13.2" x14ac:dyDescent="0.25">
      <c r="A174" s="6">
        <v>172</v>
      </c>
      <c r="B174" s="7">
        <v>46.119998931884702</v>
      </c>
      <c r="C174" s="3">
        <f t="shared" si="0"/>
        <v>1.1997073662442804E-2</v>
      </c>
    </row>
    <row r="175" spans="1:3" ht="13.2" x14ac:dyDescent="0.25">
      <c r="A175" s="6">
        <v>173</v>
      </c>
      <c r="B175" s="7">
        <v>46.509998321533203</v>
      </c>
      <c r="C175" s="3">
        <f t="shared" si="0"/>
        <v>8.4206349063296118E-3</v>
      </c>
    </row>
    <row r="176" spans="1:3" ht="13.2" x14ac:dyDescent="0.25">
      <c r="A176" s="6">
        <v>174</v>
      </c>
      <c r="B176" s="7">
        <v>46.400001525878899</v>
      </c>
      <c r="C176" s="3">
        <f t="shared" si="0"/>
        <v>-2.3678150301756303E-3</v>
      </c>
    </row>
    <row r="177" spans="1:3" ht="13.2" x14ac:dyDescent="0.25">
      <c r="A177" s="6">
        <v>175</v>
      </c>
      <c r="B177" s="7">
        <v>47.200000762939403</v>
      </c>
      <c r="C177" s="3">
        <f t="shared" si="0"/>
        <v>1.7094416637949795E-2</v>
      </c>
    </row>
    <row r="178" spans="1:3" ht="13.2" x14ac:dyDescent="0.25">
      <c r="A178" s="6">
        <v>176</v>
      </c>
      <c r="B178" s="7">
        <v>45.369998931884702</v>
      </c>
      <c r="C178" s="3">
        <f t="shared" si="0"/>
        <v>-3.954283862193296E-2</v>
      </c>
    </row>
    <row r="179" spans="1:3" ht="13.2" x14ac:dyDescent="0.25">
      <c r="A179" s="6">
        <v>177</v>
      </c>
      <c r="B179" s="7">
        <v>43.849998474121001</v>
      </c>
      <c r="C179" s="3">
        <f t="shared" si="0"/>
        <v>-3.4076386113052172E-2</v>
      </c>
    </row>
    <row r="180" spans="1:3" ht="13.2" x14ac:dyDescent="0.25">
      <c r="A180" s="6">
        <v>178</v>
      </c>
      <c r="B180" s="7">
        <v>43.529998779296797</v>
      </c>
      <c r="C180" s="3">
        <f t="shared" si="0"/>
        <v>-7.3243564990917382E-3</v>
      </c>
    </row>
    <row r="181" spans="1:3" ht="13.2" x14ac:dyDescent="0.25">
      <c r="A181" s="6">
        <v>179</v>
      </c>
      <c r="B181" s="7">
        <v>42.900001525878899</v>
      </c>
      <c r="C181" s="3">
        <f t="shared" si="0"/>
        <v>-1.4578466019159648E-2</v>
      </c>
    </row>
    <row r="182" spans="1:3" ht="13.2" x14ac:dyDescent="0.25">
      <c r="A182" s="6">
        <v>180</v>
      </c>
      <c r="B182" s="7">
        <v>41.580001831054602</v>
      </c>
      <c r="C182" s="3">
        <f t="shared" si="0"/>
        <v>-3.1252535035470201E-2</v>
      </c>
    </row>
    <row r="183" spans="1:3" ht="13.2" x14ac:dyDescent="0.25">
      <c r="A183" s="6">
        <v>181</v>
      </c>
      <c r="B183" s="7">
        <v>41.930000305175703</v>
      </c>
      <c r="C183" s="3">
        <f t="shared" si="0"/>
        <v>8.3822419941166227E-3</v>
      </c>
    </row>
    <row r="184" spans="1:3" ht="13.2" x14ac:dyDescent="0.25">
      <c r="A184" s="6">
        <v>182</v>
      </c>
      <c r="B184" s="7">
        <v>43.270000457763601</v>
      </c>
      <c r="C184" s="3">
        <f t="shared" si="0"/>
        <v>3.1457996355140933E-2</v>
      </c>
    </row>
    <row r="185" spans="1:3" ht="13.2" x14ac:dyDescent="0.25">
      <c r="A185" s="6">
        <v>183</v>
      </c>
      <c r="B185" s="7">
        <v>42.369998931884702</v>
      </c>
      <c r="C185" s="3">
        <f t="shared" si="0"/>
        <v>-2.1019025386798507E-2</v>
      </c>
    </row>
    <row r="186" spans="1:3" ht="13.2" x14ac:dyDescent="0.25">
      <c r="A186" s="6">
        <v>184</v>
      </c>
      <c r="B186" s="7">
        <v>42.450000762939403</v>
      </c>
      <c r="C186" s="3">
        <f t="shared" si="0"/>
        <v>1.8863913007834908E-3</v>
      </c>
    </row>
    <row r="187" spans="1:3" ht="13.2" x14ac:dyDescent="0.25">
      <c r="A187" s="6">
        <v>185</v>
      </c>
      <c r="B187" s="7">
        <v>44.259998321533203</v>
      </c>
      <c r="C187" s="3">
        <f t="shared" si="0"/>
        <v>4.1754365970004086E-2</v>
      </c>
    </row>
    <row r="188" spans="1:3" ht="13.2" x14ac:dyDescent="0.25">
      <c r="A188" s="6">
        <v>186</v>
      </c>
      <c r="B188" s="7">
        <v>45.389999389648402</v>
      </c>
      <c r="C188" s="3">
        <f t="shared" si="0"/>
        <v>2.5210506321524502E-2</v>
      </c>
    </row>
    <row r="189" spans="1:3" ht="13.2" x14ac:dyDescent="0.25">
      <c r="A189" s="6">
        <v>187</v>
      </c>
      <c r="B189" s="7">
        <v>44.680000305175703</v>
      </c>
      <c r="C189" s="3">
        <f t="shared" si="0"/>
        <v>-1.5765821990291556E-2</v>
      </c>
    </row>
    <row r="190" spans="1:3" ht="13.2" x14ac:dyDescent="0.25">
      <c r="A190" s="6">
        <v>188</v>
      </c>
      <c r="B190" s="7">
        <v>44.669998168945298</v>
      </c>
      <c r="C190" s="3">
        <f t="shared" si="0"/>
        <v>-2.2388665792941575E-4</v>
      </c>
    </row>
    <row r="191" spans="1:3" ht="13.2" x14ac:dyDescent="0.25">
      <c r="A191" s="6">
        <v>189</v>
      </c>
      <c r="B191" s="7">
        <v>44.020000457763601</v>
      </c>
      <c r="C191" s="3">
        <f t="shared" si="0"/>
        <v>-1.4658007876016612E-2</v>
      </c>
    </row>
    <row r="192" spans="1:3" ht="13.2" x14ac:dyDescent="0.25">
      <c r="A192" s="6">
        <v>190</v>
      </c>
      <c r="B192" s="7">
        <v>44.130001068115199</v>
      </c>
      <c r="C192" s="3">
        <f t="shared" si="0"/>
        <v>2.4957609879826016E-3</v>
      </c>
    </row>
    <row r="193" spans="1:3" ht="13.2" x14ac:dyDescent="0.25">
      <c r="A193" s="6">
        <v>191</v>
      </c>
      <c r="B193" s="7">
        <v>43.319999694824197</v>
      </c>
      <c r="C193" s="3">
        <f t="shared" si="0"/>
        <v>-1.8525432397185883E-2</v>
      </c>
    </row>
    <row r="194" spans="1:3" ht="13.2" x14ac:dyDescent="0.25">
      <c r="A194" s="6">
        <v>192</v>
      </c>
      <c r="B194" s="7">
        <v>43.119998931884702</v>
      </c>
      <c r="C194" s="3">
        <f t="shared" si="0"/>
        <v>-4.6275132581252857E-3</v>
      </c>
    </row>
    <row r="195" spans="1:3" ht="13.2" x14ac:dyDescent="0.25">
      <c r="A195" s="6">
        <v>193</v>
      </c>
      <c r="B195" s="7">
        <v>43.939998626708899</v>
      </c>
      <c r="C195" s="3">
        <f t="shared" si="0"/>
        <v>1.8838133872705071E-2</v>
      </c>
    </row>
    <row r="196" spans="1:3" ht="13.2" x14ac:dyDescent="0.25">
      <c r="A196" s="6">
        <v>194</v>
      </c>
      <c r="B196" s="7">
        <v>43.090000152587798</v>
      </c>
      <c r="C196" s="3">
        <f t="shared" si="0"/>
        <v>-1.953408053379509E-2</v>
      </c>
    </row>
    <row r="197" spans="1:3" ht="13.2" x14ac:dyDescent="0.25">
      <c r="A197" s="6">
        <v>195</v>
      </c>
      <c r="B197" s="7">
        <v>42.970001220703097</v>
      </c>
      <c r="C197" s="3">
        <f t="shared" si="0"/>
        <v>-2.7887289737211821E-3</v>
      </c>
    </row>
    <row r="198" spans="1:3" ht="13.2" x14ac:dyDescent="0.25">
      <c r="A198" s="6">
        <v>196</v>
      </c>
      <c r="B198" s="7">
        <v>43.040000915527301</v>
      </c>
      <c r="C198" s="3">
        <f t="shared" si="0"/>
        <v>1.6277109299067043E-3</v>
      </c>
    </row>
    <row r="199" spans="1:3" ht="13.2" x14ac:dyDescent="0.25">
      <c r="A199" s="6">
        <v>197</v>
      </c>
      <c r="B199" s="7">
        <v>43.909999847412102</v>
      </c>
      <c r="C199" s="3">
        <f t="shared" si="0"/>
        <v>2.0012143973537469E-2</v>
      </c>
    </row>
    <row r="200" spans="1:3" ht="13.2" x14ac:dyDescent="0.25">
      <c r="A200" s="6">
        <v>198</v>
      </c>
      <c r="B200" s="7">
        <v>44.330001831054602</v>
      </c>
      <c r="C200" s="3">
        <f t="shared" si="0"/>
        <v>9.5196089634392283E-3</v>
      </c>
    </row>
    <row r="201" spans="1:3" ht="13.2" x14ac:dyDescent="0.25">
      <c r="A201" s="6">
        <v>199</v>
      </c>
      <c r="B201" s="7">
        <v>45.380001068115199</v>
      </c>
      <c r="C201" s="3">
        <f t="shared" si="0"/>
        <v>2.3409812826780167E-2</v>
      </c>
    </row>
    <row r="202" spans="1:3" ht="13.2" x14ac:dyDescent="0.25">
      <c r="A202" s="6">
        <v>200</v>
      </c>
      <c r="B202" s="7">
        <v>45.819999694824197</v>
      </c>
      <c r="C202" s="3">
        <f t="shared" si="0"/>
        <v>9.6491674762001749E-3</v>
      </c>
    </row>
    <row r="203" spans="1:3" ht="13.2" x14ac:dyDescent="0.25">
      <c r="A203" s="6">
        <v>201</v>
      </c>
      <c r="B203" s="7">
        <v>45.849998474121001</v>
      </c>
      <c r="C203" s="3">
        <f t="shared" si="0"/>
        <v>6.5449505763877532E-4</v>
      </c>
    </row>
    <row r="204" spans="1:3" ht="13.2" x14ac:dyDescent="0.25">
      <c r="A204" s="6">
        <v>202</v>
      </c>
      <c r="B204" s="7">
        <v>46.720001220703097</v>
      </c>
      <c r="C204" s="3">
        <f t="shared" si="0"/>
        <v>1.8797199225364419E-2</v>
      </c>
    </row>
    <row r="205" spans="1:3" ht="13.2" x14ac:dyDescent="0.25">
      <c r="A205" s="6">
        <v>203</v>
      </c>
      <c r="B205" s="7">
        <v>47.4799995422363</v>
      </c>
      <c r="C205" s="3">
        <f t="shared" si="0"/>
        <v>1.6136195452243058E-2</v>
      </c>
    </row>
    <row r="206" spans="1:3" ht="13.2" x14ac:dyDescent="0.25">
      <c r="A206" s="6">
        <v>204</v>
      </c>
      <c r="B206" s="7">
        <v>47.279998779296797</v>
      </c>
      <c r="C206" s="3">
        <f t="shared" si="0"/>
        <v>-4.2212128210304496E-3</v>
      </c>
    </row>
    <row r="207" spans="1:3" ht="13.2" x14ac:dyDescent="0.25">
      <c r="A207" s="6">
        <v>205</v>
      </c>
      <c r="B207" s="7">
        <v>47.689998626708899</v>
      </c>
      <c r="C207" s="3">
        <f t="shared" si="0"/>
        <v>8.6343562346790428E-3</v>
      </c>
    </row>
    <row r="208" spans="1:3" ht="13.2" x14ac:dyDescent="0.25">
      <c r="A208" s="6">
        <v>206</v>
      </c>
      <c r="B208" s="7">
        <v>46.509998321533203</v>
      </c>
      <c r="C208" s="3">
        <f t="shared" si="0"/>
        <v>-2.5054396366220023E-2</v>
      </c>
    </row>
    <row r="209" spans="1:3" ht="13.2" x14ac:dyDescent="0.25">
      <c r="A209" s="6">
        <v>207</v>
      </c>
      <c r="B209" s="7">
        <v>45.25</v>
      </c>
      <c r="C209" s="3">
        <f t="shared" si="0"/>
        <v>-2.746463700177066E-2</v>
      </c>
    </row>
    <row r="210" spans="1:3" ht="13.2" x14ac:dyDescent="0.25">
      <c r="A210" s="6">
        <v>208</v>
      </c>
      <c r="B210" s="7">
        <v>45.090000152587798</v>
      </c>
      <c r="C210" s="3">
        <f t="shared" si="0"/>
        <v>-3.5421743288704534E-3</v>
      </c>
    </row>
    <row r="211" spans="1:3" ht="13.2" x14ac:dyDescent="0.25">
      <c r="A211" s="6">
        <v>209</v>
      </c>
      <c r="B211" s="7">
        <v>44.799999237060497</v>
      </c>
      <c r="C211" s="3">
        <f t="shared" si="0"/>
        <v>-6.4523734260248863E-3</v>
      </c>
    </row>
    <row r="212" spans="1:3" ht="13.2" x14ac:dyDescent="0.25">
      <c r="A212" s="6">
        <v>210</v>
      </c>
      <c r="B212" s="7">
        <v>45.340000152587798</v>
      </c>
      <c r="C212" s="3">
        <f t="shared" si="0"/>
        <v>1.1981526053755697E-2</v>
      </c>
    </row>
    <row r="213" spans="1:3" ht="13.2" x14ac:dyDescent="0.25">
      <c r="A213" s="6">
        <v>211</v>
      </c>
      <c r="B213" s="7">
        <v>44.619998931884702</v>
      </c>
      <c r="C213" s="3">
        <f t="shared" si="0"/>
        <v>-1.6007483378448092E-2</v>
      </c>
    </row>
    <row r="214" spans="1:3" ht="13.2" x14ac:dyDescent="0.25">
      <c r="A214" s="6">
        <v>212</v>
      </c>
      <c r="B214" s="7">
        <v>45.049999237060497</v>
      </c>
      <c r="C214" s="3">
        <f t="shared" si="0"/>
        <v>9.590802052605556E-3</v>
      </c>
    </row>
    <row r="215" spans="1:3" ht="13.2" x14ac:dyDescent="0.25">
      <c r="A215" s="6">
        <v>213</v>
      </c>
      <c r="B215" s="7">
        <v>46.369998931884702</v>
      </c>
      <c r="C215" s="3">
        <f t="shared" si="0"/>
        <v>2.8879708249797135E-2</v>
      </c>
    </row>
    <row r="216" spans="1:3" ht="13.2" x14ac:dyDescent="0.25">
      <c r="A216" s="6">
        <v>214</v>
      </c>
      <c r="B216" s="7">
        <v>43.209999084472599</v>
      </c>
      <c r="C216" s="3">
        <f t="shared" si="0"/>
        <v>-7.05807466127676E-2</v>
      </c>
    </row>
    <row r="217" spans="1:3" ht="13.2" x14ac:dyDescent="0.25">
      <c r="A217" s="6">
        <v>215</v>
      </c>
      <c r="B217" s="7">
        <v>44.099998474121001</v>
      </c>
      <c r="C217" s="3">
        <f t="shared" si="0"/>
        <v>2.0387819096386636E-2</v>
      </c>
    </row>
    <row r="218" spans="1:3" ht="13.2" x14ac:dyDescent="0.25">
      <c r="A218" s="6">
        <v>216</v>
      </c>
      <c r="B218" s="7">
        <v>43.319999694824197</v>
      </c>
      <c r="C218" s="3">
        <f t="shared" si="0"/>
        <v>-1.7845332764265139E-2</v>
      </c>
    </row>
    <row r="219" spans="1:3" ht="13.2" x14ac:dyDescent="0.25">
      <c r="A219" s="6">
        <v>217</v>
      </c>
      <c r="B219" s="7">
        <v>42.599998474121001</v>
      </c>
      <c r="C219" s="3">
        <f t="shared" si="0"/>
        <v>-1.6760197631535446E-2</v>
      </c>
    </row>
    <row r="220" spans="1:3" ht="13.2" x14ac:dyDescent="0.25">
      <c r="A220" s="6">
        <v>218</v>
      </c>
      <c r="B220" s="7">
        <v>43.040000915527301</v>
      </c>
      <c r="C220" s="3">
        <f t="shared" si="0"/>
        <v>1.0275719668505481E-2</v>
      </c>
    </row>
    <row r="221" spans="1:3" ht="13.2" x14ac:dyDescent="0.25">
      <c r="A221" s="6">
        <v>219</v>
      </c>
      <c r="B221" s="7">
        <v>43.560001373291001</v>
      </c>
      <c r="C221" s="3">
        <f t="shared" si="0"/>
        <v>1.2009392466108762E-2</v>
      </c>
    </row>
    <row r="222" spans="1:3" ht="13.2" x14ac:dyDescent="0.25">
      <c r="A222" s="6">
        <v>220</v>
      </c>
      <c r="B222" s="7">
        <v>42.650001525878899</v>
      </c>
      <c r="C222" s="3">
        <f t="shared" si="0"/>
        <v>-2.1112019876733064E-2</v>
      </c>
    </row>
    <row r="223" spans="1:3" ht="13.2" x14ac:dyDescent="0.25">
      <c r="A223" s="6">
        <v>221</v>
      </c>
      <c r="B223" s="7">
        <v>42.680000305175703</v>
      </c>
      <c r="C223" s="3">
        <f t="shared" si="0"/>
        <v>7.0312386942418753E-4</v>
      </c>
    </row>
    <row r="224" spans="1:3" ht="13.2" x14ac:dyDescent="0.25">
      <c r="A224" s="6">
        <v>222</v>
      </c>
      <c r="B224" s="7">
        <v>42.5</v>
      </c>
      <c r="C224" s="3">
        <f t="shared" si="0"/>
        <v>-4.2263576535024987E-3</v>
      </c>
    </row>
    <row r="225" spans="1:3" ht="13.2" x14ac:dyDescent="0.25">
      <c r="A225" s="6">
        <v>223</v>
      </c>
      <c r="B225" s="7">
        <v>42.790000915527301</v>
      </c>
      <c r="C225" s="3">
        <f t="shared" si="0"/>
        <v>6.8003758941778021E-3</v>
      </c>
    </row>
    <row r="226" spans="1:3" ht="13.2" x14ac:dyDescent="0.25">
      <c r="A226" s="6">
        <v>224</v>
      </c>
      <c r="B226" s="7">
        <v>43.860000610351499</v>
      </c>
      <c r="C226" s="3">
        <f t="shared" si="0"/>
        <v>2.4698305081095915E-2</v>
      </c>
    </row>
    <row r="227" spans="1:3" ht="13.2" x14ac:dyDescent="0.25">
      <c r="A227" s="6">
        <v>225</v>
      </c>
      <c r="B227" s="7">
        <v>44.330001831054602</v>
      </c>
      <c r="C227" s="3">
        <f t="shared" si="0"/>
        <v>1.0658933156405613E-2</v>
      </c>
    </row>
    <row r="228" spans="1:3" ht="13.2" x14ac:dyDescent="0.25">
      <c r="A228" s="6">
        <v>226</v>
      </c>
      <c r="B228" s="7">
        <v>44.869998931884702</v>
      </c>
      <c r="C228" s="3">
        <f t="shared" si="0"/>
        <v>1.2107706121176615E-2</v>
      </c>
    </row>
    <row r="229" spans="1:3" ht="13.2" x14ac:dyDescent="0.25">
      <c r="A229" s="6">
        <v>227</v>
      </c>
      <c r="B229" s="7">
        <v>43.490001678466797</v>
      </c>
      <c r="C229" s="3">
        <f t="shared" si="0"/>
        <v>-3.123833097936499E-2</v>
      </c>
    </row>
    <row r="230" spans="1:3" ht="13.2" x14ac:dyDescent="0.25">
      <c r="A230" s="6">
        <v>228</v>
      </c>
      <c r="B230" s="7">
        <v>43.340000152587798</v>
      </c>
      <c r="C230" s="3">
        <f t="shared" si="0"/>
        <v>-3.4550655749339475E-3</v>
      </c>
    </row>
    <row r="231" spans="1:3" ht="13.2" x14ac:dyDescent="0.25">
      <c r="A231" s="6">
        <v>229</v>
      </c>
      <c r="B231" s="7">
        <v>44.680000305175703</v>
      </c>
      <c r="C231" s="3">
        <f t="shared" si="0"/>
        <v>3.0449981402324633E-2</v>
      </c>
    </row>
    <row r="232" spans="1:3" ht="13.2" x14ac:dyDescent="0.25">
      <c r="A232" s="6">
        <v>230</v>
      </c>
      <c r="B232" s="7">
        <v>44.319999694824197</v>
      </c>
      <c r="C232" s="3">
        <f t="shared" si="0"/>
        <v>-8.0899454779601639E-3</v>
      </c>
    </row>
    <row r="233" spans="1:3" ht="13.2" x14ac:dyDescent="0.25">
      <c r="A233" s="6">
        <v>231</v>
      </c>
      <c r="B233" s="7">
        <v>45.490001678466797</v>
      </c>
      <c r="C233" s="3">
        <f t="shared" si="0"/>
        <v>2.6056522926108733E-2</v>
      </c>
    </row>
    <row r="234" spans="1:3" ht="13.2" x14ac:dyDescent="0.25">
      <c r="A234" s="6">
        <v>232</v>
      </c>
      <c r="B234" s="7">
        <v>45.040000915527301</v>
      </c>
      <c r="C234" s="3">
        <f t="shared" si="0"/>
        <v>-9.9415543209840952E-3</v>
      </c>
    </row>
    <row r="235" spans="1:3" ht="13.2" x14ac:dyDescent="0.25">
      <c r="A235" s="6">
        <v>233</v>
      </c>
      <c r="B235" s="7">
        <v>45.650001525878899</v>
      </c>
      <c r="C235" s="3">
        <f t="shared" si="0"/>
        <v>1.3452636308165204E-2</v>
      </c>
    </row>
    <row r="236" spans="1:3" ht="13.2" x14ac:dyDescent="0.25">
      <c r="A236" s="6">
        <v>234</v>
      </c>
      <c r="B236" s="7">
        <v>46.220001220703097</v>
      </c>
      <c r="C236" s="3">
        <f t="shared" si="0"/>
        <v>1.2408990790363526E-2</v>
      </c>
    </row>
    <row r="237" spans="1:3" ht="13.2" x14ac:dyDescent="0.25">
      <c r="A237" s="6">
        <v>235</v>
      </c>
      <c r="B237" s="7">
        <v>45.430000305175703</v>
      </c>
      <c r="C237" s="3">
        <f t="shared" si="0"/>
        <v>-1.7239944768141186E-2</v>
      </c>
    </row>
    <row r="238" spans="1:3" ht="13.2" x14ac:dyDescent="0.25">
      <c r="A238" s="6">
        <v>236</v>
      </c>
      <c r="B238" s="7">
        <v>43.909999847412102</v>
      </c>
      <c r="C238" s="3">
        <f t="shared" si="0"/>
        <v>-3.4030605390193501E-2</v>
      </c>
    </row>
    <row r="239" spans="1:3" ht="13.2" x14ac:dyDescent="0.25">
      <c r="A239" s="6">
        <v>237</v>
      </c>
      <c r="B239" s="7">
        <v>44.299999237060497</v>
      </c>
      <c r="C239" s="3">
        <f t="shared" si="0"/>
        <v>8.8425787303678081E-3</v>
      </c>
    </row>
    <row r="240" spans="1:3" ht="13.2" x14ac:dyDescent="0.25">
      <c r="A240" s="6">
        <v>238</v>
      </c>
      <c r="B240" s="7">
        <v>45.400001525878899</v>
      </c>
      <c r="C240" s="3">
        <f t="shared" si="0"/>
        <v>2.4527478827990071E-2</v>
      </c>
    </row>
    <row r="241" spans="1:3" ht="13.2" x14ac:dyDescent="0.25">
      <c r="A241" s="6">
        <v>239</v>
      </c>
      <c r="B241" s="7">
        <v>45.659999847412102</v>
      </c>
      <c r="C241" s="3">
        <f t="shared" si="0"/>
        <v>5.7104991028515666E-3</v>
      </c>
    </row>
    <row r="242" spans="1:3" ht="13.2" x14ac:dyDescent="0.25">
      <c r="A242" s="6">
        <v>240</v>
      </c>
      <c r="B242" s="7">
        <v>45.259998321533203</v>
      </c>
      <c r="C242" s="3">
        <f t="shared" si="0"/>
        <v>-8.7990346394234593E-3</v>
      </c>
    </row>
    <row r="243" spans="1:3" ht="13.2" x14ac:dyDescent="0.25">
      <c r="A243" s="6">
        <v>241</v>
      </c>
      <c r="B243" s="7">
        <v>46.970001220703097</v>
      </c>
      <c r="C243" s="3">
        <f t="shared" si="0"/>
        <v>3.7085522907501077E-2</v>
      </c>
    </row>
    <row r="244" spans="1:3" ht="13.2" x14ac:dyDescent="0.25">
      <c r="A244" s="6">
        <v>242</v>
      </c>
      <c r="B244" s="7">
        <v>46.970001220703097</v>
      </c>
      <c r="C244" s="3">
        <f t="shared" si="0"/>
        <v>0</v>
      </c>
    </row>
    <row r="245" spans="1:3" ht="13.2" x14ac:dyDescent="0.25">
      <c r="A245" s="6">
        <v>243</v>
      </c>
      <c r="B245" s="7">
        <v>47.639999389648402</v>
      </c>
      <c r="C245" s="3">
        <f t="shared" si="0"/>
        <v>1.4163605647454527E-2</v>
      </c>
    </row>
    <row r="246" spans="1:3" ht="13.2" x14ac:dyDescent="0.25">
      <c r="A246" s="6">
        <v>244</v>
      </c>
      <c r="B246" s="7">
        <v>46.139999389648402</v>
      </c>
      <c r="C246" s="3">
        <f t="shared" si="0"/>
        <v>-3.1992492157998466E-2</v>
      </c>
    </row>
    <row r="247" spans="1:3" ht="13.2" x14ac:dyDescent="0.25">
      <c r="A247" s="6">
        <v>245</v>
      </c>
      <c r="B247" s="7">
        <v>46.25</v>
      </c>
      <c r="C247" s="3">
        <f t="shared" si="0"/>
        <v>2.3812244410798028E-3</v>
      </c>
    </row>
    <row r="248" spans="1:3" ht="13.2" x14ac:dyDescent="0.25">
      <c r="A248" s="6">
        <v>246</v>
      </c>
      <c r="B248" s="7">
        <v>45.25</v>
      </c>
      <c r="C248" s="3">
        <f t="shared" si="0"/>
        <v>-2.1858793812499073E-2</v>
      </c>
    </row>
    <row r="249" spans="1:3" ht="13.2" x14ac:dyDescent="0.25">
      <c r="A249" s="6">
        <v>247</v>
      </c>
      <c r="B249" s="7">
        <v>44.080001831054602</v>
      </c>
      <c r="C249" s="3">
        <f t="shared" si="0"/>
        <v>-2.6196463761925685E-2</v>
      </c>
    </row>
    <row r="250" spans="1:3" ht="13.2" x14ac:dyDescent="0.25">
      <c r="A250" s="6">
        <v>248</v>
      </c>
      <c r="B250" s="7">
        <v>44.080001831054602</v>
      </c>
      <c r="C250" s="3">
        <f t="shared" si="0"/>
        <v>0</v>
      </c>
    </row>
    <row r="251" spans="1:3" ht="13.2" x14ac:dyDescent="0.25">
      <c r="A251" s="6">
        <v>249</v>
      </c>
      <c r="B251" s="7">
        <v>42.419998168945298</v>
      </c>
      <c r="C251" s="3">
        <f t="shared" si="0"/>
        <v>-3.8386300412365577E-2</v>
      </c>
    </row>
    <row r="252" spans="1:3" ht="13.2" x14ac:dyDescent="0.25">
      <c r="A252" s="6">
        <v>250</v>
      </c>
      <c r="B252" s="7">
        <v>43.040000915527301</v>
      </c>
      <c r="C252" s="3">
        <f t="shared" si="0"/>
        <v>1.4510031153430058E-2</v>
      </c>
    </row>
    <row r="253" spans="1:3" ht="13.2" x14ac:dyDescent="0.25">
      <c r="A253" s="6">
        <v>251</v>
      </c>
      <c r="B253" s="7">
        <v>42.139999389648402</v>
      </c>
      <c r="C253" s="3">
        <f t="shared" si="0"/>
        <v>-2.1132543232932267E-2</v>
      </c>
    </row>
    <row r="254" spans="1:3" ht="13.2" x14ac:dyDescent="0.25">
      <c r="A254" s="6">
        <v>252</v>
      </c>
      <c r="B254" s="7">
        <v>42.560001373291001</v>
      </c>
      <c r="C254" s="3">
        <f t="shared" si="0"/>
        <v>9.9174834084226372E-3</v>
      </c>
    </row>
    <row r="255" spans="1:3" ht="13.2" x14ac:dyDescent="0.25">
      <c r="A255" s="6">
        <v>253</v>
      </c>
      <c r="B255" s="7">
        <v>42.549999237060497</v>
      </c>
      <c r="C255" s="3">
        <f t="shared" si="0"/>
        <v>-2.3504021160436885E-4</v>
      </c>
    </row>
    <row r="256" spans="1:3" ht="13.2" x14ac:dyDescent="0.25">
      <c r="A256" s="6">
        <v>254</v>
      </c>
      <c r="B256" s="7">
        <v>42.270000457763601</v>
      </c>
      <c r="C256" s="3">
        <f t="shared" si="0"/>
        <v>-6.6022116807463943E-3</v>
      </c>
    </row>
    <row r="257" spans="1:3" ht="13.2" x14ac:dyDescent="0.25">
      <c r="A257" s="6">
        <v>255</v>
      </c>
      <c r="B257" s="7">
        <v>40.590000152587798</v>
      </c>
      <c r="C257" s="3">
        <f t="shared" si="0"/>
        <v>-4.0555890798161076E-2</v>
      </c>
    </row>
    <row r="258" spans="1:3" ht="13.2" x14ac:dyDescent="0.25">
      <c r="A258" s="6">
        <v>256</v>
      </c>
      <c r="B258" s="7">
        <v>39.400001525878899</v>
      </c>
      <c r="C258" s="3">
        <f t="shared" ref="C258:C512" si="1">LN(B258/B257)</f>
        <v>-2.9755879578274153E-2</v>
      </c>
    </row>
    <row r="259" spans="1:3" ht="13.2" x14ac:dyDescent="0.25">
      <c r="A259" s="6">
        <v>257</v>
      </c>
      <c r="B259" s="7">
        <v>39.279998779296797</v>
      </c>
      <c r="C259" s="3">
        <f t="shared" si="1"/>
        <v>-3.0504026224789944E-3</v>
      </c>
    </row>
    <row r="260" spans="1:3" ht="13.2" x14ac:dyDescent="0.25">
      <c r="A260" s="6">
        <v>258</v>
      </c>
      <c r="B260" s="7">
        <v>39.150001525878899</v>
      </c>
      <c r="C260" s="3">
        <f t="shared" si="1"/>
        <v>-3.3149909972925219E-3</v>
      </c>
    </row>
    <row r="261" spans="1:3" ht="13.2" x14ac:dyDescent="0.25">
      <c r="A261" s="6">
        <v>259</v>
      </c>
      <c r="B261" s="7">
        <v>40.310001373291001</v>
      </c>
      <c r="C261" s="3">
        <f t="shared" si="1"/>
        <v>2.9199149785313318E-2</v>
      </c>
    </row>
    <row r="262" spans="1:3" ht="13.2" x14ac:dyDescent="0.25">
      <c r="A262" s="6">
        <v>260</v>
      </c>
      <c r="B262" s="7">
        <v>41.659999847412102</v>
      </c>
      <c r="C262" s="3">
        <f t="shared" si="1"/>
        <v>3.2941820972810447E-2</v>
      </c>
    </row>
    <row r="263" spans="1:3" ht="13.2" x14ac:dyDescent="0.25">
      <c r="A263" s="6">
        <v>261</v>
      </c>
      <c r="B263" s="7">
        <v>41.099998474121001</v>
      </c>
      <c r="C263" s="3">
        <f t="shared" si="1"/>
        <v>-1.3533347793951839E-2</v>
      </c>
    </row>
    <row r="264" spans="1:3" ht="13.2" x14ac:dyDescent="0.25">
      <c r="A264" s="6">
        <v>262</v>
      </c>
      <c r="B264" s="7">
        <v>42.770000457763601</v>
      </c>
      <c r="C264" s="3">
        <f t="shared" si="1"/>
        <v>3.9828848565551918E-2</v>
      </c>
    </row>
    <row r="265" spans="1:3" ht="13.2" x14ac:dyDescent="0.25">
      <c r="A265" s="6">
        <v>263</v>
      </c>
      <c r="B265" s="7">
        <v>43.290000915527301</v>
      </c>
      <c r="C265" s="3">
        <f t="shared" si="1"/>
        <v>1.2084749660860391E-2</v>
      </c>
    </row>
    <row r="266" spans="1:3" ht="13.2" x14ac:dyDescent="0.25">
      <c r="A266" s="6">
        <v>264</v>
      </c>
      <c r="B266" s="7">
        <v>44.689998626708899</v>
      </c>
      <c r="C266" s="3">
        <f t="shared" si="1"/>
        <v>3.1828049613498235E-2</v>
      </c>
    </row>
    <row r="267" spans="1:3" ht="13.2" x14ac:dyDescent="0.25">
      <c r="A267" s="6">
        <v>265</v>
      </c>
      <c r="B267" s="7">
        <v>44.560001373291001</v>
      </c>
      <c r="C267" s="3">
        <f t="shared" si="1"/>
        <v>-2.9131057781426289E-3</v>
      </c>
    </row>
    <row r="268" spans="1:3" ht="13.2" x14ac:dyDescent="0.25">
      <c r="A268" s="6">
        <v>266</v>
      </c>
      <c r="B268" s="7">
        <v>45.169998168945298</v>
      </c>
      <c r="C268" s="3">
        <f t="shared" si="1"/>
        <v>1.3596482691600758E-2</v>
      </c>
    </row>
    <row r="269" spans="1:3" ht="13.2" x14ac:dyDescent="0.25">
      <c r="A269" s="6">
        <v>267</v>
      </c>
      <c r="B269" s="7">
        <v>46.740001678466797</v>
      </c>
      <c r="C269" s="3">
        <f t="shared" si="1"/>
        <v>3.4167255891878544E-2</v>
      </c>
    </row>
    <row r="270" spans="1:3" ht="13.2" x14ac:dyDescent="0.25">
      <c r="A270" s="6">
        <v>268</v>
      </c>
      <c r="B270" s="7">
        <v>47.080001831054602</v>
      </c>
      <c r="C270" s="3">
        <f t="shared" si="1"/>
        <v>7.2479562630582469E-3</v>
      </c>
    </row>
    <row r="271" spans="1:3" ht="13.2" x14ac:dyDescent="0.25">
      <c r="A271" s="6">
        <v>269</v>
      </c>
      <c r="B271" s="7">
        <v>46.470001220703097</v>
      </c>
      <c r="C271" s="3">
        <f t="shared" si="1"/>
        <v>-1.3041351918970297E-2</v>
      </c>
    </row>
    <row r="272" spans="1:3" ht="13.2" x14ac:dyDescent="0.25">
      <c r="A272" s="6">
        <v>270</v>
      </c>
      <c r="B272" s="7">
        <v>46.669998168945298</v>
      </c>
      <c r="C272" s="3">
        <f t="shared" si="1"/>
        <v>4.2945513621257371E-3</v>
      </c>
    </row>
    <row r="273" spans="1:3" ht="13.2" x14ac:dyDescent="0.25">
      <c r="A273" s="6">
        <v>271</v>
      </c>
      <c r="B273" s="7">
        <v>45.509998321533203</v>
      </c>
      <c r="C273" s="3">
        <f t="shared" si="1"/>
        <v>-2.5169475580363955E-2</v>
      </c>
    </row>
    <row r="274" spans="1:3" ht="13.2" x14ac:dyDescent="0.25">
      <c r="A274" s="6">
        <v>272</v>
      </c>
      <c r="B274" s="7">
        <v>46.159999847412102</v>
      </c>
      <c r="C274" s="3">
        <f t="shared" si="1"/>
        <v>1.4181573746938283E-2</v>
      </c>
    </row>
    <row r="275" spans="1:3" ht="13.2" x14ac:dyDescent="0.25">
      <c r="A275" s="6">
        <v>273</v>
      </c>
      <c r="B275" s="7">
        <v>47.310001373291001</v>
      </c>
      <c r="C275" s="3">
        <f t="shared" si="1"/>
        <v>2.4608099776341978E-2</v>
      </c>
    </row>
    <row r="276" spans="1:3" ht="13.2" x14ac:dyDescent="0.25">
      <c r="A276" s="6">
        <v>274</v>
      </c>
      <c r="B276" s="7">
        <v>46.369998931884702</v>
      </c>
      <c r="C276" s="3">
        <f t="shared" si="1"/>
        <v>-2.0069043301805964E-2</v>
      </c>
    </row>
    <row r="277" spans="1:3" ht="13.2" x14ac:dyDescent="0.25">
      <c r="A277" s="6">
        <v>275</v>
      </c>
      <c r="B277" s="7">
        <v>46.75</v>
      </c>
      <c r="C277" s="3">
        <f t="shared" si="1"/>
        <v>8.1615803659461656E-3</v>
      </c>
    </row>
    <row r="278" spans="1:3" ht="13.2" x14ac:dyDescent="0.25">
      <c r="A278" s="6">
        <v>276</v>
      </c>
      <c r="B278" s="7">
        <v>45.900001525878899</v>
      </c>
      <c r="C278" s="3">
        <f t="shared" si="1"/>
        <v>-1.8349105424648078E-2</v>
      </c>
    </row>
    <row r="279" spans="1:3" ht="13.2" x14ac:dyDescent="0.25">
      <c r="A279" s="6">
        <v>277</v>
      </c>
      <c r="B279" s="7">
        <v>48.790000915527301</v>
      </c>
      <c r="C279" s="3">
        <f t="shared" si="1"/>
        <v>6.1060242282348305E-2</v>
      </c>
    </row>
    <row r="280" spans="1:3" ht="13.2" x14ac:dyDescent="0.25">
      <c r="A280" s="6">
        <v>278</v>
      </c>
      <c r="B280" s="7">
        <v>48.529998779296797</v>
      </c>
      <c r="C280" s="3">
        <f t="shared" si="1"/>
        <v>-5.3432543288510319E-3</v>
      </c>
    </row>
    <row r="281" spans="1:3" ht="13.2" x14ac:dyDescent="0.25">
      <c r="A281" s="6">
        <v>279</v>
      </c>
      <c r="B281" s="7">
        <v>49.159999847412102</v>
      </c>
      <c r="C281" s="3">
        <f t="shared" si="1"/>
        <v>1.2898143330385281E-2</v>
      </c>
    </row>
    <row r="282" spans="1:3" ht="13.2" x14ac:dyDescent="0.25">
      <c r="A282" s="6">
        <v>280</v>
      </c>
      <c r="B282" s="7">
        <v>49.150001525878899</v>
      </c>
      <c r="C282" s="3">
        <f t="shared" si="1"/>
        <v>-2.03403955406542E-4</v>
      </c>
    </row>
    <row r="283" spans="1:3" ht="13.2" x14ac:dyDescent="0.25">
      <c r="A283" s="6">
        <v>281</v>
      </c>
      <c r="B283" s="7">
        <v>47.990001678466797</v>
      </c>
      <c r="C283" s="3">
        <f t="shared" si="1"/>
        <v>-2.3884186793025657E-2</v>
      </c>
    </row>
    <row r="284" spans="1:3" ht="13.2" x14ac:dyDescent="0.25">
      <c r="A284" s="6">
        <v>282</v>
      </c>
      <c r="B284" s="7">
        <v>50.810001373291001</v>
      </c>
      <c r="C284" s="3">
        <f t="shared" si="1"/>
        <v>5.7100521788108684E-2</v>
      </c>
    </row>
    <row r="285" spans="1:3" ht="13.2" x14ac:dyDescent="0.25">
      <c r="A285" s="6">
        <v>283</v>
      </c>
      <c r="B285" s="7">
        <v>50.75</v>
      </c>
      <c r="C285" s="3">
        <f t="shared" si="1"/>
        <v>-1.1815947117104443E-3</v>
      </c>
    </row>
    <row r="286" spans="1:3" ht="13.2" x14ac:dyDescent="0.25">
      <c r="A286" s="6">
        <v>284</v>
      </c>
      <c r="B286" s="7">
        <v>51.330001831054602</v>
      </c>
      <c r="C286" s="3">
        <f t="shared" si="1"/>
        <v>1.1363794322525692E-2</v>
      </c>
    </row>
    <row r="287" spans="1:3" ht="13.2" x14ac:dyDescent="0.25">
      <c r="A287" s="6">
        <v>285</v>
      </c>
      <c r="B287" s="7">
        <v>50.990001678466797</v>
      </c>
      <c r="C287" s="3">
        <f t="shared" si="1"/>
        <v>-6.6458442597905005E-3</v>
      </c>
    </row>
    <row r="288" spans="1:3" ht="13.2" x14ac:dyDescent="0.25">
      <c r="A288" s="6">
        <v>286</v>
      </c>
      <c r="B288" s="7">
        <v>51.419998168945298</v>
      </c>
      <c r="C288" s="3">
        <f t="shared" si="1"/>
        <v>8.3975982433345878E-3</v>
      </c>
    </row>
    <row r="289" spans="1:3" ht="13.2" x14ac:dyDescent="0.25">
      <c r="A289" s="6">
        <v>287</v>
      </c>
      <c r="B289" s="7">
        <v>52.220001220703097</v>
      </c>
      <c r="C289" s="3">
        <f t="shared" si="1"/>
        <v>1.5438420419176509E-2</v>
      </c>
    </row>
    <row r="290" spans="1:3" ht="13.2" x14ac:dyDescent="0.25">
      <c r="A290" s="6">
        <v>288</v>
      </c>
      <c r="B290" s="7">
        <v>53.340000152587798</v>
      </c>
      <c r="C290" s="3">
        <f t="shared" si="1"/>
        <v>2.1220934967388985E-2</v>
      </c>
    </row>
    <row r="291" spans="1:3" ht="13.2" x14ac:dyDescent="0.25">
      <c r="A291" s="6">
        <v>289</v>
      </c>
      <c r="B291" s="7">
        <v>56.9799995422363</v>
      </c>
      <c r="C291" s="3">
        <f t="shared" si="1"/>
        <v>6.601379942146933E-2</v>
      </c>
    </row>
    <row r="292" spans="1:3" ht="13.2" x14ac:dyDescent="0.25">
      <c r="A292" s="6">
        <v>290</v>
      </c>
      <c r="B292" s="7">
        <v>55.770000457763601</v>
      </c>
      <c r="C292" s="3">
        <f t="shared" si="1"/>
        <v>-2.1464222426477185E-2</v>
      </c>
    </row>
    <row r="293" spans="1:3" ht="13.2" x14ac:dyDescent="0.25">
      <c r="A293" s="6">
        <v>291</v>
      </c>
      <c r="B293" s="7">
        <v>55.7299995422363</v>
      </c>
      <c r="C293" s="3">
        <f t="shared" si="1"/>
        <v>-7.1750524203386377E-4</v>
      </c>
    </row>
    <row r="294" spans="1:3" ht="13.2" x14ac:dyDescent="0.25">
      <c r="A294" s="6">
        <v>292</v>
      </c>
      <c r="B294" s="7">
        <v>53.049999237060497</v>
      </c>
      <c r="C294" s="3">
        <f t="shared" si="1"/>
        <v>-4.9283742689015572E-2</v>
      </c>
    </row>
    <row r="295" spans="1:3" ht="13.2" x14ac:dyDescent="0.25">
      <c r="A295" s="6">
        <v>293</v>
      </c>
      <c r="B295" s="7">
        <v>57.520000457763601</v>
      </c>
      <c r="C295" s="3">
        <f t="shared" si="1"/>
        <v>8.0897870692654625E-2</v>
      </c>
    </row>
    <row r="296" spans="1:3" ht="13.2" x14ac:dyDescent="0.25">
      <c r="A296" s="6">
        <v>294</v>
      </c>
      <c r="B296" s="7">
        <v>60.279998779296797</v>
      </c>
      <c r="C296" s="3">
        <f t="shared" si="1"/>
        <v>4.6867632136614448E-2</v>
      </c>
    </row>
    <row r="297" spans="1:3" ht="13.2" x14ac:dyDescent="0.25">
      <c r="A297" s="6">
        <v>295</v>
      </c>
      <c r="B297" s="7">
        <v>62.220001220703097</v>
      </c>
      <c r="C297" s="3">
        <f t="shared" si="1"/>
        <v>3.1676157580890492E-2</v>
      </c>
    </row>
    <row r="298" spans="1:3" ht="13.2" x14ac:dyDescent="0.25">
      <c r="A298" s="6">
        <v>296</v>
      </c>
      <c r="B298" s="7">
        <v>65.489997863769503</v>
      </c>
      <c r="C298" s="3">
        <f t="shared" si="1"/>
        <v>5.1220915522141516E-2</v>
      </c>
    </row>
    <row r="299" spans="1:3" ht="13.2" x14ac:dyDescent="0.25">
      <c r="A299" s="6">
        <v>297</v>
      </c>
      <c r="B299" s="7">
        <v>66.699996948242102</v>
      </c>
      <c r="C299" s="3">
        <f t="shared" si="1"/>
        <v>1.8307480557309613E-2</v>
      </c>
    </row>
    <row r="300" spans="1:3" ht="13.2" x14ac:dyDescent="0.25">
      <c r="A300" s="6">
        <v>298</v>
      </c>
      <c r="B300" s="7">
        <v>66.379997253417898</v>
      </c>
      <c r="C300" s="3">
        <f t="shared" si="1"/>
        <v>-4.8091422529087033E-3</v>
      </c>
    </row>
    <row r="301" spans="1:3" ht="13.2" x14ac:dyDescent="0.25">
      <c r="A301" s="6">
        <v>299</v>
      </c>
      <c r="B301" s="7">
        <v>65.349998474121094</v>
      </c>
      <c r="C301" s="3">
        <f t="shared" si="1"/>
        <v>-1.5638348194278753E-2</v>
      </c>
    </row>
    <row r="302" spans="1:3" ht="13.2" x14ac:dyDescent="0.25">
      <c r="A302" s="6">
        <v>300</v>
      </c>
      <c r="B302" s="7">
        <v>65.980003356933594</v>
      </c>
      <c r="C302" s="3">
        <f t="shared" si="1"/>
        <v>9.5942999575841792E-3</v>
      </c>
    </row>
    <row r="303" spans="1:3" ht="13.2" x14ac:dyDescent="0.25">
      <c r="A303" s="6">
        <v>301</v>
      </c>
      <c r="B303" s="7">
        <v>66.870002746582003</v>
      </c>
      <c r="C303" s="3">
        <f t="shared" si="1"/>
        <v>1.3398760460860453E-2</v>
      </c>
    </row>
    <row r="304" spans="1:3" ht="13.2" x14ac:dyDescent="0.25">
      <c r="A304" s="6">
        <v>302</v>
      </c>
      <c r="B304" s="7">
        <v>67.599998474121094</v>
      </c>
      <c r="C304" s="3">
        <f t="shared" si="1"/>
        <v>1.0857483337402683E-2</v>
      </c>
    </row>
    <row r="305" spans="1:3" ht="13.2" x14ac:dyDescent="0.25">
      <c r="A305" s="6">
        <v>303</v>
      </c>
      <c r="B305" s="7">
        <v>69.300003051757798</v>
      </c>
      <c r="C305" s="3">
        <f t="shared" si="1"/>
        <v>2.4836989756020698E-2</v>
      </c>
    </row>
    <row r="306" spans="1:3" ht="13.2" x14ac:dyDescent="0.25">
      <c r="A306" s="6">
        <v>304</v>
      </c>
      <c r="B306" s="7">
        <v>67.989997863769503</v>
      </c>
      <c r="C306" s="3">
        <f t="shared" si="1"/>
        <v>-1.9084346114172788E-2</v>
      </c>
    </row>
    <row r="307" spans="1:3" ht="13.2" x14ac:dyDescent="0.25">
      <c r="A307" s="6">
        <v>305</v>
      </c>
      <c r="B307" s="7">
        <v>66.900001525878906</v>
      </c>
      <c r="C307" s="3">
        <f t="shared" si="1"/>
        <v>-1.616161417605599E-2</v>
      </c>
    </row>
    <row r="308" spans="1:3" ht="13.2" x14ac:dyDescent="0.25">
      <c r="A308" s="6">
        <v>306</v>
      </c>
      <c r="B308" s="7">
        <v>64.5</v>
      </c>
      <c r="C308" s="3">
        <f t="shared" si="1"/>
        <v>-3.6533766140810074E-2</v>
      </c>
    </row>
    <row r="309" spans="1:3" ht="13.2" x14ac:dyDescent="0.25">
      <c r="A309" s="6">
        <v>307</v>
      </c>
      <c r="B309" s="7">
        <v>65.169998168945298</v>
      </c>
      <c r="C309" s="3">
        <f t="shared" si="1"/>
        <v>1.0333988445972752E-2</v>
      </c>
    </row>
    <row r="310" spans="1:3" ht="13.2" x14ac:dyDescent="0.25">
      <c r="A310" s="6">
        <v>308</v>
      </c>
      <c r="B310" s="7">
        <v>65.699996948242102</v>
      </c>
      <c r="C310" s="3">
        <f t="shared" si="1"/>
        <v>8.0996667929720996E-3</v>
      </c>
    </row>
    <row r="311" spans="1:3" ht="13.2" x14ac:dyDescent="0.25">
      <c r="A311" s="6">
        <v>309</v>
      </c>
      <c r="B311" s="7">
        <v>65.129997253417898</v>
      </c>
      <c r="C311" s="3">
        <f t="shared" si="1"/>
        <v>-8.7136486531303008E-3</v>
      </c>
    </row>
    <row r="312" spans="1:3" ht="13.2" x14ac:dyDescent="0.25">
      <c r="A312" s="6">
        <v>310</v>
      </c>
      <c r="B312" s="7">
        <v>65.059997558593693</v>
      </c>
      <c r="C312" s="3">
        <f t="shared" si="1"/>
        <v>-1.0753468677950481E-3</v>
      </c>
    </row>
    <row r="313" spans="1:3" ht="13.2" x14ac:dyDescent="0.25">
      <c r="A313" s="6">
        <v>311</v>
      </c>
      <c r="B313" s="7">
        <v>63.580001831054602</v>
      </c>
      <c r="C313" s="3">
        <f t="shared" si="1"/>
        <v>-2.3010899237867241E-2</v>
      </c>
    </row>
    <row r="314" spans="1:3" ht="13.2" x14ac:dyDescent="0.25">
      <c r="A314" s="6">
        <v>312</v>
      </c>
      <c r="B314" s="7">
        <v>62.580001831054602</v>
      </c>
      <c r="C314" s="3">
        <f t="shared" si="1"/>
        <v>-1.585321678172209E-2</v>
      </c>
    </row>
    <row r="315" spans="1:3" ht="13.2" x14ac:dyDescent="0.25">
      <c r="A315" s="6">
        <v>313</v>
      </c>
      <c r="B315" s="7">
        <v>61.169998168945298</v>
      </c>
      <c r="C315" s="3">
        <f t="shared" si="1"/>
        <v>-2.2788924179552122E-2</v>
      </c>
    </row>
    <row r="316" spans="1:3" ht="13.2" x14ac:dyDescent="0.25">
      <c r="A316" s="6">
        <v>314</v>
      </c>
      <c r="B316" s="7">
        <v>61.209999084472599</v>
      </c>
      <c r="C316" s="3">
        <f t="shared" si="1"/>
        <v>6.5371658521917199E-4</v>
      </c>
    </row>
    <row r="317" spans="1:3" ht="13.2" x14ac:dyDescent="0.25">
      <c r="A317" s="6">
        <v>315</v>
      </c>
      <c r="B317" s="7">
        <v>59.909999847412102</v>
      </c>
      <c r="C317" s="3">
        <f t="shared" si="1"/>
        <v>-2.1467126356942832E-2</v>
      </c>
    </row>
    <row r="318" spans="1:3" ht="13.2" x14ac:dyDescent="0.25">
      <c r="A318" s="6">
        <v>316</v>
      </c>
      <c r="B318" s="7">
        <v>57.610000610351499</v>
      </c>
      <c r="C318" s="3">
        <f t="shared" si="1"/>
        <v>-3.9147259210048933E-2</v>
      </c>
    </row>
    <row r="319" spans="1:3" ht="13.2" x14ac:dyDescent="0.25">
      <c r="A319" s="6">
        <v>317</v>
      </c>
      <c r="B319" s="7">
        <v>55.450000762939403</v>
      </c>
      <c r="C319" s="3">
        <f t="shared" si="1"/>
        <v>-3.8214446783405139E-2</v>
      </c>
    </row>
    <row r="320" spans="1:3" ht="13.2" x14ac:dyDescent="0.25">
      <c r="A320" s="6">
        <v>318</v>
      </c>
      <c r="B320" s="7">
        <v>51.590000152587798</v>
      </c>
      <c r="C320" s="3">
        <f t="shared" si="1"/>
        <v>-7.2153869341167798E-2</v>
      </c>
    </row>
    <row r="321" spans="1:3" ht="13.2" x14ac:dyDescent="0.25">
      <c r="A321" s="6">
        <v>319</v>
      </c>
      <c r="B321" s="7">
        <v>52.299999237060497</v>
      </c>
      <c r="C321" s="3">
        <f t="shared" si="1"/>
        <v>1.3668498268864016E-2</v>
      </c>
    </row>
    <row r="322" spans="1:3" ht="13.2" x14ac:dyDescent="0.25">
      <c r="A322" s="6">
        <v>320</v>
      </c>
      <c r="B322" s="7">
        <v>52.340000152587798</v>
      </c>
      <c r="C322" s="3">
        <f t="shared" si="1"/>
        <v>7.6454353419518918E-4</v>
      </c>
    </row>
    <row r="323" spans="1:3" ht="13.2" x14ac:dyDescent="0.25">
      <c r="A323" s="6">
        <v>321</v>
      </c>
      <c r="B323" s="7">
        <v>54.159999847412102</v>
      </c>
      <c r="C323" s="3">
        <f t="shared" si="1"/>
        <v>3.4181725769346541E-2</v>
      </c>
    </row>
    <row r="324" spans="1:3" ht="13.2" x14ac:dyDescent="0.25">
      <c r="A324" s="6">
        <v>322</v>
      </c>
      <c r="B324" s="7">
        <v>53.7299995422363</v>
      </c>
      <c r="C324" s="3">
        <f t="shared" si="1"/>
        <v>-7.9711295656394836E-3</v>
      </c>
    </row>
    <row r="325" spans="1:3" ht="13.2" x14ac:dyDescent="0.25">
      <c r="A325" s="6">
        <v>323</v>
      </c>
      <c r="B325" s="7">
        <v>51.840000152587798</v>
      </c>
      <c r="C325" s="3">
        <f t="shared" si="1"/>
        <v>-3.5809441233569217E-2</v>
      </c>
    </row>
    <row r="326" spans="1:3" ht="13.2" x14ac:dyDescent="0.25">
      <c r="A326" s="6">
        <v>324</v>
      </c>
      <c r="B326" s="7">
        <v>53.430000305175703</v>
      </c>
      <c r="C326" s="3">
        <f t="shared" si="1"/>
        <v>3.0210336693915339E-2</v>
      </c>
    </row>
    <row r="327" spans="1:3" ht="13.2" x14ac:dyDescent="0.25">
      <c r="A327" s="6">
        <v>325</v>
      </c>
      <c r="B327" s="7">
        <v>54.180000305175703</v>
      </c>
      <c r="C327" s="3">
        <f t="shared" si="1"/>
        <v>1.3939450608203513E-2</v>
      </c>
    </row>
    <row r="328" spans="1:3" ht="13.2" x14ac:dyDescent="0.25">
      <c r="A328" s="6">
        <v>326</v>
      </c>
      <c r="B328" s="7">
        <v>52.189998626708899</v>
      </c>
      <c r="C328" s="3">
        <f t="shared" si="1"/>
        <v>-3.7420962947553503E-2</v>
      </c>
    </row>
    <row r="329" spans="1:3" ht="13.2" x14ac:dyDescent="0.25">
      <c r="A329" s="6">
        <v>327</v>
      </c>
      <c r="B329" s="7">
        <v>52.450000762939403</v>
      </c>
      <c r="C329" s="3">
        <f t="shared" si="1"/>
        <v>4.9694700463164326E-3</v>
      </c>
    </row>
    <row r="330" spans="1:3" ht="13.2" x14ac:dyDescent="0.25">
      <c r="A330" s="6">
        <v>328</v>
      </c>
      <c r="B330" s="7">
        <v>53.139999389648402</v>
      </c>
      <c r="C330" s="3">
        <f t="shared" si="1"/>
        <v>1.3069579457600655E-2</v>
      </c>
    </row>
    <row r="331" spans="1:3" ht="13.2" x14ac:dyDescent="0.25">
      <c r="A331" s="6">
        <v>329</v>
      </c>
      <c r="B331" s="7">
        <v>52.959999084472599</v>
      </c>
      <c r="C331" s="3">
        <f t="shared" si="1"/>
        <v>-3.3930345043353054E-3</v>
      </c>
    </row>
    <row r="332" spans="1:3" ht="13.2" x14ac:dyDescent="0.25">
      <c r="A332" s="6">
        <v>330</v>
      </c>
      <c r="B332" s="7">
        <v>54.110000610351499</v>
      </c>
      <c r="C332" s="3">
        <f t="shared" si="1"/>
        <v>2.1482128592868025E-2</v>
      </c>
    </row>
    <row r="333" spans="1:3" ht="13.2" x14ac:dyDescent="0.25">
      <c r="A333" s="6">
        <v>331</v>
      </c>
      <c r="B333" s="7">
        <v>52.189998626708899</v>
      </c>
      <c r="C333" s="3">
        <f t="shared" si="1"/>
        <v>-3.6128143592449931E-2</v>
      </c>
    </row>
    <row r="334" spans="1:3" ht="13.2" x14ac:dyDescent="0.25">
      <c r="A334" s="6">
        <v>332</v>
      </c>
      <c r="B334" s="7">
        <v>51.319999694824197</v>
      </c>
      <c r="C334" s="3">
        <f t="shared" si="1"/>
        <v>-1.6810345541114057E-2</v>
      </c>
    </row>
    <row r="335" spans="1:3" ht="13.2" x14ac:dyDescent="0.25">
      <c r="A335" s="6">
        <v>333</v>
      </c>
      <c r="B335" s="7">
        <v>49.25</v>
      </c>
      <c r="C335" s="3">
        <f t="shared" si="1"/>
        <v>-4.1171166182810026E-2</v>
      </c>
    </row>
    <row r="336" spans="1:3" ht="13.2" x14ac:dyDescent="0.25">
      <c r="A336" s="6">
        <v>334</v>
      </c>
      <c r="B336" s="7">
        <v>50.860000610351499</v>
      </c>
      <c r="C336" s="3">
        <f t="shared" si="1"/>
        <v>3.2167404376495012E-2</v>
      </c>
    </row>
    <row r="337" spans="1:3" ht="13.2" x14ac:dyDescent="0.25">
      <c r="A337" s="6">
        <v>335</v>
      </c>
      <c r="B337" s="7">
        <v>50.2299995422363</v>
      </c>
      <c r="C337" s="3">
        <f t="shared" si="1"/>
        <v>-1.2464323345992132E-2</v>
      </c>
    </row>
    <row r="338" spans="1:3" ht="13.2" x14ac:dyDescent="0.25">
      <c r="A338" s="6">
        <v>336</v>
      </c>
      <c r="B338" s="7">
        <v>49.2299995422363</v>
      </c>
      <c r="C338" s="3">
        <f t="shared" si="1"/>
        <v>-2.0109264176961988E-2</v>
      </c>
    </row>
    <row r="339" spans="1:3" ht="13.2" x14ac:dyDescent="0.25">
      <c r="A339" s="6">
        <v>337</v>
      </c>
      <c r="B339" s="7">
        <v>51.840000152587798</v>
      </c>
      <c r="C339" s="3">
        <f t="shared" si="1"/>
        <v>5.1658870515817919E-2</v>
      </c>
    </row>
    <row r="340" spans="1:3" ht="13.2" x14ac:dyDescent="0.25">
      <c r="A340" s="6">
        <v>338</v>
      </c>
      <c r="B340" s="7">
        <v>52.040000915527301</v>
      </c>
      <c r="C340" s="3">
        <f t="shared" si="1"/>
        <v>3.8506162496091058E-3</v>
      </c>
    </row>
    <row r="341" spans="1:3" ht="13.2" x14ac:dyDescent="0.25">
      <c r="A341" s="6">
        <v>339</v>
      </c>
      <c r="B341" s="7">
        <v>52.650001525878899</v>
      </c>
      <c r="C341" s="3">
        <f t="shared" si="1"/>
        <v>1.1653596324473955E-2</v>
      </c>
    </row>
    <row r="342" spans="1:3" ht="13.2" x14ac:dyDescent="0.25">
      <c r="A342" s="6">
        <v>340</v>
      </c>
      <c r="B342" s="7">
        <v>53.259998321533203</v>
      </c>
      <c r="C342" s="3">
        <f t="shared" si="1"/>
        <v>1.1519281309660971E-2</v>
      </c>
    </row>
    <row r="343" spans="1:3" ht="13.2" x14ac:dyDescent="0.25">
      <c r="A343" s="6">
        <v>341</v>
      </c>
      <c r="B343" s="7">
        <v>54.400001525878899</v>
      </c>
      <c r="C343" s="3">
        <f t="shared" si="1"/>
        <v>2.1178633039940265E-2</v>
      </c>
    </row>
    <row r="344" spans="1:3" ht="13.2" x14ac:dyDescent="0.25">
      <c r="A344" s="6">
        <v>342</v>
      </c>
      <c r="B344" s="7">
        <v>53.759998321533203</v>
      </c>
      <c r="C344" s="3">
        <f t="shared" si="1"/>
        <v>-1.1834516917727963E-2</v>
      </c>
    </row>
    <row r="345" spans="1:3" ht="13.2" x14ac:dyDescent="0.25">
      <c r="A345" s="6">
        <v>343</v>
      </c>
      <c r="B345" s="7">
        <v>54.25</v>
      </c>
      <c r="C345" s="3">
        <f t="shared" si="1"/>
        <v>9.0733274271559052E-3</v>
      </c>
    </row>
    <row r="346" spans="1:3" ht="13.2" x14ac:dyDescent="0.25">
      <c r="A346" s="6">
        <v>344</v>
      </c>
      <c r="B346" s="7">
        <v>54.810001373291001</v>
      </c>
      <c r="C346" s="3">
        <f t="shared" si="1"/>
        <v>1.0269691692938402E-2</v>
      </c>
    </row>
    <row r="347" spans="1:3" ht="13.2" x14ac:dyDescent="0.25">
      <c r="A347" s="6">
        <v>345</v>
      </c>
      <c r="B347" s="7">
        <v>56.439998626708899</v>
      </c>
      <c r="C347" s="3">
        <f t="shared" si="1"/>
        <v>2.9305418539229217E-2</v>
      </c>
    </row>
    <row r="348" spans="1:3" ht="13.2" x14ac:dyDescent="0.25">
      <c r="A348" s="6">
        <v>346</v>
      </c>
      <c r="B348" s="7">
        <v>55.259998321533203</v>
      </c>
      <c r="C348" s="3">
        <f t="shared" si="1"/>
        <v>-2.1128813531458596E-2</v>
      </c>
    </row>
    <row r="349" spans="1:3" ht="13.2" x14ac:dyDescent="0.25">
      <c r="A349" s="6">
        <v>347</v>
      </c>
      <c r="B349" s="7">
        <v>55.080001831054602</v>
      </c>
      <c r="C349" s="3">
        <f t="shared" si="1"/>
        <v>-3.2625820172769255E-3</v>
      </c>
    </row>
    <row r="350" spans="1:3" ht="13.2" x14ac:dyDescent="0.25">
      <c r="A350" s="6">
        <v>348</v>
      </c>
      <c r="B350" s="7">
        <v>56.110000610351499</v>
      </c>
      <c r="C350" s="3">
        <f t="shared" si="1"/>
        <v>1.8527353536646265E-2</v>
      </c>
    </row>
    <row r="351" spans="1:3" ht="13.2" x14ac:dyDescent="0.25">
      <c r="A351" s="6">
        <v>349</v>
      </c>
      <c r="B351" s="7">
        <v>56.720001220703097</v>
      </c>
      <c r="C351" s="3">
        <f t="shared" si="1"/>
        <v>1.0812843104788137E-2</v>
      </c>
    </row>
    <row r="352" spans="1:3" ht="13.2" x14ac:dyDescent="0.25">
      <c r="A352" s="6">
        <v>350</v>
      </c>
      <c r="B352" s="7">
        <v>56.470001220703097</v>
      </c>
      <c r="C352" s="3">
        <f t="shared" si="1"/>
        <v>-4.4173584438479581E-3</v>
      </c>
    </row>
    <row r="353" spans="1:3" ht="13.2" x14ac:dyDescent="0.25">
      <c r="A353" s="6">
        <v>351</v>
      </c>
      <c r="B353" s="7">
        <v>53.630001068115199</v>
      </c>
      <c r="C353" s="3">
        <f t="shared" si="1"/>
        <v>-5.1600912390378825E-2</v>
      </c>
    </row>
    <row r="354" spans="1:3" ht="13.2" x14ac:dyDescent="0.25">
      <c r="A354" s="6">
        <v>352</v>
      </c>
      <c r="B354" s="7">
        <v>54.590000152587798</v>
      </c>
      <c r="C354" s="3">
        <f t="shared" si="1"/>
        <v>1.7742085677617616E-2</v>
      </c>
    </row>
    <row r="355" spans="1:3" ht="13.2" x14ac:dyDescent="0.25">
      <c r="A355" s="6">
        <v>353</v>
      </c>
      <c r="B355" s="7">
        <v>54.020000457763601</v>
      </c>
      <c r="C355" s="3">
        <f t="shared" si="1"/>
        <v>-1.0496361750391821E-2</v>
      </c>
    </row>
    <row r="356" spans="1:3" ht="13.2" x14ac:dyDescent="0.25">
      <c r="A356" s="6">
        <v>354</v>
      </c>
      <c r="B356" s="7">
        <v>54</v>
      </c>
      <c r="C356" s="3">
        <f t="shared" si="1"/>
        <v>-3.7031027416026919E-4</v>
      </c>
    </row>
    <row r="357" spans="1:3" ht="13.2" x14ac:dyDescent="0.25">
      <c r="A357" s="6">
        <v>355</v>
      </c>
      <c r="B357" s="7">
        <v>54.779998779296797</v>
      </c>
      <c r="C357" s="3">
        <f t="shared" si="1"/>
        <v>1.4341094986918795E-2</v>
      </c>
    </row>
    <row r="358" spans="1:3" ht="13.2" x14ac:dyDescent="0.25">
      <c r="A358" s="6">
        <v>356</v>
      </c>
      <c r="B358" s="7">
        <v>55.720001220703097</v>
      </c>
      <c r="C358" s="3">
        <f t="shared" si="1"/>
        <v>1.7014029268220095E-2</v>
      </c>
    </row>
    <row r="359" spans="1:3" ht="13.2" x14ac:dyDescent="0.25">
      <c r="A359" s="6">
        <v>357</v>
      </c>
      <c r="B359" s="7">
        <v>58.099998474121001</v>
      </c>
      <c r="C359" s="3">
        <f t="shared" si="1"/>
        <v>4.1826466775474171E-2</v>
      </c>
    </row>
    <row r="360" spans="1:3" ht="13.2" x14ac:dyDescent="0.25">
      <c r="A360" s="6">
        <v>358</v>
      </c>
      <c r="B360" s="7">
        <v>57.409999847412102</v>
      </c>
      <c r="C360" s="3">
        <f t="shared" si="1"/>
        <v>-1.1947136073204899E-2</v>
      </c>
    </row>
    <row r="361" spans="1:3" ht="13.2" x14ac:dyDescent="0.25">
      <c r="A361" s="6">
        <v>359</v>
      </c>
      <c r="B361" s="7">
        <v>55.880001068115199</v>
      </c>
      <c r="C361" s="3">
        <f t="shared" si="1"/>
        <v>-2.7011948018476579E-2</v>
      </c>
    </row>
    <row r="362" spans="1:3" ht="13.2" x14ac:dyDescent="0.25">
      <c r="A362" s="6">
        <v>360</v>
      </c>
      <c r="B362" s="7">
        <v>57.779998779296797</v>
      </c>
      <c r="C362" s="3">
        <f t="shared" si="1"/>
        <v>3.343612040813991E-2</v>
      </c>
    </row>
    <row r="363" spans="1:3" ht="13.2" x14ac:dyDescent="0.25">
      <c r="A363" s="6">
        <v>361</v>
      </c>
      <c r="B363" s="7">
        <v>58.930000305175703</v>
      </c>
      <c r="C363" s="3">
        <f t="shared" si="1"/>
        <v>1.970763011708955E-2</v>
      </c>
    </row>
    <row r="364" spans="1:3" ht="13.2" x14ac:dyDescent="0.25">
      <c r="A364" s="6">
        <v>362</v>
      </c>
      <c r="B364" s="7">
        <v>59.619998931884702</v>
      </c>
      <c r="C364" s="3">
        <f t="shared" si="1"/>
        <v>1.1640766306103939E-2</v>
      </c>
    </row>
    <row r="365" spans="1:3" ht="13.2" x14ac:dyDescent="0.25">
      <c r="A365" s="6">
        <v>363</v>
      </c>
      <c r="B365" s="7">
        <v>59.389999389648402</v>
      </c>
      <c r="C365" s="3">
        <f t="shared" si="1"/>
        <v>-3.86521858378023E-3</v>
      </c>
    </row>
    <row r="366" spans="1:3" ht="13.2" x14ac:dyDescent="0.25">
      <c r="A366" s="6">
        <v>364</v>
      </c>
      <c r="B366" s="7">
        <v>57.389999389648402</v>
      </c>
      <c r="C366" s="3">
        <f t="shared" si="1"/>
        <v>-3.4255790265644008E-2</v>
      </c>
    </row>
    <row r="367" spans="1:3" ht="13.2" x14ac:dyDescent="0.25">
      <c r="A367" s="6">
        <v>365</v>
      </c>
      <c r="B367" s="7">
        <v>59.419998168945298</v>
      </c>
      <c r="C367" s="3">
        <f t="shared" si="1"/>
        <v>3.4760777733884779E-2</v>
      </c>
    </row>
    <row r="368" spans="1:3" ht="13.2" x14ac:dyDescent="0.25">
      <c r="A368" s="6">
        <v>366</v>
      </c>
      <c r="B368" s="7">
        <v>59.4799995422363</v>
      </c>
      <c r="C368" s="3">
        <f t="shared" si="1"/>
        <v>1.0092746768598231E-3</v>
      </c>
    </row>
    <row r="369" spans="1:3" ht="13.2" x14ac:dyDescent="0.25">
      <c r="A369" s="6">
        <v>367</v>
      </c>
      <c r="B369" s="7">
        <v>60.099998474121001</v>
      </c>
      <c r="C369" s="3">
        <f t="shared" si="1"/>
        <v>1.0369702256300149E-2</v>
      </c>
    </row>
    <row r="370" spans="1:3" ht="13.2" x14ac:dyDescent="0.25">
      <c r="A370" s="6">
        <v>368</v>
      </c>
      <c r="B370" s="7">
        <v>60.540000915527301</v>
      </c>
      <c r="C370" s="3">
        <f t="shared" si="1"/>
        <v>7.2945025640968383E-3</v>
      </c>
    </row>
    <row r="371" spans="1:3" ht="13.2" x14ac:dyDescent="0.25">
      <c r="A371" s="6">
        <v>369</v>
      </c>
      <c r="B371" s="7">
        <v>61.150001525878899</v>
      </c>
      <c r="C371" s="3">
        <f t="shared" si="1"/>
        <v>1.0025568369972667E-2</v>
      </c>
    </row>
    <row r="372" spans="1:3" ht="13.2" x14ac:dyDescent="0.25">
      <c r="A372" s="6">
        <v>370</v>
      </c>
      <c r="B372" s="7">
        <v>58.369998931884702</v>
      </c>
      <c r="C372" s="3">
        <f t="shared" si="1"/>
        <v>-4.6527846169575456E-2</v>
      </c>
    </row>
    <row r="373" spans="1:3" ht="13.2" x14ac:dyDescent="0.25">
      <c r="A373" s="6">
        <v>371</v>
      </c>
      <c r="B373" s="7">
        <v>58.520000457763601</v>
      </c>
      <c r="C373" s="3">
        <f t="shared" si="1"/>
        <v>2.5665430576143678E-3</v>
      </c>
    </row>
    <row r="374" spans="1:3" ht="13.2" x14ac:dyDescent="0.25">
      <c r="A374" s="6">
        <v>372</v>
      </c>
      <c r="B374" s="7">
        <v>60.770000457763601</v>
      </c>
      <c r="C374" s="3">
        <f t="shared" si="1"/>
        <v>3.7727669705719238E-2</v>
      </c>
    </row>
    <row r="375" spans="1:3" ht="13.2" x14ac:dyDescent="0.25">
      <c r="A375" s="6">
        <v>373</v>
      </c>
      <c r="B375" s="7">
        <v>61.290000915527301</v>
      </c>
      <c r="C375" s="3">
        <f t="shared" si="1"/>
        <v>8.5204587552823053E-3</v>
      </c>
    </row>
    <row r="376" spans="1:3" ht="13.2" x14ac:dyDescent="0.25">
      <c r="A376" s="6">
        <v>374</v>
      </c>
      <c r="B376" s="7">
        <v>62.139999389648402</v>
      </c>
      <c r="C376" s="3">
        <f t="shared" si="1"/>
        <v>1.3773181707430346E-2</v>
      </c>
    </row>
    <row r="377" spans="1:3" ht="13.2" x14ac:dyDescent="0.25">
      <c r="A377" s="6">
        <v>375</v>
      </c>
      <c r="B377" s="7">
        <v>59.720001220703097</v>
      </c>
      <c r="C377" s="3">
        <f t="shared" si="1"/>
        <v>-3.9722901031270116E-2</v>
      </c>
    </row>
    <row r="378" spans="1:3" ht="13.2" x14ac:dyDescent="0.25">
      <c r="A378" s="6">
        <v>376</v>
      </c>
      <c r="B378" s="7">
        <v>60.380001068115199</v>
      </c>
      <c r="C378" s="3">
        <f t="shared" si="1"/>
        <v>1.0990948857146935E-2</v>
      </c>
    </row>
    <row r="379" spans="1:3" ht="13.2" x14ac:dyDescent="0.25">
      <c r="A379" s="6">
        <v>377</v>
      </c>
      <c r="B379" s="7">
        <v>59.790000915527301</v>
      </c>
      <c r="C379" s="3">
        <f t="shared" si="1"/>
        <v>-9.8195037633820141E-3</v>
      </c>
    </row>
    <row r="380" spans="1:3" ht="13.2" x14ac:dyDescent="0.25">
      <c r="A380" s="6">
        <v>378</v>
      </c>
      <c r="B380" s="7">
        <v>59.599998474121001</v>
      </c>
      <c r="C380" s="3">
        <f t="shared" si="1"/>
        <v>-3.1828897358874529E-3</v>
      </c>
    </row>
    <row r="381" spans="1:3" ht="13.2" x14ac:dyDescent="0.25">
      <c r="A381" s="6">
        <v>379</v>
      </c>
      <c r="B381" s="7">
        <v>57.75</v>
      </c>
      <c r="C381" s="3">
        <f t="shared" si="1"/>
        <v>-3.1532199067404204E-2</v>
      </c>
    </row>
    <row r="382" spans="1:3" ht="13.2" x14ac:dyDescent="0.25">
      <c r="A382" s="6">
        <v>380</v>
      </c>
      <c r="B382" s="7">
        <v>58.549999237060497</v>
      </c>
      <c r="C382" s="3">
        <f t="shared" si="1"/>
        <v>1.3757727611259677E-2</v>
      </c>
    </row>
    <row r="383" spans="1:3" ht="13.2" x14ac:dyDescent="0.25">
      <c r="A383" s="6">
        <v>381</v>
      </c>
      <c r="B383" s="7">
        <v>58.830001831054602</v>
      </c>
      <c r="C383" s="3">
        <f t="shared" si="1"/>
        <v>4.7708829877060391E-3</v>
      </c>
    </row>
    <row r="384" spans="1:3" ht="13.2" x14ac:dyDescent="0.25">
      <c r="A384" s="6">
        <v>382</v>
      </c>
      <c r="B384" s="7">
        <v>59.029998779296797</v>
      </c>
      <c r="C384" s="3">
        <f t="shared" si="1"/>
        <v>3.3938085723593651E-3</v>
      </c>
    </row>
    <row r="385" spans="1:3" ht="13.2" x14ac:dyDescent="0.25">
      <c r="A385" s="6">
        <v>383</v>
      </c>
      <c r="B385" s="7">
        <v>58.389999389648402</v>
      </c>
      <c r="C385" s="3">
        <f t="shared" si="1"/>
        <v>-1.0901136730797574E-2</v>
      </c>
    </row>
    <row r="386" spans="1:3" ht="13.2" x14ac:dyDescent="0.25">
      <c r="A386" s="6">
        <v>384</v>
      </c>
      <c r="B386" s="7">
        <v>57.709999084472599</v>
      </c>
      <c r="C386" s="3">
        <f t="shared" si="1"/>
        <v>-1.1714178983831872E-2</v>
      </c>
    </row>
    <row r="387" spans="1:3" ht="13.2" x14ac:dyDescent="0.25">
      <c r="A387" s="6">
        <v>385</v>
      </c>
      <c r="B387" s="7">
        <v>59.110000610351499</v>
      </c>
      <c r="C387" s="3">
        <f t="shared" si="1"/>
        <v>2.3969672303369157E-2</v>
      </c>
    </row>
    <row r="388" spans="1:3" ht="13.2" x14ac:dyDescent="0.25">
      <c r="A388" s="6">
        <v>386</v>
      </c>
      <c r="B388" s="7">
        <v>58.490001678466797</v>
      </c>
      <c r="C388" s="3">
        <f t="shared" si="1"/>
        <v>-1.0544297010387865E-2</v>
      </c>
    </row>
    <row r="389" spans="1:3" ht="13.2" x14ac:dyDescent="0.25">
      <c r="A389" s="6">
        <v>387</v>
      </c>
      <c r="B389" s="7">
        <v>57.7299995422363</v>
      </c>
      <c r="C389" s="3">
        <f t="shared" si="1"/>
        <v>-1.3078867008127652E-2</v>
      </c>
    </row>
    <row r="390" spans="1:3" ht="13.2" x14ac:dyDescent="0.25">
      <c r="A390" s="6">
        <v>388</v>
      </c>
      <c r="B390" s="7">
        <v>57.900001525878899</v>
      </c>
      <c r="C390" s="3">
        <f t="shared" si="1"/>
        <v>2.9404497891915384E-3</v>
      </c>
    </row>
    <row r="391" spans="1:3" ht="13.2" x14ac:dyDescent="0.25">
      <c r="A391" s="6">
        <v>389</v>
      </c>
      <c r="B391" s="7">
        <v>57.659999847412102</v>
      </c>
      <c r="C391" s="3">
        <f t="shared" si="1"/>
        <v>-4.1537213687261893E-3</v>
      </c>
    </row>
    <row r="392" spans="1:3" ht="13.2" x14ac:dyDescent="0.25">
      <c r="A392" s="6">
        <v>390</v>
      </c>
      <c r="B392" s="7">
        <v>58.180000305175703</v>
      </c>
      <c r="C392" s="3">
        <f t="shared" si="1"/>
        <v>8.9779687485096252E-3</v>
      </c>
    </row>
    <row r="393" spans="1:3" ht="13.2" x14ac:dyDescent="0.25">
      <c r="A393" s="6">
        <v>391</v>
      </c>
      <c r="B393" s="7">
        <v>58.209999084472599</v>
      </c>
      <c r="C393" s="3">
        <f t="shared" si="1"/>
        <v>5.1548724320822517E-4</v>
      </c>
    </row>
    <row r="394" spans="1:3" ht="13.2" x14ac:dyDescent="0.25">
      <c r="A394" s="6">
        <v>392</v>
      </c>
      <c r="B394" s="7">
        <v>58.290000915527301</v>
      </c>
      <c r="C394" s="3">
        <f t="shared" si="1"/>
        <v>1.3734222082444918E-3</v>
      </c>
    </row>
    <row r="395" spans="1:3" ht="13.2" x14ac:dyDescent="0.25">
      <c r="A395" s="6">
        <v>393</v>
      </c>
      <c r="B395" s="7">
        <v>58.150001525878899</v>
      </c>
      <c r="C395" s="3">
        <f t="shared" si="1"/>
        <v>-2.4046625588127358E-3</v>
      </c>
    </row>
    <row r="396" spans="1:3" ht="13.2" x14ac:dyDescent="0.25">
      <c r="A396" s="6">
        <v>394</v>
      </c>
      <c r="B396" s="7">
        <v>57.110000610351499</v>
      </c>
      <c r="C396" s="3">
        <f t="shared" si="1"/>
        <v>-1.8046661840999022E-2</v>
      </c>
    </row>
    <row r="397" spans="1:3" ht="13.2" x14ac:dyDescent="0.25">
      <c r="A397" s="6">
        <v>395</v>
      </c>
      <c r="B397" s="7">
        <v>56.9799995422363</v>
      </c>
      <c r="C397" s="3">
        <f t="shared" si="1"/>
        <v>-2.2789223280666733E-3</v>
      </c>
    </row>
    <row r="398" spans="1:3" ht="13.2" x14ac:dyDescent="0.25">
      <c r="A398" s="6">
        <v>396</v>
      </c>
      <c r="B398" s="7">
        <v>55.680000305175703</v>
      </c>
      <c r="C398" s="3">
        <f t="shared" si="1"/>
        <v>-2.3079299528951523E-2</v>
      </c>
    </row>
    <row r="399" spans="1:3" ht="13.2" x14ac:dyDescent="0.25">
      <c r="A399" s="6">
        <v>397</v>
      </c>
      <c r="B399" s="7">
        <v>56.330001831054602</v>
      </c>
      <c r="C399" s="3">
        <f t="shared" si="1"/>
        <v>1.1606263905423695E-2</v>
      </c>
    </row>
    <row r="400" spans="1:3" ht="13.2" x14ac:dyDescent="0.25">
      <c r="A400" s="6">
        <v>398</v>
      </c>
      <c r="B400" s="7">
        <v>58.349998474121001</v>
      </c>
      <c r="C400" s="3">
        <f t="shared" si="1"/>
        <v>3.5232047169637133E-2</v>
      </c>
    </row>
    <row r="401" spans="1:3" ht="13.2" x14ac:dyDescent="0.25">
      <c r="A401" s="6">
        <v>399</v>
      </c>
      <c r="B401" s="7">
        <v>59.959999084472599</v>
      </c>
      <c r="C401" s="3">
        <f t="shared" si="1"/>
        <v>2.7218325383317039E-2</v>
      </c>
    </row>
    <row r="402" spans="1:3" ht="13.2" x14ac:dyDescent="0.25">
      <c r="A402" s="6">
        <v>400</v>
      </c>
      <c r="B402" s="7">
        <v>60.279998779296797</v>
      </c>
      <c r="C402" s="3">
        <f t="shared" si="1"/>
        <v>5.3226955423161543E-3</v>
      </c>
    </row>
    <row r="403" spans="1:3" ht="13.2" x14ac:dyDescent="0.25">
      <c r="A403" s="6">
        <v>401</v>
      </c>
      <c r="B403" s="7">
        <v>62.919998168945298</v>
      </c>
      <c r="C403" s="3">
        <f t="shared" si="1"/>
        <v>4.286369558101847E-2</v>
      </c>
    </row>
    <row r="404" spans="1:3" ht="13.2" x14ac:dyDescent="0.25">
      <c r="A404" s="6">
        <v>402</v>
      </c>
      <c r="B404" s="7">
        <v>64.919998168945298</v>
      </c>
      <c r="C404" s="3">
        <f t="shared" si="1"/>
        <v>3.1291665352841828E-2</v>
      </c>
    </row>
    <row r="405" spans="1:3" ht="13.2" x14ac:dyDescent="0.25">
      <c r="A405" s="6">
        <v>403</v>
      </c>
      <c r="B405" s="7">
        <v>62.900001525878899</v>
      </c>
      <c r="C405" s="3">
        <f t="shared" si="1"/>
        <v>-3.1609526476403534E-2</v>
      </c>
    </row>
    <row r="406" spans="1:3" ht="13.2" x14ac:dyDescent="0.25">
      <c r="A406" s="6">
        <v>404</v>
      </c>
      <c r="B406" s="7">
        <v>64.120002746582003</v>
      </c>
      <c r="C406" s="3">
        <f t="shared" si="1"/>
        <v>1.9210182611178801E-2</v>
      </c>
    </row>
    <row r="407" spans="1:3" ht="13.2" x14ac:dyDescent="0.25">
      <c r="A407" s="6">
        <v>405</v>
      </c>
      <c r="B407" s="7">
        <v>65.230003356933594</v>
      </c>
      <c r="C407" s="3">
        <f t="shared" si="1"/>
        <v>1.7163166694656173E-2</v>
      </c>
    </row>
    <row r="408" spans="1:3" ht="13.2" x14ac:dyDescent="0.25">
      <c r="A408" s="6">
        <v>406</v>
      </c>
      <c r="B408" s="7">
        <v>66.739997863769503</v>
      </c>
      <c r="C408" s="3">
        <f t="shared" si="1"/>
        <v>2.2884904043943562E-2</v>
      </c>
    </row>
    <row r="409" spans="1:3" ht="13.2" x14ac:dyDescent="0.25">
      <c r="A409" s="6">
        <v>407</v>
      </c>
      <c r="B409" s="7">
        <v>65.010002136230398</v>
      </c>
      <c r="C409" s="3">
        <f t="shared" si="1"/>
        <v>-2.6263304238574554E-2</v>
      </c>
    </row>
    <row r="410" spans="1:3" ht="13.2" x14ac:dyDescent="0.25">
      <c r="A410" s="6">
        <v>408</v>
      </c>
      <c r="B410" s="7">
        <v>65.230003356933594</v>
      </c>
      <c r="C410" s="3">
        <f t="shared" si="1"/>
        <v>3.3784001946310241E-3</v>
      </c>
    </row>
    <row r="411" spans="1:3" ht="13.2" x14ac:dyDescent="0.25">
      <c r="A411" s="6">
        <v>409</v>
      </c>
      <c r="B411" s="7">
        <v>65.480003356933594</v>
      </c>
      <c r="C411" s="3">
        <f t="shared" si="1"/>
        <v>3.8252664984457282E-3</v>
      </c>
    </row>
    <row r="412" spans="1:3" ht="13.2" x14ac:dyDescent="0.25">
      <c r="A412" s="6">
        <v>410</v>
      </c>
      <c r="B412" s="7">
        <v>65.449996948242102</v>
      </c>
      <c r="C412" s="3">
        <f t="shared" si="1"/>
        <v>-4.5835804089051517E-4</v>
      </c>
    </row>
    <row r="413" spans="1:3" ht="13.2" x14ac:dyDescent="0.25">
      <c r="A413" s="6">
        <v>411</v>
      </c>
      <c r="B413" s="7">
        <v>65.919998168945298</v>
      </c>
      <c r="C413" s="3">
        <f t="shared" si="1"/>
        <v>7.1554120957028743E-3</v>
      </c>
    </row>
    <row r="414" spans="1:3" ht="13.2" x14ac:dyDescent="0.25">
      <c r="A414" s="6">
        <v>412</v>
      </c>
      <c r="B414" s="7">
        <v>64.529998779296804</v>
      </c>
      <c r="C414" s="3">
        <f t="shared" si="1"/>
        <v>-2.1311644793378028E-2</v>
      </c>
    </row>
    <row r="415" spans="1:3" ht="13.2" x14ac:dyDescent="0.25">
      <c r="A415" s="6">
        <v>413</v>
      </c>
      <c r="B415" s="7">
        <v>64.599998474121094</v>
      </c>
      <c r="C415" s="3">
        <f t="shared" si="1"/>
        <v>1.0841741372236416E-3</v>
      </c>
    </row>
    <row r="416" spans="1:3" ht="13.2" x14ac:dyDescent="0.25">
      <c r="A416" s="6">
        <v>414</v>
      </c>
      <c r="B416" s="7">
        <v>64.930000305175696</v>
      </c>
      <c r="C416" s="3">
        <f t="shared" si="1"/>
        <v>5.09538405232823E-3</v>
      </c>
    </row>
    <row r="417" spans="1:3" ht="13.2" x14ac:dyDescent="0.25">
      <c r="A417" s="6">
        <v>415</v>
      </c>
      <c r="B417" s="7">
        <v>64.970001220703097</v>
      </c>
      <c r="C417" s="3">
        <f t="shared" si="1"/>
        <v>6.1587246069107725E-4</v>
      </c>
    </row>
    <row r="418" spans="1:3" ht="13.2" x14ac:dyDescent="0.25">
      <c r="A418" s="6">
        <v>416</v>
      </c>
      <c r="B418" s="7">
        <v>62.799999237060497</v>
      </c>
      <c r="C418" s="3">
        <f t="shared" si="1"/>
        <v>-3.3970582355724109E-2</v>
      </c>
    </row>
    <row r="419" spans="1:3" ht="13.2" x14ac:dyDescent="0.25">
      <c r="A419" s="6">
        <v>417</v>
      </c>
      <c r="B419" s="7">
        <v>62.430000305175703</v>
      </c>
      <c r="C419" s="3">
        <f t="shared" si="1"/>
        <v>-5.9091273634958369E-3</v>
      </c>
    </row>
    <row r="420" spans="1:3" ht="13.2" x14ac:dyDescent="0.25">
      <c r="A420" s="6">
        <v>418</v>
      </c>
      <c r="B420" s="7">
        <v>61.889999389648402</v>
      </c>
      <c r="C420" s="3">
        <f t="shared" si="1"/>
        <v>-8.6873280725462462E-3</v>
      </c>
    </row>
    <row r="421" spans="1:3" ht="13.2" x14ac:dyDescent="0.25">
      <c r="A421" s="6">
        <v>419</v>
      </c>
      <c r="B421" s="7">
        <v>62.340000152587798</v>
      </c>
      <c r="C421" s="3">
        <f t="shared" si="1"/>
        <v>7.2446708974692534E-3</v>
      </c>
    </row>
    <row r="422" spans="1:3" ht="13.2" x14ac:dyDescent="0.25">
      <c r="A422" s="6">
        <v>420</v>
      </c>
      <c r="B422" s="7">
        <v>63.5</v>
      </c>
      <c r="C422" s="3">
        <f t="shared" si="1"/>
        <v>1.8436629111784082E-2</v>
      </c>
    </row>
    <row r="423" spans="1:3" ht="13.2" x14ac:dyDescent="0.25">
      <c r="A423" s="6">
        <v>421</v>
      </c>
      <c r="B423" s="7">
        <v>62.430000305175703</v>
      </c>
      <c r="C423" s="3">
        <f t="shared" si="1"/>
        <v>-1.6993971936707063E-2</v>
      </c>
    </row>
    <row r="424" spans="1:3" ht="13.2" x14ac:dyDescent="0.25">
      <c r="A424" s="6">
        <v>422</v>
      </c>
      <c r="B424" s="7">
        <v>62.290000915527301</v>
      </c>
      <c r="C424" s="3">
        <f t="shared" si="1"/>
        <v>-2.2450199980633316E-3</v>
      </c>
    </row>
    <row r="425" spans="1:3" ht="13.2" x14ac:dyDescent="0.25">
      <c r="A425" s="6">
        <v>423</v>
      </c>
      <c r="B425" s="7">
        <v>63.279998779296797</v>
      </c>
      <c r="C425" s="3">
        <f t="shared" si="1"/>
        <v>1.576839020501691E-2</v>
      </c>
    </row>
    <row r="426" spans="1:3" ht="13.2" x14ac:dyDescent="0.25">
      <c r="A426" s="6">
        <v>424</v>
      </c>
      <c r="B426" s="7">
        <v>64.360000610351506</v>
      </c>
      <c r="C426" s="3">
        <f t="shared" si="1"/>
        <v>1.69230274386881E-2</v>
      </c>
    </row>
    <row r="427" spans="1:3" ht="13.2" x14ac:dyDescent="0.25">
      <c r="A427" s="6">
        <v>425</v>
      </c>
      <c r="B427" s="7">
        <v>64.730003356933594</v>
      </c>
      <c r="C427" s="3">
        <f t="shared" si="1"/>
        <v>5.7324928103898339E-3</v>
      </c>
    </row>
    <row r="428" spans="1:3" ht="13.2" x14ac:dyDescent="0.25">
      <c r="A428" s="6">
        <v>426</v>
      </c>
      <c r="B428" s="7">
        <v>64.099998474121094</v>
      </c>
      <c r="C428" s="3">
        <f t="shared" si="1"/>
        <v>-9.7804842960095457E-3</v>
      </c>
    </row>
    <row r="429" spans="1:3" ht="13.2" x14ac:dyDescent="0.25">
      <c r="A429" s="6">
        <v>427</v>
      </c>
      <c r="B429" s="7">
        <v>63.5</v>
      </c>
      <c r="C429" s="3">
        <f t="shared" si="1"/>
        <v>-9.4044342233149791E-3</v>
      </c>
    </row>
    <row r="430" spans="1:3" ht="13.2" x14ac:dyDescent="0.25">
      <c r="A430" s="6">
        <v>428</v>
      </c>
      <c r="B430" s="7">
        <v>62.490001678466797</v>
      </c>
      <c r="C430" s="3">
        <f t="shared" si="1"/>
        <v>-1.6033335097889748E-2</v>
      </c>
    </row>
    <row r="431" spans="1:3" ht="13.2" x14ac:dyDescent="0.25">
      <c r="A431" s="6">
        <v>429</v>
      </c>
      <c r="B431" s="7">
        <v>62.860000610351499</v>
      </c>
      <c r="C431" s="3">
        <f t="shared" si="1"/>
        <v>5.9034702783613462E-3</v>
      </c>
    </row>
    <row r="432" spans="1:3" ht="13.2" x14ac:dyDescent="0.25">
      <c r="A432" s="6">
        <v>430</v>
      </c>
      <c r="B432" s="7">
        <v>61.7299995422363</v>
      </c>
      <c r="C432" s="3">
        <f t="shared" si="1"/>
        <v>-1.8140012088892286E-2</v>
      </c>
    </row>
    <row r="433" spans="1:3" ht="13.2" x14ac:dyDescent="0.25">
      <c r="A433" s="6">
        <v>431</v>
      </c>
      <c r="B433" s="7">
        <v>59.409999847412102</v>
      </c>
      <c r="C433" s="3">
        <f t="shared" si="1"/>
        <v>-3.8307469190962763E-2</v>
      </c>
    </row>
    <row r="434" spans="1:3" ht="13.2" x14ac:dyDescent="0.25">
      <c r="A434" s="6">
        <v>432</v>
      </c>
      <c r="B434" s="7">
        <v>61.349998474121001</v>
      </c>
      <c r="C434" s="3">
        <f t="shared" si="1"/>
        <v>3.2132586485954101E-2</v>
      </c>
    </row>
    <row r="435" spans="1:3" ht="13.2" x14ac:dyDescent="0.25">
      <c r="A435" s="6">
        <v>433</v>
      </c>
      <c r="B435" s="7">
        <v>62.790000915527301</v>
      </c>
      <c r="C435" s="3">
        <f t="shared" si="1"/>
        <v>2.3200693421583082E-2</v>
      </c>
    </row>
    <row r="436" spans="1:3" ht="13.2" x14ac:dyDescent="0.25">
      <c r="A436" s="6">
        <v>434</v>
      </c>
      <c r="B436" s="7">
        <v>63.549999237060497</v>
      </c>
      <c r="C436" s="3">
        <f t="shared" si="1"/>
        <v>1.2031145923320708E-2</v>
      </c>
    </row>
    <row r="437" spans="1:3" ht="13.2" x14ac:dyDescent="0.25">
      <c r="A437" s="6">
        <v>435</v>
      </c>
      <c r="B437" s="7">
        <v>61.290000915527301</v>
      </c>
      <c r="C437" s="3">
        <f t="shared" si="1"/>
        <v>-3.6210273194851046E-2</v>
      </c>
    </row>
    <row r="438" spans="1:3" ht="13.2" x14ac:dyDescent="0.25">
      <c r="A438" s="6">
        <v>436</v>
      </c>
      <c r="B438" s="7">
        <v>63.569999694824197</v>
      </c>
      <c r="C438" s="3">
        <f t="shared" si="1"/>
        <v>3.6524943712421647E-2</v>
      </c>
    </row>
    <row r="439" spans="1:3" ht="13.2" x14ac:dyDescent="0.25">
      <c r="A439" s="6">
        <v>437</v>
      </c>
      <c r="B439" s="7">
        <v>61.520000457763601</v>
      </c>
      <c r="C439" s="3">
        <f t="shared" si="1"/>
        <v>-3.2779323509411935E-2</v>
      </c>
    </row>
    <row r="440" spans="1:3" ht="13.2" x14ac:dyDescent="0.25">
      <c r="A440" s="6">
        <v>438</v>
      </c>
      <c r="B440" s="7">
        <v>62.080001831054602</v>
      </c>
      <c r="C440" s="3">
        <f t="shared" si="1"/>
        <v>9.0615727317641375E-3</v>
      </c>
    </row>
    <row r="441" spans="1:3" ht="13.2" x14ac:dyDescent="0.25">
      <c r="A441" s="6">
        <v>439</v>
      </c>
      <c r="B441" s="7">
        <v>62.990001678466797</v>
      </c>
      <c r="C441" s="3">
        <f t="shared" si="1"/>
        <v>1.4552104910353482E-2</v>
      </c>
    </row>
    <row r="442" spans="1:3" ht="13.2" x14ac:dyDescent="0.25">
      <c r="A442" s="6">
        <v>440</v>
      </c>
      <c r="B442" s="7">
        <v>63.720001220703097</v>
      </c>
      <c r="C442" s="3">
        <f t="shared" si="1"/>
        <v>1.1522493918749665E-2</v>
      </c>
    </row>
    <row r="443" spans="1:3" ht="13.2" x14ac:dyDescent="0.25">
      <c r="A443" s="6">
        <v>441</v>
      </c>
      <c r="B443" s="7">
        <v>65.069999694824205</v>
      </c>
      <c r="C443" s="3">
        <f t="shared" si="1"/>
        <v>2.0965104617784464E-2</v>
      </c>
    </row>
    <row r="444" spans="1:3" ht="13.2" x14ac:dyDescent="0.25">
      <c r="A444" s="6">
        <v>442</v>
      </c>
      <c r="B444" s="7">
        <v>64.610000610351506</v>
      </c>
      <c r="C444" s="3">
        <f t="shared" si="1"/>
        <v>-7.0944018001537316E-3</v>
      </c>
    </row>
    <row r="445" spans="1:3" ht="13.2" x14ac:dyDescent="0.25">
      <c r="A445" s="6">
        <v>443</v>
      </c>
      <c r="B445" s="7">
        <v>63.689998626708899</v>
      </c>
      <c r="C445" s="3">
        <f t="shared" si="1"/>
        <v>-1.4341664195618149E-2</v>
      </c>
    </row>
    <row r="446" spans="1:3" ht="13.2" x14ac:dyDescent="0.25">
      <c r="A446" s="6">
        <v>444</v>
      </c>
      <c r="B446" s="7">
        <v>65.050003051757798</v>
      </c>
      <c r="C446" s="3">
        <f t="shared" si="1"/>
        <v>2.112870905138612E-2</v>
      </c>
    </row>
    <row r="447" spans="1:3" ht="13.2" x14ac:dyDescent="0.25">
      <c r="A447" s="6">
        <v>445</v>
      </c>
      <c r="B447" s="7">
        <v>64.069999694824205</v>
      </c>
      <c r="C447" s="3">
        <f t="shared" si="1"/>
        <v>-1.518002098477734E-2</v>
      </c>
    </row>
    <row r="448" spans="1:3" ht="13.2" x14ac:dyDescent="0.25">
      <c r="A448" s="6">
        <v>446</v>
      </c>
      <c r="B448" s="7">
        <v>65.819999694824205</v>
      </c>
      <c r="C448" s="3">
        <f t="shared" si="1"/>
        <v>2.6947507990905131E-2</v>
      </c>
    </row>
    <row r="449" spans="1:3" ht="13.2" x14ac:dyDescent="0.25">
      <c r="A449" s="6">
        <v>447</v>
      </c>
      <c r="B449" s="7">
        <v>65.779998779296804</v>
      </c>
      <c r="C449" s="3">
        <f t="shared" si="1"/>
        <v>-6.0791667512318523E-4</v>
      </c>
    </row>
    <row r="450" spans="1:3" ht="13.2" x14ac:dyDescent="0.25">
      <c r="A450" s="6">
        <v>448</v>
      </c>
      <c r="B450" s="7">
        <v>67.050003051757798</v>
      </c>
      <c r="C450" s="3">
        <f t="shared" si="1"/>
        <v>1.9122833038794293E-2</v>
      </c>
    </row>
    <row r="451" spans="1:3" ht="13.2" x14ac:dyDescent="0.25">
      <c r="A451" s="6">
        <v>449</v>
      </c>
      <c r="B451" s="7">
        <v>66.410003662109304</v>
      </c>
      <c r="C451" s="3">
        <f t="shared" si="1"/>
        <v>-9.5909525457796487E-3</v>
      </c>
    </row>
    <row r="452" spans="1:3" ht="13.2" x14ac:dyDescent="0.25">
      <c r="A452" s="6">
        <v>450</v>
      </c>
      <c r="B452" s="7">
        <v>66.580001831054602</v>
      </c>
      <c r="C452" s="3">
        <f t="shared" si="1"/>
        <v>2.5565569518849508E-3</v>
      </c>
    </row>
    <row r="453" spans="1:3" ht="13.2" x14ac:dyDescent="0.25">
      <c r="A453" s="6">
        <v>451</v>
      </c>
      <c r="B453" s="7">
        <v>66.169998168945298</v>
      </c>
      <c r="C453" s="3">
        <f t="shared" si="1"/>
        <v>-6.1770992964585974E-3</v>
      </c>
    </row>
    <row r="454" spans="1:3" ht="13.2" x14ac:dyDescent="0.25">
      <c r="A454" s="6">
        <v>452</v>
      </c>
      <c r="B454" s="7">
        <v>65.349998474121094</v>
      </c>
      <c r="C454" s="3">
        <f t="shared" si="1"/>
        <v>-1.2469743631093213E-2</v>
      </c>
    </row>
    <row r="455" spans="1:3" ht="13.2" x14ac:dyDescent="0.25">
      <c r="A455" s="6">
        <v>453</v>
      </c>
      <c r="B455" s="7">
        <v>65.169998168945298</v>
      </c>
      <c r="C455" s="3">
        <f t="shared" si="1"/>
        <v>-2.7582044731981532E-3</v>
      </c>
    </row>
    <row r="456" spans="1:3" ht="13.2" x14ac:dyDescent="0.25">
      <c r="A456" s="6">
        <v>454</v>
      </c>
      <c r="B456" s="7">
        <v>64.290000915527301</v>
      </c>
      <c r="C456" s="3">
        <f t="shared" si="1"/>
        <v>-1.3595099853517969E-2</v>
      </c>
    </row>
    <row r="457" spans="1:3" ht="13.2" x14ac:dyDescent="0.25">
      <c r="A457" s="6">
        <v>455</v>
      </c>
      <c r="B457" s="7">
        <v>65.059997558593693</v>
      </c>
      <c r="C457" s="3">
        <f t="shared" si="1"/>
        <v>1.190577112556486E-2</v>
      </c>
    </row>
    <row r="458" spans="1:3" ht="13.2" x14ac:dyDescent="0.25">
      <c r="A458" s="6">
        <v>456</v>
      </c>
      <c r="B458" s="7">
        <v>64</v>
      </c>
      <c r="C458" s="3">
        <f t="shared" si="1"/>
        <v>-1.6426800160074646E-2</v>
      </c>
    </row>
    <row r="459" spans="1:3" ht="13.2" x14ac:dyDescent="0.25">
      <c r="A459" s="6">
        <v>457</v>
      </c>
      <c r="B459" s="7">
        <v>65.25</v>
      </c>
      <c r="C459" s="3">
        <f t="shared" si="1"/>
        <v>1.9342962843130935E-2</v>
      </c>
    </row>
    <row r="460" spans="1:3" ht="13.2" x14ac:dyDescent="0.25">
      <c r="A460" s="6">
        <v>458</v>
      </c>
      <c r="B460" s="7">
        <v>64.330001831054602</v>
      </c>
      <c r="C460" s="3">
        <f t="shared" si="1"/>
        <v>-1.4199932316430805E-2</v>
      </c>
    </row>
    <row r="461" spans="1:3" ht="13.2" x14ac:dyDescent="0.25">
      <c r="A461" s="6">
        <v>459</v>
      </c>
      <c r="B461" s="7">
        <v>63.580001831054602</v>
      </c>
      <c r="C461" s="3">
        <f t="shared" si="1"/>
        <v>-1.1727129604492671E-2</v>
      </c>
    </row>
    <row r="462" spans="1:3" ht="13.2" x14ac:dyDescent="0.25">
      <c r="A462" s="6">
        <v>460</v>
      </c>
      <c r="B462" s="7">
        <v>63.680000305175703</v>
      </c>
      <c r="C462" s="3">
        <f t="shared" si="1"/>
        <v>1.571562046580343E-3</v>
      </c>
    </row>
    <row r="463" spans="1:3" ht="13.2" x14ac:dyDescent="0.25">
      <c r="A463" s="6">
        <v>461</v>
      </c>
      <c r="B463" s="7">
        <v>64.110000610351506</v>
      </c>
      <c r="C463" s="3">
        <f t="shared" si="1"/>
        <v>6.729821191085456E-3</v>
      </c>
    </row>
    <row r="464" spans="1:3" ht="13.2" x14ac:dyDescent="0.25">
      <c r="A464" s="6">
        <v>462</v>
      </c>
      <c r="B464" s="7">
        <v>64.569999694824205</v>
      </c>
      <c r="C464" s="3">
        <f t="shared" si="1"/>
        <v>7.1495343925521938E-3</v>
      </c>
    </row>
    <row r="465" spans="1:3" ht="13.2" x14ac:dyDescent="0.25">
      <c r="A465" s="6">
        <v>463</v>
      </c>
      <c r="B465" s="7">
        <v>64.050003051757798</v>
      </c>
      <c r="C465" s="3">
        <f t="shared" si="1"/>
        <v>-8.0858259228633721E-3</v>
      </c>
    </row>
    <row r="466" spans="1:3" ht="13.2" x14ac:dyDescent="0.25">
      <c r="A466" s="6">
        <v>464</v>
      </c>
      <c r="B466" s="7">
        <v>64.510002136230398</v>
      </c>
      <c r="C466" s="3">
        <f t="shared" si="1"/>
        <v>7.1562076696328669E-3</v>
      </c>
    </row>
    <row r="467" spans="1:3" ht="13.2" x14ac:dyDescent="0.25">
      <c r="A467" s="6">
        <v>465</v>
      </c>
      <c r="B467" s="7">
        <v>64.860000610351506</v>
      </c>
      <c r="C467" s="3">
        <f t="shared" si="1"/>
        <v>5.4108266305965243E-3</v>
      </c>
    </row>
    <row r="468" spans="1:3" ht="13.2" x14ac:dyDescent="0.25">
      <c r="A468" s="6">
        <v>466</v>
      </c>
      <c r="B468" s="7">
        <v>68.269996643066406</v>
      </c>
      <c r="C468" s="3">
        <f t="shared" si="1"/>
        <v>5.1239271969293385E-2</v>
      </c>
    </row>
    <row r="469" spans="1:3" ht="13.2" x14ac:dyDescent="0.25">
      <c r="A469" s="6">
        <v>467</v>
      </c>
      <c r="B469" s="7">
        <v>65.360000610351506</v>
      </c>
      <c r="C469" s="3">
        <f t="shared" si="1"/>
        <v>-4.3559922368705983E-2</v>
      </c>
    </row>
    <row r="470" spans="1:3" ht="13.2" x14ac:dyDescent="0.25">
      <c r="A470" s="6">
        <v>468</v>
      </c>
      <c r="B470" s="7">
        <v>64.339996337890597</v>
      </c>
      <c r="C470" s="3">
        <f t="shared" si="1"/>
        <v>-1.5728994997254199E-2</v>
      </c>
    </row>
    <row r="471" spans="1:3" ht="13.2" x14ac:dyDescent="0.25">
      <c r="A471" s="6">
        <v>469</v>
      </c>
      <c r="B471" s="7">
        <v>65.309997558593693</v>
      </c>
      <c r="C471" s="3">
        <f t="shared" si="1"/>
        <v>1.496366163995407E-2</v>
      </c>
    </row>
    <row r="472" spans="1:3" ht="13.2" x14ac:dyDescent="0.25">
      <c r="A472" s="6">
        <v>470</v>
      </c>
      <c r="B472" s="7">
        <v>67.839996337890597</v>
      </c>
      <c r="C472" s="3">
        <f t="shared" si="1"/>
        <v>3.8006810969330042E-2</v>
      </c>
    </row>
    <row r="473" spans="1:3" ht="13.2" x14ac:dyDescent="0.25">
      <c r="A473" s="6">
        <v>471</v>
      </c>
      <c r="B473" s="7">
        <v>67.809997558593693</v>
      </c>
      <c r="C473" s="3">
        <f t="shared" si="1"/>
        <v>-4.4229680996287792E-4</v>
      </c>
    </row>
    <row r="474" spans="1:3" ht="13.2" x14ac:dyDescent="0.25">
      <c r="A474" s="6">
        <v>472</v>
      </c>
      <c r="B474" s="7">
        <v>67.889999389648395</v>
      </c>
      <c r="C474" s="3">
        <f t="shared" si="1"/>
        <v>1.1790986311358989E-3</v>
      </c>
    </row>
    <row r="475" spans="1:3" ht="13.2" x14ac:dyDescent="0.25">
      <c r="A475" s="6">
        <v>473</v>
      </c>
      <c r="B475" s="7">
        <v>67.5</v>
      </c>
      <c r="C475" s="3">
        <f t="shared" si="1"/>
        <v>-5.7611414447694947E-3</v>
      </c>
    </row>
    <row r="476" spans="1:3" ht="13.2" x14ac:dyDescent="0.25">
      <c r="A476" s="6">
        <v>474</v>
      </c>
      <c r="B476" s="7">
        <v>68.059997558593693</v>
      </c>
      <c r="C476" s="3">
        <f t="shared" si="1"/>
        <v>8.2620353228922017E-3</v>
      </c>
    </row>
    <row r="477" spans="1:3" ht="13.2" x14ac:dyDescent="0.25">
      <c r="A477" s="6">
        <v>475</v>
      </c>
      <c r="B477" s="7">
        <v>67.209999084472599</v>
      </c>
      <c r="C477" s="3">
        <f t="shared" si="1"/>
        <v>-1.2567600841394504E-2</v>
      </c>
    </row>
    <row r="478" spans="1:3" ht="13.2" x14ac:dyDescent="0.25">
      <c r="A478" s="6">
        <v>476</v>
      </c>
      <c r="B478" s="7">
        <v>69.510002136230398</v>
      </c>
      <c r="C478" s="3">
        <f t="shared" si="1"/>
        <v>3.3648625485118197E-2</v>
      </c>
    </row>
    <row r="479" spans="1:3" ht="13.2" x14ac:dyDescent="0.25">
      <c r="A479" s="6">
        <v>477</v>
      </c>
      <c r="B479" s="7">
        <v>75.190002441406193</v>
      </c>
      <c r="C479" s="3">
        <f t="shared" si="1"/>
        <v>7.8547618014660536E-2</v>
      </c>
    </row>
    <row r="480" spans="1:3" ht="13.2" x14ac:dyDescent="0.25">
      <c r="A480" s="6">
        <v>478</v>
      </c>
      <c r="B480" s="7">
        <v>75</v>
      </c>
      <c r="C480" s="3">
        <f t="shared" si="1"/>
        <v>-2.5301623234502226E-3</v>
      </c>
    </row>
    <row r="481" spans="1:3" ht="13.2" x14ac:dyDescent="0.25">
      <c r="A481" s="6">
        <v>479</v>
      </c>
      <c r="B481" s="7">
        <v>73.540000915527301</v>
      </c>
      <c r="C481" s="3">
        <f t="shared" si="1"/>
        <v>-1.9658625213806024E-2</v>
      </c>
    </row>
    <row r="482" spans="1:3" ht="13.2" x14ac:dyDescent="0.25">
      <c r="A482" s="6">
        <v>480</v>
      </c>
      <c r="B482" s="7">
        <v>72.900001525878906</v>
      </c>
      <c r="C482" s="3">
        <f t="shared" si="1"/>
        <v>-8.7408283767686813E-3</v>
      </c>
    </row>
    <row r="483" spans="1:3" ht="13.2" x14ac:dyDescent="0.25">
      <c r="A483" s="6">
        <v>481</v>
      </c>
      <c r="B483" s="7">
        <v>72.580001831054602</v>
      </c>
      <c r="C483" s="3">
        <f t="shared" si="1"/>
        <v>-4.3992329327241881E-3</v>
      </c>
    </row>
    <row r="484" spans="1:3" ht="13.2" x14ac:dyDescent="0.25">
      <c r="A484" s="6">
        <v>482</v>
      </c>
      <c r="B484" s="7">
        <v>73.389999389648395</v>
      </c>
      <c r="C484" s="3">
        <f t="shared" si="1"/>
        <v>1.1098251227409798E-2</v>
      </c>
    </row>
    <row r="485" spans="1:3" ht="13.2" x14ac:dyDescent="0.25">
      <c r="A485" s="6">
        <v>483</v>
      </c>
      <c r="B485" s="7">
        <v>72.120002746582003</v>
      </c>
      <c r="C485" s="3">
        <f t="shared" si="1"/>
        <v>-1.745624182180586E-2</v>
      </c>
    </row>
    <row r="486" spans="1:3" ht="13.2" x14ac:dyDescent="0.25">
      <c r="A486" s="6">
        <v>484</v>
      </c>
      <c r="B486" s="7">
        <v>72.440002441406193</v>
      </c>
      <c r="C486" s="3">
        <f t="shared" si="1"/>
        <v>4.4272302990563395E-3</v>
      </c>
    </row>
    <row r="487" spans="1:3" ht="13.2" x14ac:dyDescent="0.25">
      <c r="A487" s="6">
        <v>485</v>
      </c>
      <c r="B487" s="7">
        <v>69.620002746582003</v>
      </c>
      <c r="C487" s="3">
        <f t="shared" si="1"/>
        <v>-3.9706744883331237E-2</v>
      </c>
    </row>
    <row r="488" spans="1:3" ht="13.2" x14ac:dyDescent="0.25">
      <c r="A488" s="6">
        <v>486</v>
      </c>
      <c r="B488" s="7">
        <v>67.919998168945298</v>
      </c>
      <c r="C488" s="3">
        <f t="shared" si="1"/>
        <v>-2.4721406790240655E-2</v>
      </c>
    </row>
    <row r="489" spans="1:3" ht="13.2" x14ac:dyDescent="0.25">
      <c r="A489" s="6">
        <v>487</v>
      </c>
      <c r="B489" s="7">
        <v>70.709999084472599</v>
      </c>
      <c r="C489" s="3">
        <f t="shared" si="1"/>
        <v>4.0256477624412437E-2</v>
      </c>
    </row>
    <row r="490" spans="1:3" ht="13.2" x14ac:dyDescent="0.25">
      <c r="A490" s="6">
        <v>488</v>
      </c>
      <c r="B490" s="7">
        <v>70.029998779296804</v>
      </c>
      <c r="C490" s="3">
        <f t="shared" si="1"/>
        <v>-9.6632884322328718E-3</v>
      </c>
    </row>
    <row r="491" spans="1:3" ht="13.2" x14ac:dyDescent="0.25">
      <c r="A491" s="6">
        <v>489</v>
      </c>
      <c r="B491" s="7">
        <v>71.440002441406193</v>
      </c>
      <c r="C491" s="3">
        <f t="shared" si="1"/>
        <v>1.9934266506182172E-2</v>
      </c>
    </row>
    <row r="492" spans="1:3" ht="13.2" x14ac:dyDescent="0.25">
      <c r="A492" s="6">
        <v>490</v>
      </c>
      <c r="B492" s="7">
        <v>71.809997558593693</v>
      </c>
      <c r="C492" s="3">
        <f t="shared" si="1"/>
        <v>5.1657373816254735E-3</v>
      </c>
    </row>
    <row r="493" spans="1:3" ht="13.2" x14ac:dyDescent="0.25">
      <c r="A493" s="6">
        <v>491</v>
      </c>
      <c r="B493" s="7">
        <v>71.839996337890597</v>
      </c>
      <c r="C493" s="3">
        <f t="shared" si="1"/>
        <v>4.1766489394521954E-4</v>
      </c>
    </row>
    <row r="494" spans="1:3" ht="13.2" x14ac:dyDescent="0.25">
      <c r="A494" s="6">
        <v>492</v>
      </c>
      <c r="B494" s="7">
        <v>73.510002136230398</v>
      </c>
      <c r="C494" s="3">
        <f t="shared" si="1"/>
        <v>2.2980107428368632E-2</v>
      </c>
    </row>
    <row r="495" spans="1:3" ht="13.2" x14ac:dyDescent="0.25">
      <c r="A495" s="6">
        <v>493</v>
      </c>
      <c r="B495" s="7">
        <v>72.849998474121094</v>
      </c>
      <c r="C495" s="3">
        <f t="shared" si="1"/>
        <v>-9.0189687506770731E-3</v>
      </c>
    </row>
    <row r="496" spans="1:3" ht="13.2" x14ac:dyDescent="0.25">
      <c r="A496" s="6">
        <v>494</v>
      </c>
      <c r="B496" s="7">
        <v>74.940002441406193</v>
      </c>
      <c r="C496" s="3">
        <f t="shared" si="1"/>
        <v>2.8285314247961706E-2</v>
      </c>
    </row>
    <row r="497" spans="1:3" ht="13.2" x14ac:dyDescent="0.25">
      <c r="A497" s="6">
        <v>495</v>
      </c>
      <c r="B497" s="7">
        <v>73.580001831054602</v>
      </c>
      <c r="C497" s="3">
        <f t="shared" si="1"/>
        <v>-1.8314551381836294E-2</v>
      </c>
    </row>
    <row r="498" spans="1:3" ht="13.2" x14ac:dyDescent="0.25">
      <c r="A498" s="6">
        <v>496</v>
      </c>
      <c r="B498" s="7">
        <v>74.010002136230398</v>
      </c>
      <c r="C498" s="3">
        <f t="shared" si="1"/>
        <v>5.826973511602925E-3</v>
      </c>
    </row>
    <row r="499" spans="1:3" ht="13.2" x14ac:dyDescent="0.25">
      <c r="A499" s="6">
        <v>497</v>
      </c>
      <c r="B499" s="7">
        <v>73.819999694824205</v>
      </c>
      <c r="C499" s="3">
        <f t="shared" si="1"/>
        <v>-2.5705546056529844E-3</v>
      </c>
    </row>
    <row r="500" spans="1:3" ht="13.2" x14ac:dyDescent="0.25">
      <c r="A500" s="6">
        <v>498</v>
      </c>
      <c r="B500" s="7">
        <v>74.860000610351506</v>
      </c>
      <c r="C500" s="3">
        <f t="shared" si="1"/>
        <v>1.3990017161722825E-2</v>
      </c>
    </row>
    <row r="501" spans="1:3" ht="13.2" x14ac:dyDescent="0.25">
      <c r="A501" s="6">
        <v>499</v>
      </c>
      <c r="B501" s="7">
        <v>73.760002136230398</v>
      </c>
      <c r="C501" s="3">
        <f t="shared" si="1"/>
        <v>-1.4803102419275479E-2</v>
      </c>
    </row>
    <row r="502" spans="1:3" ht="13.2" x14ac:dyDescent="0.25">
      <c r="A502" s="6">
        <v>500</v>
      </c>
      <c r="B502" s="7">
        <v>72.989997863769503</v>
      </c>
      <c r="C502" s="3">
        <f t="shared" si="1"/>
        <v>-1.0494192014146997E-2</v>
      </c>
    </row>
    <row r="503" spans="1:3" ht="13.2" x14ac:dyDescent="0.25">
      <c r="A503" s="6">
        <v>501</v>
      </c>
      <c r="B503" s="7">
        <v>73.459999084472599</v>
      </c>
      <c r="C503" s="3">
        <f t="shared" si="1"/>
        <v>6.4186117324838022E-3</v>
      </c>
    </row>
    <row r="504" spans="1:3" ht="13.2" x14ac:dyDescent="0.25">
      <c r="A504" s="6">
        <v>502</v>
      </c>
      <c r="B504" s="7">
        <v>70.779998779296804</v>
      </c>
      <c r="C504" s="3">
        <f t="shared" si="1"/>
        <v>-3.716457025770873E-2</v>
      </c>
    </row>
    <row r="505" spans="1:3" ht="13.2" x14ac:dyDescent="0.25">
      <c r="A505" s="6">
        <v>503</v>
      </c>
      <c r="B505" s="7">
        <v>71.190002441406193</v>
      </c>
      <c r="C505" s="3">
        <f t="shared" si="1"/>
        <v>5.775935739136079E-3</v>
      </c>
    </row>
    <row r="506" spans="1:3" ht="13.2" x14ac:dyDescent="0.25">
      <c r="A506" s="6">
        <v>504</v>
      </c>
      <c r="B506" s="7">
        <v>70.720001220703097</v>
      </c>
      <c r="C506" s="3">
        <f t="shared" si="1"/>
        <v>-6.623957819549736E-3</v>
      </c>
    </row>
    <row r="507" spans="1:3" ht="13.2" x14ac:dyDescent="0.25">
      <c r="A507" s="6">
        <v>505</v>
      </c>
      <c r="B507" s="7">
        <v>72.059997558593693</v>
      </c>
      <c r="C507" s="3">
        <f t="shared" si="1"/>
        <v>1.8770635849298011E-2</v>
      </c>
    </row>
    <row r="508" spans="1:3" ht="13.2" x14ac:dyDescent="0.25">
      <c r="A508" s="6">
        <v>506</v>
      </c>
      <c r="B508" s="7">
        <v>70.569999694824205</v>
      </c>
      <c r="C508" s="3">
        <f t="shared" si="1"/>
        <v>-2.0893950751461263E-2</v>
      </c>
    </row>
    <row r="509" spans="1:3" ht="13.2" x14ac:dyDescent="0.25">
      <c r="A509" s="6">
        <v>507</v>
      </c>
      <c r="B509" s="7">
        <v>69.199996948242102</v>
      </c>
      <c r="C509" s="3">
        <f t="shared" si="1"/>
        <v>-1.9604302165222666E-2</v>
      </c>
    </row>
    <row r="510" spans="1:3" ht="13.2" x14ac:dyDescent="0.25">
      <c r="A510" s="6">
        <v>508</v>
      </c>
      <c r="B510" s="7">
        <v>69.25</v>
      </c>
      <c r="C510" s="3">
        <f t="shared" si="1"/>
        <v>7.223265443727252E-4</v>
      </c>
    </row>
    <row r="511" spans="1:3" ht="13.2" x14ac:dyDescent="0.25">
      <c r="A511" s="6">
        <v>509</v>
      </c>
      <c r="B511" s="7">
        <v>70.709999084472599</v>
      </c>
      <c r="C511" s="3">
        <f t="shared" si="1"/>
        <v>2.0863847601064571E-2</v>
      </c>
    </row>
    <row r="512" spans="1:3" ht="13.2" x14ac:dyDescent="0.25">
      <c r="A512" s="6">
        <v>510</v>
      </c>
      <c r="B512" s="7">
        <v>71.839996337890597</v>
      </c>
      <c r="C512" s="3">
        <f t="shared" si="1"/>
        <v>1.5854380349520025E-2</v>
      </c>
    </row>
    <row r="513" spans="1:3" ht="13.2" x14ac:dyDescent="0.25">
      <c r="A513" s="6">
        <v>511</v>
      </c>
      <c r="B513" s="7">
        <v>70.959999084472599</v>
      </c>
      <c r="C513" s="3">
        <f t="shared" ref="C513:C767" si="2">LN(B513/B512)</f>
        <v>-1.2325047918729317E-2</v>
      </c>
    </row>
    <row r="514" spans="1:3" ht="13.2" x14ac:dyDescent="0.25">
      <c r="A514" s="6">
        <v>512</v>
      </c>
      <c r="B514" s="7">
        <v>70.290000915527301</v>
      </c>
      <c r="C514" s="3">
        <f t="shared" si="2"/>
        <v>-9.4867708864885339E-3</v>
      </c>
    </row>
    <row r="515" spans="1:3" ht="13.2" x14ac:dyDescent="0.25">
      <c r="A515" s="6">
        <v>513</v>
      </c>
      <c r="B515" s="7">
        <v>70.580001831054602</v>
      </c>
      <c r="C515" s="3">
        <f t="shared" si="2"/>
        <v>4.1172899772758233E-3</v>
      </c>
    </row>
    <row r="516" spans="1:3" ht="13.2" x14ac:dyDescent="0.25">
      <c r="A516" s="6">
        <v>514</v>
      </c>
      <c r="B516" s="7">
        <v>71.550003051757798</v>
      </c>
      <c r="C516" s="3">
        <f t="shared" si="2"/>
        <v>1.3649704464468953E-2</v>
      </c>
    </row>
    <row r="517" spans="1:3" ht="13.2" x14ac:dyDescent="0.25">
      <c r="A517" s="6">
        <v>515</v>
      </c>
      <c r="B517" s="7">
        <v>70.449996948242102</v>
      </c>
      <c r="C517" s="3">
        <f t="shared" si="2"/>
        <v>-1.5493353627939476E-2</v>
      </c>
    </row>
    <row r="518" spans="1:3" ht="13.2" x14ac:dyDescent="0.25">
      <c r="A518" s="6">
        <v>516</v>
      </c>
      <c r="B518" s="7">
        <v>69.970001220703097</v>
      </c>
      <c r="C518" s="3">
        <f t="shared" si="2"/>
        <v>-6.8365988227223947E-3</v>
      </c>
    </row>
    <row r="519" spans="1:3" ht="13.2" x14ac:dyDescent="0.25">
      <c r="A519" s="6">
        <v>517</v>
      </c>
      <c r="B519" s="7">
        <v>67.209999084472599</v>
      </c>
      <c r="C519" s="3">
        <f t="shared" si="2"/>
        <v>-4.0244563843916011E-2</v>
      </c>
    </row>
    <row r="520" spans="1:3" ht="13.2" x14ac:dyDescent="0.25">
      <c r="A520" s="6">
        <v>518</v>
      </c>
      <c r="B520" s="7">
        <v>66.620002746582003</v>
      </c>
      <c r="C520" s="3">
        <f t="shared" si="2"/>
        <v>-8.8171583668597633E-3</v>
      </c>
    </row>
    <row r="521" spans="1:3" ht="13.2" x14ac:dyDescent="0.25">
      <c r="A521" s="6">
        <v>519</v>
      </c>
      <c r="B521" s="7">
        <v>68.349998474121094</v>
      </c>
      <c r="C521" s="3">
        <f t="shared" si="2"/>
        <v>2.5636666852346095E-2</v>
      </c>
    </row>
    <row r="522" spans="1:3" ht="13.2" x14ac:dyDescent="0.25">
      <c r="A522" s="6">
        <v>520</v>
      </c>
      <c r="B522" s="7">
        <v>68.160003662109304</v>
      </c>
      <c r="C522" s="3">
        <f t="shared" si="2"/>
        <v>-2.7836045962797659E-3</v>
      </c>
    </row>
    <row r="523" spans="1:3" ht="13.2" x14ac:dyDescent="0.25">
      <c r="A523" s="6">
        <v>521</v>
      </c>
      <c r="B523" s="7">
        <v>67.360000610351506</v>
      </c>
      <c r="C523" s="3">
        <f t="shared" si="2"/>
        <v>-1.1806557254079288E-2</v>
      </c>
    </row>
    <row r="524" spans="1:3" ht="13.2" x14ac:dyDescent="0.25">
      <c r="A524" s="6">
        <v>522</v>
      </c>
      <c r="B524" s="7">
        <v>65.239997863769503</v>
      </c>
      <c r="C524" s="3">
        <f t="shared" si="2"/>
        <v>-3.1978633986479453E-2</v>
      </c>
    </row>
    <row r="525" spans="1:3" ht="13.2" x14ac:dyDescent="0.25">
      <c r="A525" s="6">
        <v>523</v>
      </c>
      <c r="B525" s="7">
        <v>64.120002746582003</v>
      </c>
      <c r="C525" s="3">
        <f t="shared" si="2"/>
        <v>-1.7316374432250224E-2</v>
      </c>
    </row>
    <row r="526" spans="1:3" ht="13.2" x14ac:dyDescent="0.25">
      <c r="A526" s="6">
        <v>524</v>
      </c>
      <c r="B526" s="7">
        <v>62.090000152587798</v>
      </c>
      <c r="C526" s="3">
        <f t="shared" si="2"/>
        <v>-3.2171422742051842E-2</v>
      </c>
    </row>
    <row r="527" spans="1:3" ht="13.2" x14ac:dyDescent="0.25">
      <c r="A527" s="6">
        <v>525</v>
      </c>
      <c r="B527" s="7">
        <v>62.599998474121001</v>
      </c>
      <c r="C527" s="3">
        <f t="shared" si="2"/>
        <v>8.1803058966611365E-3</v>
      </c>
    </row>
    <row r="528" spans="1:3" ht="13.2" x14ac:dyDescent="0.25">
      <c r="A528" s="6">
        <v>526</v>
      </c>
      <c r="B528" s="7">
        <v>59.5</v>
      </c>
      <c r="C528" s="3">
        <f t="shared" si="2"/>
        <v>-5.0788941179404579E-2</v>
      </c>
    </row>
    <row r="529" spans="1:3" ht="13.2" x14ac:dyDescent="0.25">
      <c r="A529" s="6">
        <v>527</v>
      </c>
      <c r="B529" s="7">
        <v>58.830001831054602</v>
      </c>
      <c r="C529" s="3">
        <f t="shared" si="2"/>
        <v>-1.1324352550715467E-2</v>
      </c>
    </row>
    <row r="530" spans="1:3" ht="13.2" x14ac:dyDescent="0.25">
      <c r="A530" s="6">
        <v>528</v>
      </c>
      <c r="B530" s="7">
        <v>62.369998931884702</v>
      </c>
      <c r="C530" s="3">
        <f t="shared" si="2"/>
        <v>5.8432413411696631E-2</v>
      </c>
    </row>
    <row r="531" spans="1:3" ht="13.2" x14ac:dyDescent="0.25">
      <c r="A531" s="6">
        <v>529</v>
      </c>
      <c r="B531" s="7">
        <v>60.799999237060497</v>
      </c>
      <c r="C531" s="3">
        <f t="shared" si="2"/>
        <v>-2.5494596988791144E-2</v>
      </c>
    </row>
    <row r="532" spans="1:3" ht="13.2" x14ac:dyDescent="0.25">
      <c r="A532" s="6">
        <v>530</v>
      </c>
      <c r="B532" s="7">
        <v>62.439998626708899</v>
      </c>
      <c r="C532" s="3">
        <f t="shared" si="2"/>
        <v>2.6616297229685264E-2</v>
      </c>
    </row>
    <row r="533" spans="1:3" ht="13.2" x14ac:dyDescent="0.25">
      <c r="A533" s="6">
        <v>531</v>
      </c>
      <c r="B533" s="7">
        <v>61.2299995422363</v>
      </c>
      <c r="C533" s="3">
        <f t="shared" si="2"/>
        <v>-1.9568815639730643E-2</v>
      </c>
    </row>
    <row r="534" spans="1:3" ht="13.2" x14ac:dyDescent="0.25">
      <c r="A534" s="6">
        <v>532</v>
      </c>
      <c r="B534" s="7">
        <v>60.4799995422363</v>
      </c>
      <c r="C534" s="3">
        <f t="shared" si="2"/>
        <v>-1.2324533711295601E-2</v>
      </c>
    </row>
    <row r="535" spans="1:3" ht="13.2" x14ac:dyDescent="0.25">
      <c r="A535" s="6">
        <v>533</v>
      </c>
      <c r="B535" s="7">
        <v>61.290000915527301</v>
      </c>
      <c r="C535" s="3">
        <f t="shared" si="2"/>
        <v>1.3303988132836215E-2</v>
      </c>
    </row>
    <row r="536" spans="1:3" ht="13.2" x14ac:dyDescent="0.25">
      <c r="A536" s="6">
        <v>534</v>
      </c>
      <c r="B536" s="7">
        <v>60.819999694824197</v>
      </c>
      <c r="C536" s="3">
        <f t="shared" si="2"/>
        <v>-7.6980352037393169E-3</v>
      </c>
    </row>
    <row r="537" spans="1:3" ht="13.2" x14ac:dyDescent="0.25">
      <c r="A537" s="6">
        <v>535</v>
      </c>
      <c r="B537" s="7">
        <v>60.349998474121001</v>
      </c>
      <c r="C537" s="3">
        <f t="shared" si="2"/>
        <v>-7.7577549718177048E-3</v>
      </c>
    </row>
    <row r="538" spans="1:3" ht="13.2" x14ac:dyDescent="0.25">
      <c r="A538" s="6">
        <v>536</v>
      </c>
      <c r="B538" s="7">
        <v>59.939998626708899</v>
      </c>
      <c r="C538" s="3">
        <f t="shared" si="2"/>
        <v>-6.8168832822917119E-3</v>
      </c>
    </row>
    <row r="539" spans="1:3" ht="13.2" x14ac:dyDescent="0.25">
      <c r="A539" s="6">
        <v>537</v>
      </c>
      <c r="B539" s="7">
        <v>58.840000152587798</v>
      </c>
      <c r="C539" s="3">
        <f t="shared" si="2"/>
        <v>-1.8522140650917566E-2</v>
      </c>
    </row>
    <row r="540" spans="1:3" ht="13.2" x14ac:dyDescent="0.25">
      <c r="A540" s="6">
        <v>538</v>
      </c>
      <c r="B540" s="7">
        <v>59.909999847412102</v>
      </c>
      <c r="C540" s="3">
        <f t="shared" si="2"/>
        <v>1.802153522237817E-2</v>
      </c>
    </row>
    <row r="541" spans="1:3" ht="13.2" x14ac:dyDescent="0.25">
      <c r="A541" s="6">
        <v>539</v>
      </c>
      <c r="B541" s="7">
        <v>59.840000152587798</v>
      </c>
      <c r="C541" s="3">
        <f t="shared" si="2"/>
        <v>-1.1690973327298708E-3</v>
      </c>
    </row>
    <row r="542" spans="1:3" ht="13.2" x14ac:dyDescent="0.25">
      <c r="A542" s="6">
        <v>540</v>
      </c>
      <c r="B542" s="7">
        <v>58.110000610351499</v>
      </c>
      <c r="C542" s="3">
        <f t="shared" si="2"/>
        <v>-2.9336559625755911E-2</v>
      </c>
    </row>
    <row r="543" spans="1:3" ht="13.2" x14ac:dyDescent="0.25">
      <c r="A543" s="6">
        <v>541</v>
      </c>
      <c r="B543" s="7">
        <v>61.330001831054602</v>
      </c>
      <c r="C543" s="3">
        <f t="shared" si="2"/>
        <v>5.3931372903269971E-2</v>
      </c>
    </row>
    <row r="544" spans="1:3" ht="13.2" x14ac:dyDescent="0.25">
      <c r="A544" s="6">
        <v>542</v>
      </c>
      <c r="B544" s="7">
        <v>58.799999237060497</v>
      </c>
      <c r="C544" s="3">
        <f t="shared" si="2"/>
        <v>-4.2127307564246125E-2</v>
      </c>
    </row>
    <row r="545" spans="1:3" ht="13.2" x14ac:dyDescent="0.25">
      <c r="A545" s="6">
        <v>543</v>
      </c>
      <c r="B545" s="7">
        <v>59.459999084472599</v>
      </c>
      <c r="C545" s="3">
        <f t="shared" si="2"/>
        <v>1.1161960243165729E-2</v>
      </c>
    </row>
    <row r="546" spans="1:3" ht="13.2" x14ac:dyDescent="0.25">
      <c r="A546" s="6">
        <v>544</v>
      </c>
      <c r="B546" s="7">
        <v>61.810001373291001</v>
      </c>
      <c r="C546" s="3">
        <f t="shared" si="2"/>
        <v>3.87613837165387E-2</v>
      </c>
    </row>
    <row r="547" spans="1:3" ht="13.2" x14ac:dyDescent="0.25">
      <c r="A547" s="6">
        <v>545</v>
      </c>
      <c r="B547" s="7">
        <v>61.25</v>
      </c>
      <c r="C547" s="3">
        <f t="shared" si="2"/>
        <v>-9.1013364642874434E-3</v>
      </c>
    </row>
    <row r="548" spans="1:3" ht="13.2" x14ac:dyDescent="0.25">
      <c r="A548" s="6">
        <v>546</v>
      </c>
      <c r="B548" s="7">
        <v>61.619998931884702</v>
      </c>
      <c r="C548" s="3">
        <f t="shared" si="2"/>
        <v>6.0226264097791018E-3</v>
      </c>
    </row>
    <row r="549" spans="1:3" ht="13.2" x14ac:dyDescent="0.25">
      <c r="A549" s="6">
        <v>547</v>
      </c>
      <c r="B549" s="7">
        <v>63.259998321533203</v>
      </c>
      <c r="C549" s="3">
        <f t="shared" si="2"/>
        <v>2.6266715510057246E-2</v>
      </c>
    </row>
    <row r="550" spans="1:3" ht="13.2" x14ac:dyDescent="0.25">
      <c r="A550" s="6">
        <v>548</v>
      </c>
      <c r="B550" s="7">
        <v>62.049999237060497</v>
      </c>
      <c r="C550" s="3">
        <f t="shared" si="2"/>
        <v>-1.9312691989616878E-2</v>
      </c>
    </row>
    <row r="551" spans="1:3" ht="13.2" x14ac:dyDescent="0.25">
      <c r="A551" s="6">
        <v>549</v>
      </c>
      <c r="B551" s="7">
        <v>62.299999237060497</v>
      </c>
      <c r="C551" s="3">
        <f t="shared" si="2"/>
        <v>4.0209141921312853E-3</v>
      </c>
    </row>
    <row r="552" spans="1:3" ht="13.2" x14ac:dyDescent="0.25">
      <c r="A552" s="6">
        <v>550</v>
      </c>
      <c r="B552" s="7">
        <v>63.180000305175703</v>
      </c>
      <c r="C552" s="3">
        <f t="shared" si="2"/>
        <v>1.4026386657009804E-2</v>
      </c>
    </row>
    <row r="553" spans="1:3" ht="13.2" x14ac:dyDescent="0.25">
      <c r="A553" s="6">
        <v>551</v>
      </c>
      <c r="B553" s="7">
        <v>66.190002441406193</v>
      </c>
      <c r="C553" s="3">
        <f t="shared" si="2"/>
        <v>4.654163081145303E-2</v>
      </c>
    </row>
    <row r="554" spans="1:3" ht="13.2" x14ac:dyDescent="0.25">
      <c r="A554" s="6">
        <v>552</v>
      </c>
      <c r="B554" s="7">
        <v>64.739997863769503</v>
      </c>
      <c r="C554" s="3">
        <f t="shared" si="2"/>
        <v>-2.2150215514625208E-2</v>
      </c>
    </row>
    <row r="555" spans="1:3" ht="13.2" x14ac:dyDescent="0.25">
      <c r="A555" s="6">
        <v>553</v>
      </c>
      <c r="B555" s="7">
        <v>65.190002441406193</v>
      </c>
      <c r="C555" s="3">
        <f t="shared" si="2"/>
        <v>6.926904886046535E-3</v>
      </c>
    </row>
    <row r="556" spans="1:3" ht="13.2" x14ac:dyDescent="0.25">
      <c r="A556" s="6">
        <v>554</v>
      </c>
      <c r="B556" s="7">
        <v>62.569999694824197</v>
      </c>
      <c r="C556" s="3">
        <f t="shared" si="2"/>
        <v>-4.1020195254149593E-2</v>
      </c>
    </row>
    <row r="557" spans="1:3" ht="13.2" x14ac:dyDescent="0.25">
      <c r="A557" s="6">
        <v>555</v>
      </c>
      <c r="B557" s="7">
        <v>62.450000762939403</v>
      </c>
      <c r="C557" s="3">
        <f t="shared" si="2"/>
        <v>-1.9196763445314376E-3</v>
      </c>
    </row>
    <row r="558" spans="1:3" ht="13.2" x14ac:dyDescent="0.25">
      <c r="A558" s="6">
        <v>556</v>
      </c>
      <c r="B558" s="7">
        <v>61.200000762939403</v>
      </c>
      <c r="C558" s="3">
        <f t="shared" si="2"/>
        <v>-2.0219046803780068E-2</v>
      </c>
    </row>
    <row r="559" spans="1:3" ht="13.2" x14ac:dyDescent="0.25">
      <c r="A559" s="6">
        <v>557</v>
      </c>
      <c r="B559" s="7">
        <v>60.599998474121001</v>
      </c>
      <c r="C559" s="3">
        <f t="shared" si="2"/>
        <v>-9.8523340888633862E-3</v>
      </c>
    </row>
    <row r="560" spans="1:3" ht="13.2" x14ac:dyDescent="0.25">
      <c r="A560" s="6">
        <v>558</v>
      </c>
      <c r="B560" s="7">
        <v>61.159999847412102</v>
      </c>
      <c r="C560" s="3">
        <f t="shared" si="2"/>
        <v>9.1985106702176123E-3</v>
      </c>
    </row>
    <row r="561" spans="1:3" ht="13.2" x14ac:dyDescent="0.25">
      <c r="A561" s="6">
        <v>559</v>
      </c>
      <c r="B561" s="7">
        <v>63.790000915527301</v>
      </c>
      <c r="C561" s="3">
        <f t="shared" si="2"/>
        <v>4.2103074040106457E-2</v>
      </c>
    </row>
    <row r="562" spans="1:3" ht="13.2" x14ac:dyDescent="0.25">
      <c r="A562" s="6">
        <v>560</v>
      </c>
      <c r="B562" s="7">
        <v>64.080001831054602</v>
      </c>
      <c r="C562" s="3">
        <f t="shared" si="2"/>
        <v>4.5358787285421955E-3</v>
      </c>
    </row>
    <row r="563" spans="1:3" ht="13.2" x14ac:dyDescent="0.25">
      <c r="A563" s="6">
        <v>561</v>
      </c>
      <c r="B563" s="7">
        <v>63.959999084472599</v>
      </c>
      <c r="C563" s="3">
        <f t="shared" si="2"/>
        <v>-1.8744576829219509E-3</v>
      </c>
    </row>
    <row r="564" spans="1:3" ht="13.2" x14ac:dyDescent="0.25">
      <c r="A564" s="6">
        <v>562</v>
      </c>
      <c r="B564" s="7">
        <v>65.239997863769503</v>
      </c>
      <c r="C564" s="3">
        <f t="shared" si="2"/>
        <v>1.9814871356938216E-2</v>
      </c>
    </row>
    <row r="565" spans="1:3" ht="13.2" x14ac:dyDescent="0.25">
      <c r="A565" s="6">
        <v>563</v>
      </c>
      <c r="B565" s="7">
        <v>62.939998626708899</v>
      </c>
      <c r="C565" s="3">
        <f t="shared" si="2"/>
        <v>-3.589087519142057E-2</v>
      </c>
    </row>
    <row r="566" spans="1:3" ht="13.2" x14ac:dyDescent="0.25">
      <c r="A566" s="6">
        <v>564</v>
      </c>
      <c r="B566" s="7">
        <v>61.310001373291001</v>
      </c>
      <c r="C566" s="3">
        <f t="shared" si="2"/>
        <v>-2.6238885643477251E-2</v>
      </c>
    </row>
    <row r="567" spans="1:3" ht="13.2" x14ac:dyDescent="0.25">
      <c r="A567" s="6">
        <v>565</v>
      </c>
      <c r="B567" s="7">
        <v>62.740001678466797</v>
      </c>
      <c r="C567" s="3">
        <f t="shared" si="2"/>
        <v>2.3056245341538183E-2</v>
      </c>
    </row>
    <row r="568" spans="1:3" ht="13.2" x14ac:dyDescent="0.25">
      <c r="A568" s="6">
        <v>566</v>
      </c>
      <c r="B568" s="7">
        <v>60.580001831054602</v>
      </c>
      <c r="C568" s="3">
        <f t="shared" si="2"/>
        <v>-3.5034393690781297E-2</v>
      </c>
    </row>
    <row r="569" spans="1:3" ht="13.2" x14ac:dyDescent="0.25">
      <c r="A569" s="6">
        <v>567</v>
      </c>
      <c r="B569" s="7">
        <v>58.819999694824197</v>
      </c>
      <c r="C569" s="3">
        <f t="shared" si="2"/>
        <v>-2.948290788693958E-2</v>
      </c>
    </row>
    <row r="570" spans="1:3" ht="13.2" x14ac:dyDescent="0.25">
      <c r="A570" s="6">
        <v>568</v>
      </c>
      <c r="B570" s="7">
        <v>57.580001831054602</v>
      </c>
      <c r="C570" s="3">
        <f t="shared" si="2"/>
        <v>-2.1306610953335577E-2</v>
      </c>
    </row>
    <row r="571" spans="1:3" ht="13.2" x14ac:dyDescent="0.25">
      <c r="A571" s="6">
        <v>569</v>
      </c>
      <c r="B571" s="7">
        <v>57.009998321533203</v>
      </c>
      <c r="C571" s="3">
        <f t="shared" si="2"/>
        <v>-9.948655382344105E-3</v>
      </c>
    </row>
    <row r="572" spans="1:3" ht="13.2" x14ac:dyDescent="0.25">
      <c r="A572" s="6">
        <v>570</v>
      </c>
      <c r="B572" s="7">
        <v>56.599998474121001</v>
      </c>
      <c r="C572" s="3">
        <f t="shared" si="2"/>
        <v>-7.217703351725383E-3</v>
      </c>
    </row>
    <row r="573" spans="1:3" ht="13.2" x14ac:dyDescent="0.25">
      <c r="A573" s="6">
        <v>571</v>
      </c>
      <c r="B573" s="7">
        <v>56.880001068115199</v>
      </c>
      <c r="C573" s="3">
        <f t="shared" si="2"/>
        <v>4.9348460232379269E-3</v>
      </c>
    </row>
    <row r="574" spans="1:3" ht="13.2" x14ac:dyDescent="0.25">
      <c r="A574" s="6">
        <v>572</v>
      </c>
      <c r="B574" s="7">
        <v>57.689998626708899</v>
      </c>
      <c r="C574" s="3">
        <f t="shared" si="2"/>
        <v>1.4140020190751236E-2</v>
      </c>
    </row>
    <row r="575" spans="1:3" ht="13.2" x14ac:dyDescent="0.25">
      <c r="A575" s="6">
        <v>573</v>
      </c>
      <c r="B575" s="7">
        <v>58.520000457763601</v>
      </c>
      <c r="C575" s="3">
        <f t="shared" si="2"/>
        <v>1.4284759510134784E-2</v>
      </c>
    </row>
    <row r="576" spans="1:3" ht="13.2" x14ac:dyDescent="0.25">
      <c r="A576" s="6">
        <v>574</v>
      </c>
      <c r="B576" s="7">
        <v>59.020000457763601</v>
      </c>
      <c r="C576" s="3">
        <f t="shared" si="2"/>
        <v>8.5077932966012883E-3</v>
      </c>
    </row>
    <row r="577" spans="1:3" ht="13.2" x14ac:dyDescent="0.25">
      <c r="A577" s="6">
        <v>575</v>
      </c>
      <c r="B577" s="7">
        <v>55.790000915527301</v>
      </c>
      <c r="C577" s="3">
        <f t="shared" si="2"/>
        <v>-5.6281719003192253E-2</v>
      </c>
    </row>
    <row r="578" spans="1:3" ht="13.2" x14ac:dyDescent="0.25">
      <c r="A578" s="6">
        <v>576</v>
      </c>
      <c r="B578" s="7">
        <v>55.970001220703097</v>
      </c>
      <c r="C578" s="3">
        <f t="shared" si="2"/>
        <v>3.221196445544514E-3</v>
      </c>
    </row>
    <row r="579" spans="1:3" ht="13.2" x14ac:dyDescent="0.25">
      <c r="A579" s="6">
        <v>577</v>
      </c>
      <c r="B579" s="7">
        <v>56.040000915527301</v>
      </c>
      <c r="C579" s="3">
        <f t="shared" si="2"/>
        <v>1.2498830926171132E-3</v>
      </c>
    </row>
    <row r="580" spans="1:3" ht="13.2" x14ac:dyDescent="0.25">
      <c r="A580" s="6">
        <v>578</v>
      </c>
      <c r="B580" s="7">
        <v>56.490001678466797</v>
      </c>
      <c r="C580" s="3">
        <f t="shared" si="2"/>
        <v>7.9979232439674666E-3</v>
      </c>
    </row>
    <row r="581" spans="1:3" ht="13.2" x14ac:dyDescent="0.25">
      <c r="A581" s="6">
        <v>579</v>
      </c>
      <c r="B581" s="7">
        <v>55.689998626708899</v>
      </c>
      <c r="C581" s="3">
        <f t="shared" si="2"/>
        <v>-1.426308810779283E-2</v>
      </c>
    </row>
    <row r="582" spans="1:3" ht="13.2" x14ac:dyDescent="0.25">
      <c r="A582" s="6">
        <v>580</v>
      </c>
      <c r="B582" s="7">
        <v>57.689998626708899</v>
      </c>
      <c r="C582" s="3">
        <f t="shared" si="2"/>
        <v>3.5283251522119939E-2</v>
      </c>
    </row>
    <row r="583" spans="1:3" ht="13.2" x14ac:dyDescent="0.25">
      <c r="A583" s="6">
        <v>581</v>
      </c>
      <c r="B583" s="7">
        <v>56.029998779296797</v>
      </c>
      <c r="C583" s="3">
        <f t="shared" si="2"/>
        <v>-2.9196584673540367E-2</v>
      </c>
    </row>
    <row r="584" spans="1:3" ht="13.2" x14ac:dyDescent="0.25">
      <c r="A584" s="6">
        <v>582</v>
      </c>
      <c r="B584" s="7">
        <v>57</v>
      </c>
      <c r="C584" s="3">
        <f t="shared" si="2"/>
        <v>1.7164028043957384E-2</v>
      </c>
    </row>
    <row r="585" spans="1:3" ht="13.2" x14ac:dyDescent="0.25">
      <c r="A585" s="6">
        <v>583</v>
      </c>
      <c r="B585" s="7">
        <v>59.110000610351499</v>
      </c>
      <c r="C585" s="3">
        <f t="shared" si="2"/>
        <v>3.63488573274173E-2</v>
      </c>
    </row>
    <row r="586" spans="1:3" ht="13.2" x14ac:dyDescent="0.25">
      <c r="A586" s="6">
        <v>584</v>
      </c>
      <c r="B586" s="7">
        <v>57.619998931884702</v>
      </c>
      <c r="C586" s="3">
        <f t="shared" si="2"/>
        <v>-2.5530414042817057E-2</v>
      </c>
    </row>
    <row r="587" spans="1:3" ht="13.2" x14ac:dyDescent="0.25">
      <c r="A587" s="6">
        <v>585</v>
      </c>
      <c r="B587" s="7">
        <v>59.049999237060497</v>
      </c>
      <c r="C587" s="3">
        <f t="shared" si="2"/>
        <v>2.4514818603992163E-2</v>
      </c>
    </row>
    <row r="588" spans="1:3" ht="13.2" x14ac:dyDescent="0.25">
      <c r="A588" s="6">
        <v>586</v>
      </c>
      <c r="B588" s="7">
        <v>59.520000457763601</v>
      </c>
      <c r="C588" s="3">
        <f t="shared" si="2"/>
        <v>7.9278684926146585E-3</v>
      </c>
    </row>
    <row r="589" spans="1:3" ht="13.2" x14ac:dyDescent="0.25">
      <c r="A589" s="6">
        <v>587</v>
      </c>
      <c r="B589" s="7">
        <v>63.650001525878899</v>
      </c>
      <c r="C589" s="3">
        <f t="shared" si="2"/>
        <v>6.7086950760618047E-2</v>
      </c>
    </row>
    <row r="590" spans="1:3" ht="13.2" x14ac:dyDescent="0.25">
      <c r="A590" s="6">
        <v>588</v>
      </c>
      <c r="B590" s="7">
        <v>62.740001678466797</v>
      </c>
      <c r="C590" s="3">
        <f t="shared" si="2"/>
        <v>-1.4400119461105242E-2</v>
      </c>
    </row>
    <row r="591" spans="1:3" ht="13.2" x14ac:dyDescent="0.25">
      <c r="A591" s="6">
        <v>589</v>
      </c>
      <c r="B591" s="7">
        <v>61.270000457763601</v>
      </c>
      <c r="C591" s="3">
        <f t="shared" si="2"/>
        <v>-2.3708895306454932E-2</v>
      </c>
    </row>
    <row r="592" spans="1:3" ht="13.2" x14ac:dyDescent="0.25">
      <c r="A592" s="6">
        <v>590</v>
      </c>
      <c r="B592" s="7">
        <v>62.490001678466797</v>
      </c>
      <c r="C592" s="3">
        <f t="shared" si="2"/>
        <v>1.9716236591941345E-2</v>
      </c>
    </row>
    <row r="593" spans="1:3" ht="13.2" x14ac:dyDescent="0.25">
      <c r="A593" s="6">
        <v>591</v>
      </c>
      <c r="B593" s="7">
        <v>62.369998931884702</v>
      </c>
      <c r="C593" s="3">
        <f t="shared" si="2"/>
        <v>-1.9221973881909443E-3</v>
      </c>
    </row>
    <row r="594" spans="1:3" ht="13.2" x14ac:dyDescent="0.25">
      <c r="A594" s="6">
        <v>592</v>
      </c>
      <c r="B594" s="7">
        <v>62.959999084472599</v>
      </c>
      <c r="C594" s="3">
        <f t="shared" si="2"/>
        <v>9.4152161551687742E-3</v>
      </c>
    </row>
    <row r="595" spans="1:3" ht="13.2" x14ac:dyDescent="0.25">
      <c r="A595" s="6">
        <v>593</v>
      </c>
      <c r="B595" s="7">
        <v>67.099998474121094</v>
      </c>
      <c r="C595" s="3">
        <f t="shared" si="2"/>
        <v>6.36844316695305E-2</v>
      </c>
    </row>
    <row r="596" spans="1:3" ht="13.2" x14ac:dyDescent="0.25">
      <c r="A596" s="6">
        <v>594</v>
      </c>
      <c r="B596" s="7">
        <v>66.690002441406193</v>
      </c>
      <c r="C596" s="3">
        <f t="shared" si="2"/>
        <v>-6.1289679847703832E-3</v>
      </c>
    </row>
    <row r="597" spans="1:3" ht="13.2" x14ac:dyDescent="0.25">
      <c r="A597" s="6">
        <v>595</v>
      </c>
      <c r="B597" s="7">
        <v>66.110000610351506</v>
      </c>
      <c r="C597" s="3">
        <f t="shared" si="2"/>
        <v>-8.7350226746446529E-3</v>
      </c>
    </row>
    <row r="598" spans="1:3" ht="13.2" x14ac:dyDescent="0.25">
      <c r="A598" s="6">
        <v>596</v>
      </c>
      <c r="B598" s="7">
        <v>63.810001373291001</v>
      </c>
      <c r="C598" s="3">
        <f t="shared" si="2"/>
        <v>-3.5410091176030167E-2</v>
      </c>
    </row>
    <row r="599" spans="1:3" ht="13.2" x14ac:dyDescent="0.25">
      <c r="A599" s="6">
        <v>597</v>
      </c>
      <c r="B599" s="7">
        <v>61.560001373291001</v>
      </c>
      <c r="C599" s="3">
        <f t="shared" si="2"/>
        <v>-3.5897608122970194E-2</v>
      </c>
    </row>
    <row r="600" spans="1:3" ht="13.2" x14ac:dyDescent="0.25">
      <c r="A600" s="6">
        <v>598</v>
      </c>
      <c r="B600" s="7">
        <v>64.690002441406193</v>
      </c>
      <c r="C600" s="3">
        <f t="shared" si="2"/>
        <v>4.9594336517130667E-2</v>
      </c>
    </row>
    <row r="601" spans="1:3" ht="13.2" x14ac:dyDescent="0.25">
      <c r="A601" s="6">
        <v>599</v>
      </c>
      <c r="B601" s="7">
        <v>64.169998168945298</v>
      </c>
      <c r="C601" s="3">
        <f t="shared" si="2"/>
        <v>-8.0708845679913592E-3</v>
      </c>
    </row>
    <row r="602" spans="1:3" ht="13.2" x14ac:dyDescent="0.25">
      <c r="A602" s="6">
        <v>600</v>
      </c>
      <c r="B602" s="7">
        <v>63</v>
      </c>
      <c r="C602" s="3">
        <f t="shared" si="2"/>
        <v>-1.840105683645573E-2</v>
      </c>
    </row>
    <row r="603" spans="1:3" ht="13.2" x14ac:dyDescent="0.25">
      <c r="A603" s="6">
        <v>601</v>
      </c>
      <c r="B603" s="7">
        <v>63.459999084472599</v>
      </c>
      <c r="C603" s="3">
        <f t="shared" si="2"/>
        <v>7.2750453366746126E-3</v>
      </c>
    </row>
    <row r="604" spans="1:3" ht="13.2" x14ac:dyDescent="0.25">
      <c r="A604" s="6">
        <v>602</v>
      </c>
      <c r="B604" s="7">
        <v>64.930000305175696</v>
      </c>
      <c r="C604" s="3">
        <f t="shared" si="2"/>
        <v>2.2899999492260511E-2</v>
      </c>
    </row>
    <row r="605" spans="1:3" ht="13.2" x14ac:dyDescent="0.25">
      <c r="A605" s="6">
        <v>603</v>
      </c>
      <c r="B605" s="7">
        <v>69.620002746582003</v>
      </c>
      <c r="C605" s="3">
        <f t="shared" si="2"/>
        <v>6.9742150613872927E-2</v>
      </c>
    </row>
    <row r="606" spans="1:3" ht="13.2" x14ac:dyDescent="0.25">
      <c r="A606" s="6">
        <v>604</v>
      </c>
      <c r="B606" s="7">
        <v>70.080001831054602</v>
      </c>
      <c r="C606" s="3">
        <f t="shared" si="2"/>
        <v>6.5855509218573144E-3</v>
      </c>
    </row>
    <row r="607" spans="1:3" ht="13.2" x14ac:dyDescent="0.25">
      <c r="A607" s="6">
        <v>605</v>
      </c>
      <c r="B607" s="7">
        <v>75.360000610351506</v>
      </c>
      <c r="C607" s="3">
        <f t="shared" si="2"/>
        <v>7.2639165611053949E-2</v>
      </c>
    </row>
    <row r="608" spans="1:3" ht="13.2" x14ac:dyDescent="0.25">
      <c r="A608" s="6">
        <v>606</v>
      </c>
      <c r="B608" s="7">
        <v>75.080001831054602</v>
      </c>
      <c r="C608" s="3">
        <f t="shared" si="2"/>
        <v>-3.7224022608965844E-3</v>
      </c>
    </row>
    <row r="609" spans="1:3" ht="13.2" x14ac:dyDescent="0.25">
      <c r="A609" s="6">
        <v>607</v>
      </c>
      <c r="B609" s="7">
        <v>73.709999084472599</v>
      </c>
      <c r="C609" s="3">
        <f t="shared" si="2"/>
        <v>-1.841577332582537E-2</v>
      </c>
    </row>
    <row r="610" spans="1:3" ht="13.2" x14ac:dyDescent="0.25">
      <c r="A610" s="6">
        <v>608</v>
      </c>
      <c r="B610" s="7">
        <v>75.610000610351506</v>
      </c>
      <c r="C610" s="3">
        <f t="shared" si="2"/>
        <v>2.5450094862013446E-2</v>
      </c>
    </row>
    <row r="611" spans="1:3" ht="13.2" x14ac:dyDescent="0.25">
      <c r="A611" s="6">
        <v>609</v>
      </c>
      <c r="B611" s="7">
        <v>75.769996643066406</v>
      </c>
      <c r="C611" s="3">
        <f t="shared" si="2"/>
        <v>2.1138339964800676E-3</v>
      </c>
    </row>
    <row r="612" spans="1:3" ht="13.2" x14ac:dyDescent="0.25">
      <c r="A612" s="6">
        <v>610</v>
      </c>
      <c r="B612" s="7">
        <v>75.809997558593693</v>
      </c>
      <c r="C612" s="3">
        <f t="shared" si="2"/>
        <v>5.2778622491057793E-4</v>
      </c>
    </row>
    <row r="613" spans="1:3" ht="13.2" x14ac:dyDescent="0.25">
      <c r="A613" s="6">
        <v>611</v>
      </c>
      <c r="B613" s="7">
        <v>74.290000915527301</v>
      </c>
      <c r="C613" s="3">
        <f t="shared" si="2"/>
        <v>-2.0253812376524412E-2</v>
      </c>
    </row>
    <row r="614" spans="1:3" ht="13.2" x14ac:dyDescent="0.25">
      <c r="A614" s="6">
        <v>612</v>
      </c>
      <c r="B614" s="7">
        <v>73.529998779296804</v>
      </c>
      <c r="C614" s="3">
        <f t="shared" si="2"/>
        <v>-1.0282895880709656E-2</v>
      </c>
    </row>
    <row r="615" spans="1:3" ht="13.2" x14ac:dyDescent="0.25">
      <c r="A615" s="6">
        <v>613</v>
      </c>
      <c r="B615" s="7">
        <v>74.410003662109304</v>
      </c>
      <c r="C615" s="3">
        <f t="shared" si="2"/>
        <v>1.1896921017752884E-2</v>
      </c>
    </row>
    <row r="616" spans="1:3" ht="13.2" x14ac:dyDescent="0.25">
      <c r="A616" s="6">
        <v>614</v>
      </c>
      <c r="B616" s="7">
        <v>74.709999084472599</v>
      </c>
      <c r="C616" s="3">
        <f t="shared" si="2"/>
        <v>4.0235491088410234E-3</v>
      </c>
    </row>
    <row r="617" spans="1:3" ht="13.2" x14ac:dyDescent="0.25">
      <c r="A617" s="6">
        <v>615</v>
      </c>
      <c r="B617" s="7">
        <v>74.209999084472599</v>
      </c>
      <c r="C617" s="3">
        <f t="shared" si="2"/>
        <v>-6.7150400882334841E-3</v>
      </c>
    </row>
    <row r="618" spans="1:3" ht="13.2" x14ac:dyDescent="0.25">
      <c r="A618" s="6">
        <v>616</v>
      </c>
      <c r="B618" s="7">
        <v>74.029998779296804</v>
      </c>
      <c r="C618" s="3">
        <f t="shared" si="2"/>
        <v>-2.4284996793580409E-3</v>
      </c>
    </row>
    <row r="619" spans="1:3" ht="13.2" x14ac:dyDescent="0.25">
      <c r="A619" s="6">
        <v>617</v>
      </c>
      <c r="B619" s="7">
        <v>74.510002136230398</v>
      </c>
      <c r="C619" s="3">
        <f t="shared" si="2"/>
        <v>6.4629732703182377E-3</v>
      </c>
    </row>
    <row r="620" spans="1:3" ht="13.2" x14ac:dyDescent="0.25">
      <c r="A620" s="6">
        <v>618</v>
      </c>
      <c r="B620" s="7">
        <v>73.529998779296804</v>
      </c>
      <c r="C620" s="3">
        <f t="shared" si="2"/>
        <v>-1.3239903629320824E-2</v>
      </c>
    </row>
    <row r="621" spans="1:3" ht="13.2" x14ac:dyDescent="0.25">
      <c r="A621" s="6">
        <v>619</v>
      </c>
      <c r="B621" s="7">
        <v>71.199996948242102</v>
      </c>
      <c r="C621" s="3">
        <f t="shared" si="2"/>
        <v>-3.2200694050539144E-2</v>
      </c>
    </row>
    <row r="622" spans="1:3" ht="13.2" x14ac:dyDescent="0.25">
      <c r="A622" s="6">
        <v>620</v>
      </c>
      <c r="B622" s="7">
        <v>73.180000305175696</v>
      </c>
      <c r="C622" s="3">
        <f t="shared" si="2"/>
        <v>2.7429388205106143E-2</v>
      </c>
    </row>
    <row r="623" spans="1:3" ht="13.2" x14ac:dyDescent="0.25">
      <c r="A623" s="6">
        <v>621</v>
      </c>
      <c r="B623" s="7">
        <v>73.209999084472599</v>
      </c>
      <c r="C623" s="3">
        <f t="shared" si="2"/>
        <v>4.0984739178764472E-4</v>
      </c>
    </row>
    <row r="624" spans="1:3" ht="13.2" x14ac:dyDescent="0.25">
      <c r="A624" s="6">
        <v>622</v>
      </c>
      <c r="B624" s="7">
        <v>71.610000610351506</v>
      </c>
      <c r="C624" s="3">
        <f t="shared" si="2"/>
        <v>-2.2097273610934408E-2</v>
      </c>
    </row>
    <row r="625" spans="1:3" ht="13.2" x14ac:dyDescent="0.25">
      <c r="A625" s="6">
        <v>623</v>
      </c>
      <c r="B625" s="7">
        <v>71.650001525878906</v>
      </c>
      <c r="C625" s="3">
        <f t="shared" si="2"/>
        <v>5.5843802834656129E-4</v>
      </c>
    </row>
    <row r="626" spans="1:3" ht="13.2" x14ac:dyDescent="0.25">
      <c r="A626" s="6">
        <v>624</v>
      </c>
      <c r="B626" s="7">
        <v>73.860000610351506</v>
      </c>
      <c r="C626" s="3">
        <f t="shared" si="2"/>
        <v>3.0378242117577586E-2</v>
      </c>
    </row>
    <row r="627" spans="1:3" ht="13.2" x14ac:dyDescent="0.25">
      <c r="A627" s="6">
        <v>625</v>
      </c>
      <c r="B627" s="7">
        <v>74.680000305175696</v>
      </c>
      <c r="C627" s="3">
        <f t="shared" si="2"/>
        <v>1.1040905071922263E-2</v>
      </c>
    </row>
    <row r="628" spans="1:3" ht="13.2" x14ac:dyDescent="0.25">
      <c r="A628" s="6">
        <v>626</v>
      </c>
      <c r="B628" s="7">
        <v>71.599998474121094</v>
      </c>
      <c r="C628" s="3">
        <f t="shared" si="2"/>
        <v>-4.2117270104524825E-2</v>
      </c>
    </row>
    <row r="629" spans="1:3" ht="13.2" x14ac:dyDescent="0.25">
      <c r="A629" s="6">
        <v>627</v>
      </c>
      <c r="B629" s="7">
        <v>70.339996337890597</v>
      </c>
      <c r="C629" s="3">
        <f t="shared" si="2"/>
        <v>-1.7754477672578109E-2</v>
      </c>
    </row>
    <row r="630" spans="1:3" ht="13.2" x14ac:dyDescent="0.25">
      <c r="A630" s="6">
        <v>628</v>
      </c>
      <c r="B630" s="7">
        <v>71.389999389648395</v>
      </c>
      <c r="C630" s="3">
        <f t="shared" si="2"/>
        <v>1.4817219981966213E-2</v>
      </c>
    </row>
    <row r="631" spans="1:3" ht="13.2" x14ac:dyDescent="0.25">
      <c r="A631" s="6">
        <v>629</v>
      </c>
      <c r="B631" s="7">
        <v>69.050003051757798</v>
      </c>
      <c r="C631" s="3">
        <f t="shared" si="2"/>
        <v>-3.3326870913182163E-2</v>
      </c>
    </row>
    <row r="632" spans="1:3" ht="13.2" x14ac:dyDescent="0.25">
      <c r="A632" s="6">
        <v>630</v>
      </c>
      <c r="B632" s="7">
        <v>67.690002441406193</v>
      </c>
      <c r="C632" s="3">
        <f t="shared" si="2"/>
        <v>-1.9892429463674616E-2</v>
      </c>
    </row>
    <row r="633" spans="1:3" ht="13.2" x14ac:dyDescent="0.25">
      <c r="A633" s="6">
        <v>631</v>
      </c>
      <c r="B633" s="7">
        <v>68.819999694824205</v>
      </c>
      <c r="C633" s="3">
        <f t="shared" si="2"/>
        <v>1.6555901346955539E-2</v>
      </c>
    </row>
    <row r="634" spans="1:3" ht="13.2" x14ac:dyDescent="0.25">
      <c r="A634" s="6">
        <v>632</v>
      </c>
      <c r="B634" s="7">
        <v>66.660003662109304</v>
      </c>
      <c r="C634" s="3">
        <f t="shared" si="2"/>
        <v>-3.1889268118203279E-2</v>
      </c>
    </row>
    <row r="635" spans="1:3" ht="13.2" x14ac:dyDescent="0.25">
      <c r="A635" s="6">
        <v>633</v>
      </c>
      <c r="B635" s="7">
        <v>67.160003662109304</v>
      </c>
      <c r="C635" s="3">
        <f t="shared" si="2"/>
        <v>7.4727589207445521E-3</v>
      </c>
    </row>
    <row r="636" spans="1:3" ht="13.2" x14ac:dyDescent="0.25">
      <c r="A636" s="6">
        <v>634</v>
      </c>
      <c r="B636" s="7">
        <v>66.169998168945298</v>
      </c>
      <c r="C636" s="3">
        <f t="shared" si="2"/>
        <v>-1.4850726385478954E-2</v>
      </c>
    </row>
    <row r="637" spans="1:3" ht="13.2" x14ac:dyDescent="0.25">
      <c r="A637" s="6">
        <v>635</v>
      </c>
      <c r="B637" s="7">
        <v>67.440002441406193</v>
      </c>
      <c r="C637" s="3">
        <f t="shared" si="2"/>
        <v>1.9011189542767867E-2</v>
      </c>
    </row>
    <row r="638" spans="1:3" ht="13.2" x14ac:dyDescent="0.25">
      <c r="A638" s="6">
        <v>636</v>
      </c>
      <c r="B638" s="7">
        <v>64.830001831054602</v>
      </c>
      <c r="C638" s="3">
        <f t="shared" si="2"/>
        <v>-3.9469862463915338E-2</v>
      </c>
    </row>
    <row r="639" spans="1:3" ht="13.2" x14ac:dyDescent="0.25">
      <c r="A639" s="6">
        <v>637</v>
      </c>
      <c r="B639" s="7">
        <v>64.290000915527301</v>
      </c>
      <c r="C639" s="3">
        <f t="shared" si="2"/>
        <v>-8.364375036661837E-3</v>
      </c>
    </row>
    <row r="640" spans="1:3" ht="13.2" x14ac:dyDescent="0.25">
      <c r="A640" s="6">
        <v>638</v>
      </c>
      <c r="B640" s="7">
        <v>65.220001220703097</v>
      </c>
      <c r="C640" s="3">
        <f t="shared" si="2"/>
        <v>1.4362076683689964E-2</v>
      </c>
    </row>
    <row r="641" spans="1:3" ht="13.2" x14ac:dyDescent="0.25">
      <c r="A641" s="6">
        <v>639</v>
      </c>
      <c r="B641" s="7">
        <v>65.150001525878906</v>
      </c>
      <c r="C641" s="3">
        <f t="shared" si="2"/>
        <v>-1.0738620860062901E-3</v>
      </c>
    </row>
    <row r="642" spans="1:3" ht="13.2" x14ac:dyDescent="0.25">
      <c r="A642" s="6">
        <v>640</v>
      </c>
      <c r="B642" s="7">
        <v>62.860000610351499</v>
      </c>
      <c r="C642" s="3">
        <f t="shared" si="2"/>
        <v>-3.578228591274784E-2</v>
      </c>
    </row>
    <row r="643" spans="1:3" ht="13.2" x14ac:dyDescent="0.25">
      <c r="A643" s="6">
        <v>641</v>
      </c>
      <c r="B643" s="7">
        <v>64.830001831054602</v>
      </c>
      <c r="C643" s="3">
        <f t="shared" si="2"/>
        <v>3.0858446351725809E-2</v>
      </c>
    </row>
    <row r="644" spans="1:3" ht="13.2" x14ac:dyDescent="0.25">
      <c r="A644" s="6">
        <v>642</v>
      </c>
      <c r="B644" s="7">
        <v>64.940002441406193</v>
      </c>
      <c r="C644" s="3">
        <f t="shared" si="2"/>
        <v>1.6953168386539589E-3</v>
      </c>
    </row>
    <row r="645" spans="1:3" ht="13.2" x14ac:dyDescent="0.25">
      <c r="A645" s="6">
        <v>643</v>
      </c>
      <c r="B645" s="7">
        <v>64.959999084472599</v>
      </c>
      <c r="C645" s="3">
        <f t="shared" si="2"/>
        <v>3.0787749021508605E-4</v>
      </c>
    </row>
    <row r="646" spans="1:3" ht="13.2" x14ac:dyDescent="0.25">
      <c r="A646" s="6">
        <v>644</v>
      </c>
      <c r="B646" s="7">
        <v>65.739997863769503</v>
      </c>
      <c r="C646" s="3">
        <f t="shared" si="2"/>
        <v>1.1935853981220422E-2</v>
      </c>
    </row>
    <row r="647" spans="1:3" ht="13.2" x14ac:dyDescent="0.25">
      <c r="A647" s="6">
        <v>645</v>
      </c>
      <c r="B647" s="7">
        <v>64.599998474121094</v>
      </c>
      <c r="C647" s="3">
        <f t="shared" si="2"/>
        <v>-1.7493148572793486E-2</v>
      </c>
    </row>
    <row r="648" spans="1:3" ht="13.2" x14ac:dyDescent="0.25">
      <c r="A648" s="6">
        <v>646</v>
      </c>
      <c r="B648" s="7">
        <v>65.849998474121094</v>
      </c>
      <c r="C648" s="3">
        <f t="shared" si="2"/>
        <v>1.9165017849109393E-2</v>
      </c>
    </row>
    <row r="649" spans="1:3" ht="13.2" x14ac:dyDescent="0.25">
      <c r="A649" s="6">
        <v>647</v>
      </c>
      <c r="B649" s="7">
        <v>72.150001525878906</v>
      </c>
      <c r="C649" s="3">
        <f t="shared" si="2"/>
        <v>9.1367901351333811E-2</v>
      </c>
    </row>
    <row r="650" spans="1:3" ht="13.2" x14ac:dyDescent="0.25">
      <c r="A650" s="6">
        <v>648</v>
      </c>
      <c r="B650" s="7">
        <v>73.180000305175696</v>
      </c>
      <c r="C650" s="3">
        <f t="shared" si="2"/>
        <v>1.4174857392684623E-2</v>
      </c>
    </row>
    <row r="651" spans="1:3" ht="13.2" x14ac:dyDescent="0.25">
      <c r="A651" s="6">
        <v>649</v>
      </c>
      <c r="B651" s="7">
        <v>74.410003662109304</v>
      </c>
      <c r="C651" s="3">
        <f t="shared" si="2"/>
        <v>1.6668226863185955E-2</v>
      </c>
    </row>
    <row r="652" spans="1:3" ht="13.2" x14ac:dyDescent="0.25">
      <c r="A652" s="6">
        <v>650</v>
      </c>
      <c r="B652" s="7">
        <v>76.25</v>
      </c>
      <c r="C652" s="3">
        <f t="shared" si="2"/>
        <v>2.4427024863068126E-2</v>
      </c>
    </row>
    <row r="653" spans="1:3" ht="13.2" x14ac:dyDescent="0.25">
      <c r="A653" s="6">
        <v>651</v>
      </c>
      <c r="B653" s="7">
        <v>78.080001831054602</v>
      </c>
      <c r="C653" s="3">
        <f t="shared" si="2"/>
        <v>2.3716550068322548E-2</v>
      </c>
    </row>
    <row r="654" spans="1:3" ht="13.2" x14ac:dyDescent="0.25">
      <c r="A654" s="6">
        <v>652</v>
      </c>
      <c r="B654" s="7">
        <v>80.370002746582003</v>
      </c>
      <c r="C654" s="3">
        <f t="shared" si="2"/>
        <v>2.8907040843002368E-2</v>
      </c>
    </row>
    <row r="655" spans="1:3" ht="13.2" x14ac:dyDescent="0.25">
      <c r="A655" s="6">
        <v>653</v>
      </c>
      <c r="B655" s="7">
        <v>81.75</v>
      </c>
      <c r="C655" s="3">
        <f t="shared" si="2"/>
        <v>1.7024803378517077E-2</v>
      </c>
    </row>
    <row r="656" spans="1:3" ht="13.2" x14ac:dyDescent="0.25">
      <c r="A656" s="6">
        <v>654</v>
      </c>
      <c r="B656" s="7">
        <v>81.089996337890597</v>
      </c>
      <c r="C656" s="3">
        <f t="shared" si="2"/>
        <v>-8.1062059819460869E-3</v>
      </c>
    </row>
    <row r="657" spans="1:3" ht="13.2" x14ac:dyDescent="0.25">
      <c r="A657" s="6">
        <v>655</v>
      </c>
      <c r="B657" s="7">
        <v>79.360000610351506</v>
      </c>
      <c r="C657" s="3">
        <f t="shared" si="2"/>
        <v>-2.1565133127878122E-2</v>
      </c>
    </row>
    <row r="658" spans="1:3" ht="13.2" x14ac:dyDescent="0.25">
      <c r="A658" s="6">
        <v>656</v>
      </c>
      <c r="B658" s="7">
        <v>76.809997558593693</v>
      </c>
      <c r="C658" s="3">
        <f t="shared" si="2"/>
        <v>-3.2659662441954423E-2</v>
      </c>
    </row>
    <row r="659" spans="1:3" ht="13.2" x14ac:dyDescent="0.25">
      <c r="A659" s="6">
        <v>657</v>
      </c>
      <c r="B659" s="7">
        <v>77.919998168945298</v>
      </c>
      <c r="C659" s="3">
        <f t="shared" si="2"/>
        <v>1.4347827609533259E-2</v>
      </c>
    </row>
    <row r="660" spans="1:3" ht="13.2" x14ac:dyDescent="0.25">
      <c r="A660" s="6">
        <v>658</v>
      </c>
      <c r="B660" s="7">
        <v>78.330001831054602</v>
      </c>
      <c r="C660" s="3">
        <f t="shared" si="2"/>
        <v>5.2480589201894497E-3</v>
      </c>
    </row>
    <row r="661" spans="1:3" ht="13.2" x14ac:dyDescent="0.25">
      <c r="A661" s="6">
        <v>659</v>
      </c>
      <c r="B661" s="7">
        <v>78.480003356933594</v>
      </c>
      <c r="C661" s="3">
        <f t="shared" si="2"/>
        <v>1.9131632761830895E-3</v>
      </c>
    </row>
    <row r="662" spans="1:3" ht="13.2" x14ac:dyDescent="0.25">
      <c r="A662" s="6">
        <v>660</v>
      </c>
      <c r="B662" s="7">
        <v>77.779998779296804</v>
      </c>
      <c r="C662" s="3">
        <f t="shared" si="2"/>
        <v>-8.9595449981957603E-3</v>
      </c>
    </row>
    <row r="663" spans="1:3" ht="13.2" x14ac:dyDescent="0.25">
      <c r="A663" s="6">
        <v>661</v>
      </c>
      <c r="B663" s="7">
        <v>78.480003356933594</v>
      </c>
      <c r="C663" s="3">
        <f t="shared" si="2"/>
        <v>8.9595449981956961E-3</v>
      </c>
    </row>
    <row r="664" spans="1:3" ht="13.2" x14ac:dyDescent="0.25">
      <c r="A664" s="6">
        <v>662</v>
      </c>
      <c r="B664" s="7">
        <v>75.790000915527301</v>
      </c>
      <c r="C664" s="3">
        <f t="shared" si="2"/>
        <v>-3.4877488127761987E-2</v>
      </c>
    </row>
    <row r="665" spans="1:3" ht="13.2" x14ac:dyDescent="0.25">
      <c r="A665" s="6">
        <v>663</v>
      </c>
      <c r="B665" s="7">
        <v>77.839996337890597</v>
      </c>
      <c r="C665" s="3">
        <f t="shared" si="2"/>
        <v>2.6689020927394086E-2</v>
      </c>
    </row>
    <row r="666" spans="1:3" ht="13.2" x14ac:dyDescent="0.25">
      <c r="A666" s="6">
        <v>664</v>
      </c>
      <c r="B666" s="7">
        <v>77.669998168945298</v>
      </c>
      <c r="C666" s="3">
        <f t="shared" si="2"/>
        <v>-2.1863319743661504E-3</v>
      </c>
    </row>
    <row r="667" spans="1:3" ht="13.2" x14ac:dyDescent="0.25">
      <c r="A667" s="6">
        <v>665</v>
      </c>
      <c r="B667" s="7">
        <v>76.190002441406193</v>
      </c>
      <c r="C667" s="3">
        <f t="shared" si="2"/>
        <v>-1.9238806328181517E-2</v>
      </c>
    </row>
    <row r="668" spans="1:3" ht="13.2" x14ac:dyDescent="0.25">
      <c r="A668" s="6">
        <v>666</v>
      </c>
      <c r="B668" s="7">
        <v>76.730003356933594</v>
      </c>
      <c r="C668" s="3">
        <f t="shared" si="2"/>
        <v>7.0625574109477816E-3</v>
      </c>
    </row>
    <row r="669" spans="1:3" ht="13.2" x14ac:dyDescent="0.25">
      <c r="A669" s="6">
        <v>667</v>
      </c>
      <c r="B669" s="7">
        <v>73.360000610351506</v>
      </c>
      <c r="C669" s="3">
        <f t="shared" si="2"/>
        <v>-4.4913973671362954E-2</v>
      </c>
    </row>
    <row r="670" spans="1:3" ht="13.2" x14ac:dyDescent="0.25">
      <c r="A670" s="6">
        <v>668</v>
      </c>
      <c r="B670" s="7">
        <v>74.839996337890597</v>
      </c>
      <c r="C670" s="3">
        <f t="shared" si="2"/>
        <v>1.997361620521397E-2</v>
      </c>
    </row>
    <row r="671" spans="1:3" ht="13.2" x14ac:dyDescent="0.25">
      <c r="A671" s="6">
        <v>669</v>
      </c>
      <c r="B671" s="7">
        <v>75.760002136230398</v>
      </c>
      <c r="C671" s="3">
        <f t="shared" si="2"/>
        <v>1.221802460178836E-2</v>
      </c>
    </row>
    <row r="672" spans="1:3" ht="13.2" x14ac:dyDescent="0.25">
      <c r="A672" s="6">
        <v>670</v>
      </c>
      <c r="B672" s="7">
        <v>74.949996948242102</v>
      </c>
      <c r="C672" s="3">
        <f t="shared" si="2"/>
        <v>-1.0749293243805635E-2</v>
      </c>
    </row>
    <row r="673" spans="1:3" ht="13.2" x14ac:dyDescent="0.25">
      <c r="A673" s="6">
        <v>671</v>
      </c>
      <c r="B673" s="7">
        <v>74.139999389648395</v>
      </c>
      <c r="C673" s="3">
        <f t="shared" si="2"/>
        <v>-1.0865994341189423E-2</v>
      </c>
    </row>
    <row r="674" spans="1:3" ht="13.2" x14ac:dyDescent="0.25">
      <c r="A674" s="6">
        <v>672</v>
      </c>
      <c r="B674" s="7">
        <v>74.730003356933594</v>
      </c>
      <c r="C674" s="3">
        <f t="shared" si="2"/>
        <v>7.9264733728608358E-3</v>
      </c>
    </row>
    <row r="675" spans="1:3" ht="13.2" x14ac:dyDescent="0.25">
      <c r="A675" s="6">
        <v>673</v>
      </c>
      <c r="B675" s="7">
        <v>75.260002136230398</v>
      </c>
      <c r="C675" s="3">
        <f t="shared" si="2"/>
        <v>7.0671506869352928E-3</v>
      </c>
    </row>
    <row r="676" spans="1:3" ht="13.2" x14ac:dyDescent="0.25">
      <c r="A676" s="6">
        <v>674</v>
      </c>
      <c r="B676" s="7">
        <v>75.980003356933594</v>
      </c>
      <c r="C676" s="3">
        <f t="shared" si="2"/>
        <v>9.521378391321696E-3</v>
      </c>
    </row>
    <row r="677" spans="1:3" ht="13.2" x14ac:dyDescent="0.25">
      <c r="A677" s="6">
        <v>675</v>
      </c>
      <c r="B677" s="7">
        <v>75.510002136230398</v>
      </c>
      <c r="C677" s="3">
        <f t="shared" si="2"/>
        <v>-6.2050658352551715E-3</v>
      </c>
    </row>
    <row r="678" spans="1:3" ht="13.2" x14ac:dyDescent="0.25">
      <c r="A678" s="6">
        <v>676</v>
      </c>
      <c r="B678" s="7">
        <v>74.949996948242102</v>
      </c>
      <c r="C678" s="3">
        <f t="shared" si="2"/>
        <v>-7.4439422746732783E-3</v>
      </c>
    </row>
    <row r="679" spans="1:3" ht="13.2" x14ac:dyDescent="0.25">
      <c r="A679" s="6">
        <v>677</v>
      </c>
      <c r="B679" s="7">
        <v>74.5</v>
      </c>
      <c r="C679" s="3">
        <f t="shared" si="2"/>
        <v>-6.02205844584194E-3</v>
      </c>
    </row>
    <row r="680" spans="1:3" ht="13.2" x14ac:dyDescent="0.25">
      <c r="A680" s="6">
        <v>678</v>
      </c>
      <c r="B680" s="7">
        <v>76.790000915527301</v>
      </c>
      <c r="C680" s="3">
        <f t="shared" si="2"/>
        <v>3.0275309879419034E-2</v>
      </c>
    </row>
    <row r="681" spans="1:3" ht="13.2" x14ac:dyDescent="0.25">
      <c r="A681" s="6">
        <v>679</v>
      </c>
      <c r="B681" s="7">
        <v>75.959999084472599</v>
      </c>
      <c r="C681" s="3">
        <f t="shared" si="2"/>
        <v>-1.0867561373604609E-2</v>
      </c>
    </row>
    <row r="682" spans="1:3" ht="13.2" x14ac:dyDescent="0.25">
      <c r="A682" s="6">
        <v>680</v>
      </c>
      <c r="B682" s="7">
        <v>77.069999694824205</v>
      </c>
      <c r="C682" s="3">
        <f t="shared" si="2"/>
        <v>1.4507221938851286E-2</v>
      </c>
    </row>
    <row r="683" spans="1:3" ht="13.2" x14ac:dyDescent="0.25">
      <c r="A683" s="6">
        <v>681</v>
      </c>
      <c r="B683" s="7">
        <v>77.309997558593693</v>
      </c>
      <c r="C683" s="3">
        <f t="shared" si="2"/>
        <v>3.1091859227659079E-3</v>
      </c>
    </row>
    <row r="684" spans="1:3" ht="13.2" x14ac:dyDescent="0.25">
      <c r="A684" s="6">
        <v>682</v>
      </c>
      <c r="B684" s="7">
        <v>77.129997253417898</v>
      </c>
      <c r="C684" s="3">
        <f t="shared" si="2"/>
        <v>-2.3310074168152936E-3</v>
      </c>
    </row>
    <row r="685" spans="1:3" ht="13.2" x14ac:dyDescent="0.25">
      <c r="A685" s="6">
        <v>683</v>
      </c>
      <c r="B685" s="7">
        <v>76.959999084472599</v>
      </c>
      <c r="C685" s="3">
        <f t="shared" si="2"/>
        <v>-2.2064798748252195E-3</v>
      </c>
    </row>
    <row r="686" spans="1:3" ht="13.2" x14ac:dyDescent="0.25">
      <c r="A686" s="6">
        <v>684</v>
      </c>
      <c r="B686" s="7">
        <v>77.610000610351506</v>
      </c>
      <c r="C686" s="3">
        <f t="shared" si="2"/>
        <v>8.4104982690836085E-3</v>
      </c>
    </row>
    <row r="687" spans="1:3" ht="13.2" x14ac:dyDescent="0.25">
      <c r="A687" s="6">
        <v>685</v>
      </c>
      <c r="B687" s="7">
        <v>75.980003356933594</v>
      </c>
      <c r="C687" s="3">
        <f t="shared" si="2"/>
        <v>-2.1226100789104248E-2</v>
      </c>
    </row>
    <row r="688" spans="1:3" ht="13.2" x14ac:dyDescent="0.25">
      <c r="A688" s="6">
        <v>686</v>
      </c>
      <c r="B688" s="7">
        <v>77.010002136230398</v>
      </c>
      <c r="C688" s="3">
        <f t="shared" si="2"/>
        <v>1.3465119349523581E-2</v>
      </c>
    </row>
    <row r="689" spans="1:3" ht="13.2" x14ac:dyDescent="0.25">
      <c r="A689" s="6">
        <v>687</v>
      </c>
      <c r="B689" s="7">
        <v>77.489997863769503</v>
      </c>
      <c r="C689" s="3">
        <f t="shared" si="2"/>
        <v>6.213556917229102E-3</v>
      </c>
    </row>
    <row r="690" spans="1:3" ht="13.2" x14ac:dyDescent="0.25">
      <c r="A690" s="6">
        <v>688</v>
      </c>
      <c r="B690" s="7">
        <v>77.319999694824205</v>
      </c>
      <c r="C690" s="3">
        <f t="shared" si="2"/>
        <v>-2.1962178148258755E-3</v>
      </c>
    </row>
    <row r="691" spans="1:3" ht="13.2" x14ac:dyDescent="0.25">
      <c r="A691" s="6">
        <v>689</v>
      </c>
      <c r="B691" s="7">
        <v>77.589996337890597</v>
      </c>
      <c r="C691" s="3">
        <f t="shared" si="2"/>
        <v>3.4858553144320997E-3</v>
      </c>
    </row>
    <row r="692" spans="1:3" ht="13.2" x14ac:dyDescent="0.25">
      <c r="A692" s="6">
        <v>690</v>
      </c>
      <c r="B692" s="7">
        <v>77.419998168945298</v>
      </c>
      <c r="C692" s="3">
        <f t="shared" si="2"/>
        <v>-2.1933842090674075E-3</v>
      </c>
    </row>
    <row r="693" spans="1:3" ht="13.2" x14ac:dyDescent="0.25">
      <c r="A693" s="6">
        <v>691</v>
      </c>
      <c r="B693" s="7">
        <v>76.849998474121094</v>
      </c>
      <c r="C693" s="3">
        <f t="shared" si="2"/>
        <v>-7.3896713692592668E-3</v>
      </c>
    </row>
    <row r="694" spans="1:3" ht="13.2" x14ac:dyDescent="0.25">
      <c r="A694" s="6">
        <v>692</v>
      </c>
      <c r="B694" s="7">
        <v>77.239997863769503</v>
      </c>
      <c r="C694" s="3">
        <f t="shared" si="2"/>
        <v>5.0619797739475166E-3</v>
      </c>
    </row>
    <row r="695" spans="1:3" ht="13.2" x14ac:dyDescent="0.25">
      <c r="A695" s="6">
        <v>693</v>
      </c>
      <c r="B695" s="7">
        <v>76.989997863769503</v>
      </c>
      <c r="C695" s="3">
        <f t="shared" si="2"/>
        <v>-3.2419143601628174E-3</v>
      </c>
    </row>
    <row r="696" spans="1:3" ht="13.2" x14ac:dyDescent="0.25">
      <c r="A696" s="6">
        <v>694</v>
      </c>
      <c r="B696" s="7">
        <v>76.980003356933594</v>
      </c>
      <c r="C696" s="3">
        <f t="shared" si="2"/>
        <v>-1.2982407963512693E-4</v>
      </c>
    </row>
    <row r="697" spans="1:3" ht="13.2" x14ac:dyDescent="0.25">
      <c r="A697" s="6">
        <v>695</v>
      </c>
      <c r="B697" s="7">
        <v>77.959999084472599</v>
      </c>
      <c r="C697" s="3">
        <f t="shared" si="2"/>
        <v>1.2650171432340799E-2</v>
      </c>
    </row>
    <row r="698" spans="1:3" ht="13.2" x14ac:dyDescent="0.25">
      <c r="A698" s="6">
        <v>696</v>
      </c>
      <c r="B698" s="7">
        <v>79.949996948242102</v>
      </c>
      <c r="C698" s="3">
        <f t="shared" si="2"/>
        <v>2.5205538213325152E-2</v>
      </c>
    </row>
    <row r="699" spans="1:3" ht="13.2" x14ac:dyDescent="0.25">
      <c r="A699" s="6">
        <v>697</v>
      </c>
      <c r="B699" s="7">
        <v>79.510002136230398</v>
      </c>
      <c r="C699" s="3">
        <f t="shared" si="2"/>
        <v>-5.5185743282972219E-3</v>
      </c>
    </row>
    <row r="700" spans="1:3" ht="13.2" x14ac:dyDescent="0.25">
      <c r="A700" s="6">
        <v>698</v>
      </c>
      <c r="B700" s="7">
        <v>81.260002136230398</v>
      </c>
      <c r="C700" s="3">
        <f t="shared" si="2"/>
        <v>2.1771090067576378E-2</v>
      </c>
    </row>
    <row r="701" spans="1:3" ht="13.2" x14ac:dyDescent="0.25">
      <c r="A701" s="6">
        <v>699</v>
      </c>
      <c r="B701" s="7">
        <v>80.699996948242102</v>
      </c>
      <c r="C701" s="3">
        <f t="shared" si="2"/>
        <v>-6.9153793885917718E-3</v>
      </c>
    </row>
    <row r="702" spans="1:3" ht="13.2" x14ac:dyDescent="0.25">
      <c r="A702" s="6">
        <v>700</v>
      </c>
      <c r="B702" s="7">
        <v>79.099998474121094</v>
      </c>
      <c r="C702" s="3">
        <f t="shared" si="2"/>
        <v>-2.0025681976715923E-2</v>
      </c>
    </row>
    <row r="703" spans="1:3" ht="13.2" x14ac:dyDescent="0.25">
      <c r="A703" s="6">
        <v>701</v>
      </c>
      <c r="B703" s="7">
        <v>80.639999389648395</v>
      </c>
      <c r="C703" s="3">
        <f t="shared" si="2"/>
        <v>1.9281941271110655E-2</v>
      </c>
    </row>
    <row r="704" spans="1:3" ht="13.2" x14ac:dyDescent="0.25">
      <c r="A704" s="6">
        <v>702</v>
      </c>
      <c r="B704" s="7">
        <v>79.529998779296804</v>
      </c>
      <c r="C704" s="3">
        <f t="shared" si="2"/>
        <v>-1.3860503134135504E-2</v>
      </c>
    </row>
    <row r="705" spans="1:3" ht="13.2" x14ac:dyDescent="0.25">
      <c r="A705" s="6">
        <v>703</v>
      </c>
      <c r="B705" s="7">
        <v>79.330001831054602</v>
      </c>
      <c r="C705" s="3">
        <f t="shared" si="2"/>
        <v>-2.517903224677365E-3</v>
      </c>
    </row>
    <row r="706" spans="1:3" ht="13.2" x14ac:dyDescent="0.25">
      <c r="A706" s="6">
        <v>704</v>
      </c>
      <c r="B706" s="7">
        <v>79.379997253417898</v>
      </c>
      <c r="C706" s="3">
        <f t="shared" si="2"/>
        <v>6.3002235908788697E-4</v>
      </c>
    </row>
    <row r="707" spans="1:3" ht="13.2" x14ac:dyDescent="0.25">
      <c r="A707" s="6">
        <v>705</v>
      </c>
      <c r="B707" s="7">
        <v>78.389999389648395</v>
      </c>
      <c r="C707" s="3">
        <f t="shared" si="2"/>
        <v>-1.255005233994845E-2</v>
      </c>
    </row>
    <row r="708" spans="1:3" ht="13.2" x14ac:dyDescent="0.25">
      <c r="A708" s="6">
        <v>706</v>
      </c>
      <c r="B708" s="7">
        <v>79.800003051757798</v>
      </c>
      <c r="C708" s="3">
        <f t="shared" si="2"/>
        <v>1.7827182283800602E-2</v>
      </c>
    </row>
    <row r="709" spans="1:3" ht="13.2" x14ac:dyDescent="0.25">
      <c r="A709" s="6">
        <v>707</v>
      </c>
      <c r="B709" s="7">
        <v>79.519996643066406</v>
      </c>
      <c r="C709" s="3">
        <f t="shared" si="2"/>
        <v>-3.5150225649832208E-3</v>
      </c>
    </row>
    <row r="710" spans="1:3" ht="13.2" x14ac:dyDescent="0.25">
      <c r="A710" s="6">
        <v>708</v>
      </c>
      <c r="B710" s="7">
        <v>80.949996948242102</v>
      </c>
      <c r="C710" s="3">
        <f t="shared" si="2"/>
        <v>1.7823122290990864E-2</v>
      </c>
    </row>
    <row r="711" spans="1:3" ht="13.2" x14ac:dyDescent="0.25">
      <c r="A711" s="6">
        <v>709</v>
      </c>
      <c r="B711" s="7">
        <v>79.709999084472599</v>
      </c>
      <c r="C711" s="3">
        <f t="shared" si="2"/>
        <v>-1.5436605470245338E-2</v>
      </c>
    </row>
    <row r="712" spans="1:3" ht="13.2" x14ac:dyDescent="0.25">
      <c r="A712" s="6">
        <v>710</v>
      </c>
      <c r="B712" s="7">
        <v>80.480003356933594</v>
      </c>
      <c r="C712" s="3">
        <f t="shared" si="2"/>
        <v>9.6137111087262559E-3</v>
      </c>
    </row>
    <row r="713" spans="1:3" ht="13.2" x14ac:dyDescent="0.25">
      <c r="A713" s="6">
        <v>711</v>
      </c>
      <c r="B713" s="7">
        <v>79.830001831054602</v>
      </c>
      <c r="C713" s="3">
        <f t="shared" si="2"/>
        <v>-8.1093514681990237E-3</v>
      </c>
    </row>
    <row r="714" spans="1:3" ht="13.2" x14ac:dyDescent="0.25">
      <c r="A714" s="6">
        <v>712</v>
      </c>
      <c r="B714" s="7">
        <v>78.029998779296804</v>
      </c>
      <c r="C714" s="3">
        <f t="shared" si="2"/>
        <v>-2.2806044109984991E-2</v>
      </c>
    </row>
    <row r="715" spans="1:3" ht="13.2" x14ac:dyDescent="0.25">
      <c r="A715" s="6">
        <v>713</v>
      </c>
      <c r="B715" s="7">
        <v>77.150001525878906</v>
      </c>
      <c r="C715" s="3">
        <f t="shared" si="2"/>
        <v>-1.1341753897395654E-2</v>
      </c>
    </row>
    <row r="716" spans="1:3" ht="13.2" x14ac:dyDescent="0.25">
      <c r="A716" s="6">
        <v>714</v>
      </c>
      <c r="B716" s="7">
        <v>76.150001525878906</v>
      </c>
      <c r="C716" s="3">
        <f t="shared" si="2"/>
        <v>-1.3046499208273761E-2</v>
      </c>
    </row>
    <row r="717" spans="1:3" ht="13.2" x14ac:dyDescent="0.25">
      <c r="A717" s="6">
        <v>715</v>
      </c>
      <c r="B717" s="7">
        <v>75.519996643066406</v>
      </c>
      <c r="C717" s="3">
        <f t="shared" si="2"/>
        <v>-8.3076219926536635E-3</v>
      </c>
    </row>
    <row r="718" spans="1:3" ht="13.2" x14ac:dyDescent="0.25">
      <c r="A718" s="6">
        <v>716</v>
      </c>
      <c r="B718" s="7">
        <v>76.540000915527301</v>
      </c>
      <c r="C718" s="3">
        <f t="shared" si="2"/>
        <v>1.3416014572656228E-2</v>
      </c>
    </row>
    <row r="719" spans="1:3" ht="13.2" x14ac:dyDescent="0.25">
      <c r="A719" s="6">
        <v>717</v>
      </c>
      <c r="B719" s="7">
        <v>76.010002136230398</v>
      </c>
      <c r="C719" s="3">
        <f t="shared" si="2"/>
        <v>-6.9485532764335563E-3</v>
      </c>
    </row>
    <row r="720" spans="1:3" ht="13.2" x14ac:dyDescent="0.25">
      <c r="A720" s="6">
        <v>718</v>
      </c>
      <c r="B720" s="7">
        <v>74.209999084472599</v>
      </c>
      <c r="C720" s="3">
        <f t="shared" si="2"/>
        <v>-2.3966039037484819E-2</v>
      </c>
    </row>
    <row r="721" spans="1:3" ht="13.2" x14ac:dyDescent="0.25">
      <c r="A721" s="6">
        <v>719</v>
      </c>
      <c r="B721" s="7">
        <v>72.699996948242102</v>
      </c>
      <c r="C721" s="3">
        <f t="shared" si="2"/>
        <v>-2.0557557083000357E-2</v>
      </c>
    </row>
    <row r="722" spans="1:3" ht="13.2" x14ac:dyDescent="0.25">
      <c r="A722" s="6">
        <v>720</v>
      </c>
      <c r="B722" s="7">
        <v>69.330001831054602</v>
      </c>
      <c r="C722" s="3">
        <f t="shared" si="2"/>
        <v>-4.7463603196950352E-2</v>
      </c>
    </row>
    <row r="723" spans="1:3" ht="13.2" x14ac:dyDescent="0.25">
      <c r="A723" s="6">
        <v>721</v>
      </c>
      <c r="B723" s="7">
        <v>68.139999389648395</v>
      </c>
      <c r="C723" s="3">
        <f t="shared" si="2"/>
        <v>-1.731333608960672E-2</v>
      </c>
    </row>
    <row r="724" spans="1:3" ht="13.2" x14ac:dyDescent="0.25">
      <c r="A724" s="6">
        <v>722</v>
      </c>
      <c r="B724" s="7">
        <v>67.599998474121094</v>
      </c>
      <c r="C724" s="3">
        <f t="shared" si="2"/>
        <v>-7.9564427987580694E-3</v>
      </c>
    </row>
    <row r="725" spans="1:3" ht="13.2" x14ac:dyDescent="0.25">
      <c r="A725" s="6">
        <v>723</v>
      </c>
      <c r="B725" s="7">
        <v>69.459999084472599</v>
      </c>
      <c r="C725" s="3">
        <f t="shared" si="2"/>
        <v>2.7143073658540871E-2</v>
      </c>
    </row>
    <row r="726" spans="1:3" ht="13.2" x14ac:dyDescent="0.25">
      <c r="A726" s="6">
        <v>724</v>
      </c>
      <c r="B726" s="7">
        <v>69.120002746582003</v>
      </c>
      <c r="C726" s="3">
        <f t="shared" si="2"/>
        <v>-4.9068699030569898E-3</v>
      </c>
    </row>
    <row r="727" spans="1:3" ht="13.2" x14ac:dyDescent="0.25">
      <c r="A727" s="6">
        <v>725</v>
      </c>
      <c r="B727" s="7">
        <v>67.919998168945298</v>
      </c>
      <c r="C727" s="3">
        <f t="shared" si="2"/>
        <v>-1.7513649188128786E-2</v>
      </c>
    </row>
    <row r="728" spans="1:3" ht="13.2" x14ac:dyDescent="0.25">
      <c r="A728" s="6">
        <v>726</v>
      </c>
      <c r="B728" s="7">
        <v>68.760002136230398</v>
      </c>
      <c r="C728" s="3">
        <f t="shared" si="2"/>
        <v>1.2291696538471097E-2</v>
      </c>
    </row>
    <row r="729" spans="1:3" ht="13.2" x14ac:dyDescent="0.25">
      <c r="A729" s="6">
        <v>727</v>
      </c>
      <c r="B729" s="7">
        <v>69.730003356933594</v>
      </c>
      <c r="C729" s="3">
        <f t="shared" si="2"/>
        <v>1.40084777922314E-2</v>
      </c>
    </row>
    <row r="730" spans="1:3" ht="13.2" x14ac:dyDescent="0.25">
      <c r="A730" s="6">
        <v>728</v>
      </c>
      <c r="B730" s="7">
        <v>74.559997558593693</v>
      </c>
      <c r="C730" s="3">
        <f t="shared" si="2"/>
        <v>6.6973448258349416E-2</v>
      </c>
    </row>
    <row r="731" spans="1:3" ht="13.2" x14ac:dyDescent="0.25">
      <c r="A731" s="6">
        <v>729</v>
      </c>
      <c r="B731" s="7">
        <v>74.540000915527301</v>
      </c>
      <c r="C731" s="3">
        <f t="shared" si="2"/>
        <v>-2.6823129967716672E-4</v>
      </c>
    </row>
    <row r="732" spans="1:3" ht="13.2" x14ac:dyDescent="0.25">
      <c r="A732" s="6">
        <v>730</v>
      </c>
      <c r="B732" s="7">
        <v>74.900001525878906</v>
      </c>
      <c r="C732" s="3">
        <f t="shared" si="2"/>
        <v>4.8180045619137732E-3</v>
      </c>
    </row>
    <row r="733" spans="1:3" ht="13.2" x14ac:dyDescent="0.25">
      <c r="A733" s="6">
        <v>731</v>
      </c>
      <c r="B733" s="7">
        <v>75.190002441406193</v>
      </c>
      <c r="C733" s="3">
        <f t="shared" si="2"/>
        <v>3.8643649643721645E-3</v>
      </c>
    </row>
    <row r="734" spans="1:3" ht="13.2" x14ac:dyDescent="0.25">
      <c r="A734" s="6">
        <v>732</v>
      </c>
      <c r="B734" s="7">
        <v>76.309997558593693</v>
      </c>
      <c r="C734" s="3">
        <f t="shared" si="2"/>
        <v>1.4785683448512246E-2</v>
      </c>
    </row>
    <row r="735" spans="1:3" ht="13.2" x14ac:dyDescent="0.25">
      <c r="A735" s="6">
        <v>733</v>
      </c>
      <c r="B735" s="7">
        <v>76.360000610351506</v>
      </c>
      <c r="C735" s="3">
        <f t="shared" si="2"/>
        <v>6.5504754235280651E-4</v>
      </c>
    </row>
    <row r="736" spans="1:3" ht="13.2" x14ac:dyDescent="0.25">
      <c r="A736" s="6">
        <v>734</v>
      </c>
      <c r="B736" s="7">
        <v>76.349998474121094</v>
      </c>
      <c r="C736" s="3">
        <f t="shared" si="2"/>
        <v>-1.3099517130092607E-4</v>
      </c>
    </row>
    <row r="737" spans="1:3" ht="13.2" x14ac:dyDescent="0.25">
      <c r="A737" s="6">
        <v>735</v>
      </c>
      <c r="B737" s="7">
        <v>74.529998779296804</v>
      </c>
      <c r="C737" s="3">
        <f t="shared" si="2"/>
        <v>-2.4126299164404869E-2</v>
      </c>
    </row>
    <row r="738" spans="1:3" ht="13.2" x14ac:dyDescent="0.25">
      <c r="A738" s="6">
        <v>736</v>
      </c>
      <c r="B738" s="7">
        <v>72.459999084472599</v>
      </c>
      <c r="C738" s="3">
        <f t="shared" si="2"/>
        <v>-2.8167039682924045E-2</v>
      </c>
    </row>
    <row r="739" spans="1:3" ht="13.2" x14ac:dyDescent="0.25">
      <c r="A739" s="6">
        <v>737</v>
      </c>
      <c r="B739" s="7">
        <v>71.110000610351506</v>
      </c>
      <c r="C739" s="3">
        <f t="shared" si="2"/>
        <v>-1.8806690353367274E-2</v>
      </c>
    </row>
    <row r="740" spans="1:3" ht="13.2" x14ac:dyDescent="0.25">
      <c r="A740" s="6">
        <v>738</v>
      </c>
      <c r="B740" s="7">
        <v>71.010002136230398</v>
      </c>
      <c r="C740" s="3">
        <f t="shared" si="2"/>
        <v>-1.407240201111884E-3</v>
      </c>
    </row>
    <row r="741" spans="1:3" ht="13.2" x14ac:dyDescent="0.25">
      <c r="A741" s="6">
        <v>739</v>
      </c>
      <c r="B741" s="7">
        <v>72.989997863769503</v>
      </c>
      <c r="C741" s="3">
        <f t="shared" si="2"/>
        <v>2.750167391858313E-2</v>
      </c>
    </row>
    <row r="742" spans="1:3" ht="13.2" x14ac:dyDescent="0.25">
      <c r="A742" s="6">
        <v>740</v>
      </c>
      <c r="B742" s="7">
        <v>74.480003356933594</v>
      </c>
      <c r="C742" s="3">
        <f t="shared" si="2"/>
        <v>2.0208261844321982E-2</v>
      </c>
    </row>
    <row r="743" spans="1:3" ht="13.2" x14ac:dyDescent="0.25">
      <c r="A743" s="6">
        <v>741</v>
      </c>
      <c r="B743" s="7">
        <v>74.169998168945298</v>
      </c>
      <c r="C743" s="3">
        <f t="shared" si="2"/>
        <v>-4.17094697922371E-3</v>
      </c>
    </row>
    <row r="744" spans="1:3" ht="13.2" x14ac:dyDescent="0.25">
      <c r="A744" s="6">
        <v>742</v>
      </c>
      <c r="B744" s="7">
        <v>75.699996948242102</v>
      </c>
      <c r="C744" s="3">
        <f t="shared" si="2"/>
        <v>2.0418389068361631E-2</v>
      </c>
    </row>
    <row r="745" spans="1:3" ht="13.2" x14ac:dyDescent="0.25">
      <c r="A745" s="6">
        <v>743</v>
      </c>
      <c r="B745" s="7">
        <v>74.580001831054602</v>
      </c>
      <c r="C745" s="3">
        <f t="shared" si="2"/>
        <v>-1.4905720827335057E-2</v>
      </c>
    </row>
    <row r="746" spans="1:3" ht="13.2" x14ac:dyDescent="0.25">
      <c r="A746" s="6">
        <v>744</v>
      </c>
      <c r="B746" s="7">
        <v>74.980003356933594</v>
      </c>
      <c r="C746" s="3">
        <f t="shared" si="2"/>
        <v>5.3490567765940803E-3</v>
      </c>
    </row>
    <row r="747" spans="1:3" ht="13.2" x14ac:dyDescent="0.25">
      <c r="A747" s="6">
        <v>745</v>
      </c>
      <c r="B747" s="7">
        <v>75.900001525878906</v>
      </c>
      <c r="C747" s="3">
        <f t="shared" si="2"/>
        <v>1.2195248426572023E-2</v>
      </c>
    </row>
    <row r="748" spans="1:3" ht="13.2" x14ac:dyDescent="0.25">
      <c r="A748" s="6">
        <v>746</v>
      </c>
      <c r="B748" s="7">
        <v>75.029998779296804</v>
      </c>
      <c r="C748" s="3">
        <f t="shared" si="2"/>
        <v>-1.1528687217288038E-2</v>
      </c>
    </row>
    <row r="749" spans="1:3" ht="13.2" x14ac:dyDescent="0.25">
      <c r="A749" s="6">
        <v>747</v>
      </c>
      <c r="B749" s="7">
        <v>73.629997253417898</v>
      </c>
      <c r="C749" s="3">
        <f t="shared" si="2"/>
        <v>-1.8835503209964501E-2</v>
      </c>
    </row>
    <row r="750" spans="1:3" ht="13.2" x14ac:dyDescent="0.25">
      <c r="A750" s="6">
        <v>748</v>
      </c>
      <c r="B750" s="7">
        <v>73.75</v>
      </c>
      <c r="C750" s="3">
        <f t="shared" si="2"/>
        <v>1.6284811417912541E-3</v>
      </c>
    </row>
    <row r="751" spans="1:3" ht="13.2" x14ac:dyDescent="0.25">
      <c r="A751" s="6">
        <v>749</v>
      </c>
      <c r="B751" s="7">
        <v>74.199996948242102</v>
      </c>
      <c r="C751" s="3">
        <f t="shared" si="2"/>
        <v>6.0831138245920268E-3</v>
      </c>
    </row>
    <row r="752" spans="1:3" ht="13.2" x14ac:dyDescent="0.25">
      <c r="A752" s="6">
        <v>750</v>
      </c>
      <c r="B752" s="7">
        <v>74.720001220703097</v>
      </c>
      <c r="C752" s="3">
        <f t="shared" si="2"/>
        <v>6.9837012130986023E-3</v>
      </c>
    </row>
    <row r="753" spans="1:3" ht="13.2" x14ac:dyDescent="0.25">
      <c r="A753" s="6">
        <v>751</v>
      </c>
      <c r="B753" s="7">
        <v>73.190002441406193</v>
      </c>
      <c r="C753" s="3">
        <f t="shared" si="2"/>
        <v>-2.0688977287384142E-2</v>
      </c>
    </row>
    <row r="754" spans="1:3" ht="13.2" x14ac:dyDescent="0.25">
      <c r="A754" s="6">
        <v>752</v>
      </c>
      <c r="B754" s="7">
        <v>76.839996337890597</v>
      </c>
      <c r="C754" s="3">
        <f t="shared" si="2"/>
        <v>4.8666457271225164E-2</v>
      </c>
    </row>
    <row r="755" spans="1:3" ht="13.2" x14ac:dyDescent="0.25">
      <c r="A755" s="6">
        <v>753</v>
      </c>
      <c r="B755" s="7">
        <v>74.709999084472599</v>
      </c>
      <c r="C755" s="3">
        <f t="shared" si="2"/>
        <v>-2.8111350508166918E-2</v>
      </c>
    </row>
    <row r="756" spans="1:3" ht="13.2" x14ac:dyDescent="0.25">
      <c r="A756" s="6">
        <v>754</v>
      </c>
      <c r="B756" s="7">
        <v>74.809997558593693</v>
      </c>
      <c r="C756" s="3">
        <f t="shared" si="2"/>
        <v>1.3375935162600659E-3</v>
      </c>
    </row>
    <row r="757" spans="1:3" ht="13.2" x14ac:dyDescent="0.25">
      <c r="A757" s="6">
        <v>755</v>
      </c>
      <c r="B757" s="7">
        <v>74.930000305175696</v>
      </c>
      <c r="C757" s="3">
        <f t="shared" si="2"/>
        <v>1.6028151994756442E-3</v>
      </c>
    </row>
    <row r="758" spans="1:3" ht="13.2" x14ac:dyDescent="0.25">
      <c r="A758" s="6">
        <v>756</v>
      </c>
      <c r="B758" s="7">
        <v>76.489997863769503</v>
      </c>
      <c r="C758" s="3">
        <f t="shared" si="2"/>
        <v>2.0605636956511957E-2</v>
      </c>
    </row>
    <row r="759" spans="1:3" ht="13.2" x14ac:dyDescent="0.25">
      <c r="A759" s="6">
        <v>757</v>
      </c>
      <c r="B759" s="7">
        <v>74.779998779296804</v>
      </c>
      <c r="C759" s="3">
        <f t="shared" si="2"/>
        <v>-2.2609532180500418E-2</v>
      </c>
    </row>
    <row r="760" spans="1:3" ht="13.2" x14ac:dyDescent="0.25">
      <c r="A760" s="6">
        <v>758</v>
      </c>
      <c r="B760" s="7">
        <v>77.400001525878906</v>
      </c>
      <c r="C760" s="3">
        <f t="shared" si="2"/>
        <v>3.4436347084837504E-2</v>
      </c>
    </row>
    <row r="761" spans="1:3" ht="13.2" x14ac:dyDescent="0.25">
      <c r="A761" s="6">
        <v>759</v>
      </c>
      <c r="B761" s="7">
        <v>76.779998779296804</v>
      </c>
      <c r="C761" s="3">
        <f t="shared" si="2"/>
        <v>-8.0426266359406497E-3</v>
      </c>
    </row>
    <row r="762" spans="1:3" ht="13.2" x14ac:dyDescent="0.25">
      <c r="A762" s="6">
        <v>760</v>
      </c>
      <c r="B762" s="7">
        <v>79.160003662109304</v>
      </c>
      <c r="C762" s="3">
        <f t="shared" si="2"/>
        <v>3.0526993322544115E-2</v>
      </c>
    </row>
    <row r="763" spans="1:3" ht="13.2" x14ac:dyDescent="0.25">
      <c r="A763" s="6">
        <v>761</v>
      </c>
      <c r="B763" s="7">
        <v>78.849998474121094</v>
      </c>
      <c r="C763" s="3">
        <f t="shared" si="2"/>
        <v>-3.923872939101832E-3</v>
      </c>
    </row>
    <row r="764" spans="1:3" ht="13.2" x14ac:dyDescent="0.25">
      <c r="A764" s="6">
        <v>762</v>
      </c>
      <c r="B764" s="7">
        <v>79.900001525878906</v>
      </c>
      <c r="C764" s="3">
        <f t="shared" si="2"/>
        <v>1.3228577812206219E-2</v>
      </c>
    </row>
    <row r="765" spans="1:3" ht="13.2" x14ac:dyDescent="0.25">
      <c r="A765" s="6">
        <v>763</v>
      </c>
      <c r="B765" s="7">
        <v>81.690002441406193</v>
      </c>
      <c r="C765" s="3">
        <f t="shared" si="2"/>
        <v>2.2155753370421541E-2</v>
      </c>
    </row>
    <row r="766" spans="1:3" ht="13.2" x14ac:dyDescent="0.25">
      <c r="A766" s="6">
        <v>764</v>
      </c>
      <c r="B766" s="7">
        <v>82.010002136230398</v>
      </c>
      <c r="C766" s="3">
        <f t="shared" si="2"/>
        <v>3.9095918567248417E-3</v>
      </c>
    </row>
    <row r="767" spans="1:3" ht="13.2" x14ac:dyDescent="0.25">
      <c r="A767" s="6">
        <v>765</v>
      </c>
      <c r="B767" s="7">
        <v>85</v>
      </c>
      <c r="C767" s="3">
        <f t="shared" si="2"/>
        <v>3.5810039393583411E-2</v>
      </c>
    </row>
    <row r="768" spans="1:3" ht="13.2" x14ac:dyDescent="0.25">
      <c r="A768" s="6">
        <v>766</v>
      </c>
      <c r="B768" s="7">
        <v>83</v>
      </c>
      <c r="C768" s="3">
        <f t="shared" ref="C768:C1022" si="3">LN(B768/B767)</f>
        <v>-2.3810648693718559E-2</v>
      </c>
    </row>
    <row r="769" spans="1:3" ht="13.2" x14ac:dyDescent="0.25">
      <c r="A769" s="6">
        <v>767</v>
      </c>
      <c r="B769" s="7">
        <v>83.099998474121094</v>
      </c>
      <c r="C769" s="3">
        <f t="shared" si="3"/>
        <v>1.2040757028440405E-3</v>
      </c>
    </row>
    <row r="770" spans="1:3" ht="13.2" x14ac:dyDescent="0.25">
      <c r="A770" s="6">
        <v>768</v>
      </c>
      <c r="B770" s="7">
        <v>81.809997558593693</v>
      </c>
      <c r="C770" s="3">
        <f t="shared" si="3"/>
        <v>-1.5645227816230237E-2</v>
      </c>
    </row>
    <row r="771" spans="1:3" ht="13.2" x14ac:dyDescent="0.25">
      <c r="A771" s="6">
        <v>769</v>
      </c>
      <c r="B771" s="7">
        <v>83</v>
      </c>
      <c r="C771" s="3">
        <f t="shared" si="3"/>
        <v>1.4441152113386155E-2</v>
      </c>
    </row>
    <row r="772" spans="1:3" ht="13.2" x14ac:dyDescent="0.25">
      <c r="A772" s="6">
        <v>770</v>
      </c>
      <c r="B772" s="7">
        <v>86</v>
      </c>
      <c r="C772" s="3">
        <f t="shared" si="3"/>
        <v>3.5506688456909817E-2</v>
      </c>
    </row>
    <row r="773" spans="1:3" ht="13.2" x14ac:dyDescent="0.25">
      <c r="A773" s="6">
        <v>771</v>
      </c>
      <c r="B773" s="7">
        <v>87.389999389648395</v>
      </c>
      <c r="C773" s="3">
        <f t="shared" si="3"/>
        <v>1.6033556401718021E-2</v>
      </c>
    </row>
    <row r="774" spans="1:3" ht="13.2" x14ac:dyDescent="0.25">
      <c r="A774" s="6">
        <v>772</v>
      </c>
      <c r="B774" s="7">
        <v>85.639999389648395</v>
      </c>
      <c r="C774" s="3">
        <f t="shared" si="3"/>
        <v>-2.0228396060689182E-2</v>
      </c>
    </row>
    <row r="775" spans="1:3" ht="13.2" x14ac:dyDescent="0.25">
      <c r="A775" s="6">
        <v>773</v>
      </c>
      <c r="B775" s="7">
        <v>85.120002746582003</v>
      </c>
      <c r="C775" s="3">
        <f t="shared" si="3"/>
        <v>-6.0903987340270365E-3</v>
      </c>
    </row>
    <row r="776" spans="1:3" ht="13.2" x14ac:dyDescent="0.25">
      <c r="A776" s="6">
        <v>774</v>
      </c>
      <c r="B776" s="7">
        <v>85.889999389648395</v>
      </c>
      <c r="C776" s="3">
        <f t="shared" si="3"/>
        <v>9.0053428114228017E-3</v>
      </c>
    </row>
    <row r="777" spans="1:3" ht="13.2" x14ac:dyDescent="0.25">
      <c r="A777" s="6">
        <v>775</v>
      </c>
      <c r="B777" s="7">
        <v>86.879997253417898</v>
      </c>
      <c r="C777" s="3">
        <f t="shared" si="3"/>
        <v>1.1460423900178462E-2</v>
      </c>
    </row>
    <row r="778" spans="1:3" ht="13.2" x14ac:dyDescent="0.25">
      <c r="A778" s="6">
        <v>776</v>
      </c>
      <c r="B778" s="7">
        <v>87.150001525878906</v>
      </c>
      <c r="C778" s="3">
        <f t="shared" si="3"/>
        <v>3.1029649025697569E-3</v>
      </c>
    </row>
    <row r="779" spans="1:3" ht="13.2" x14ac:dyDescent="0.25">
      <c r="A779" s="6">
        <v>777</v>
      </c>
      <c r="B779" s="7">
        <v>85.349998474121094</v>
      </c>
      <c r="C779" s="3">
        <f t="shared" si="3"/>
        <v>-2.0870358112132593E-2</v>
      </c>
    </row>
    <row r="780" spans="1:3" ht="13.2" x14ac:dyDescent="0.25">
      <c r="A780" s="6">
        <v>778</v>
      </c>
      <c r="B780" s="7">
        <v>83.360000610351506</v>
      </c>
      <c r="C780" s="3">
        <f t="shared" si="3"/>
        <v>-2.3591846035615933E-2</v>
      </c>
    </row>
    <row r="781" spans="1:3" ht="13.2" x14ac:dyDescent="0.25">
      <c r="A781" s="6">
        <v>779</v>
      </c>
      <c r="B781" s="7">
        <v>82.300003051757798</v>
      </c>
      <c r="C781" s="3">
        <f t="shared" si="3"/>
        <v>-1.279744056301171E-2</v>
      </c>
    </row>
    <row r="782" spans="1:3" ht="13.2" x14ac:dyDescent="0.25">
      <c r="A782" s="6">
        <v>780</v>
      </c>
      <c r="B782" s="7">
        <v>82.819999694824205</v>
      </c>
      <c r="C782" s="3">
        <f t="shared" si="3"/>
        <v>6.2984296686929815E-3</v>
      </c>
    </row>
    <row r="783" spans="1:3" ht="13.2" x14ac:dyDescent="0.25">
      <c r="A783" s="6">
        <v>781</v>
      </c>
      <c r="B783" s="7">
        <v>82.589996337890597</v>
      </c>
      <c r="C783" s="3">
        <f t="shared" si="3"/>
        <v>-2.7810109508216033E-3</v>
      </c>
    </row>
    <row r="784" spans="1:3" ht="13.2" x14ac:dyDescent="0.25">
      <c r="A784" s="6">
        <v>782</v>
      </c>
      <c r="B784" s="7">
        <v>84.089996337890597</v>
      </c>
      <c r="C784" s="3">
        <f t="shared" si="3"/>
        <v>1.79990468131342E-2</v>
      </c>
    </row>
    <row r="785" spans="1:3" ht="13.2" x14ac:dyDescent="0.25">
      <c r="A785" s="6">
        <v>783</v>
      </c>
      <c r="B785" s="7">
        <v>86.830001831054602</v>
      </c>
      <c r="C785" s="3">
        <f t="shared" si="3"/>
        <v>3.206459486543848E-2</v>
      </c>
    </row>
    <row r="786" spans="1:3" ht="13.2" x14ac:dyDescent="0.25">
      <c r="A786" s="6">
        <v>784</v>
      </c>
      <c r="B786" s="7">
        <v>85.970001220703097</v>
      </c>
      <c r="C786" s="3">
        <f t="shared" si="3"/>
        <v>-9.9537927748364376E-3</v>
      </c>
    </row>
    <row r="787" spans="1:3" ht="13.2" x14ac:dyDescent="0.25">
      <c r="A787" s="6">
        <v>785</v>
      </c>
      <c r="B787" s="7">
        <v>83</v>
      </c>
      <c r="C787" s="3">
        <f t="shared" si="3"/>
        <v>-3.5157804588929954E-2</v>
      </c>
    </row>
    <row r="788" spans="1:3" ht="13.2" x14ac:dyDescent="0.25">
      <c r="A788" s="6">
        <v>786</v>
      </c>
      <c r="B788" s="7">
        <v>82.099998474121094</v>
      </c>
      <c r="C788" s="3">
        <f t="shared" si="3"/>
        <v>-1.0902609923829571E-2</v>
      </c>
    </row>
    <row r="789" spans="1:3" ht="13.2" x14ac:dyDescent="0.25">
      <c r="A789" s="6">
        <v>787</v>
      </c>
      <c r="B789" s="7">
        <v>83.989997863769503</v>
      </c>
      <c r="C789" s="3">
        <f t="shared" si="3"/>
        <v>2.275972083042373E-2</v>
      </c>
    </row>
    <row r="790" spans="1:3" ht="13.2" x14ac:dyDescent="0.25">
      <c r="A790" s="6">
        <v>788</v>
      </c>
      <c r="B790" s="7">
        <v>84.739997863769503</v>
      </c>
      <c r="C790" s="3">
        <f t="shared" si="3"/>
        <v>8.8900012859865832E-3</v>
      </c>
    </row>
    <row r="791" spans="1:3" ht="13.2" x14ac:dyDescent="0.25">
      <c r="A791" s="6">
        <v>789</v>
      </c>
      <c r="B791" s="7">
        <v>84.430000305175696</v>
      </c>
      <c r="C791" s="3">
        <f t="shared" si="3"/>
        <v>-3.6649276932291595E-3</v>
      </c>
    </row>
    <row r="792" spans="1:3" ht="13.2" x14ac:dyDescent="0.25">
      <c r="A792" s="6">
        <v>790</v>
      </c>
      <c r="B792" s="7">
        <v>87.879997253417898</v>
      </c>
      <c r="C792" s="3">
        <f t="shared" si="3"/>
        <v>4.0049423966680361E-2</v>
      </c>
    </row>
    <row r="793" spans="1:3" ht="13.2" x14ac:dyDescent="0.25">
      <c r="A793" s="6">
        <v>791</v>
      </c>
      <c r="B793" s="7">
        <v>86.379997253417898</v>
      </c>
      <c r="C793" s="3">
        <f t="shared" si="3"/>
        <v>-1.7216080526580326E-2</v>
      </c>
    </row>
    <row r="794" spans="1:3" ht="13.2" x14ac:dyDescent="0.25">
      <c r="A794" s="6">
        <v>792</v>
      </c>
      <c r="B794" s="7">
        <v>84.209999084472599</v>
      </c>
      <c r="C794" s="3">
        <f t="shared" si="3"/>
        <v>-2.544246756610459E-2</v>
      </c>
    </row>
    <row r="795" spans="1:3" ht="13.2" x14ac:dyDescent="0.25">
      <c r="A795" s="6">
        <v>793</v>
      </c>
      <c r="B795" s="7">
        <v>84.529998779296804</v>
      </c>
      <c r="C795" s="3">
        <f t="shared" si="3"/>
        <v>3.7928183298265644E-3</v>
      </c>
    </row>
    <row r="796" spans="1:3" ht="13.2" x14ac:dyDescent="0.25">
      <c r="A796" s="6">
        <v>794</v>
      </c>
      <c r="B796" s="7">
        <v>86.370002746582003</v>
      </c>
      <c r="C796" s="3">
        <f t="shared" si="3"/>
        <v>2.1533938592607393E-2</v>
      </c>
    </row>
    <row r="797" spans="1:3" ht="13.2" x14ac:dyDescent="0.25">
      <c r="A797" s="6">
        <v>795</v>
      </c>
      <c r="B797" s="7">
        <v>86.050003051757798</v>
      </c>
      <c r="C797" s="3">
        <f t="shared" si="3"/>
        <v>-3.711866969894569E-3</v>
      </c>
    </row>
    <row r="798" spans="1:3" ht="13.2" x14ac:dyDescent="0.25">
      <c r="A798" s="6">
        <v>796</v>
      </c>
      <c r="B798" s="7">
        <v>87.220001220703097</v>
      </c>
      <c r="C798" s="3">
        <f t="shared" si="3"/>
        <v>1.350511828781463E-2</v>
      </c>
    </row>
    <row r="799" spans="1:3" ht="13.2" x14ac:dyDescent="0.25">
      <c r="A799" s="6">
        <v>797</v>
      </c>
      <c r="B799" s="7">
        <v>85.019996643066406</v>
      </c>
      <c r="C799" s="3">
        <f t="shared" si="3"/>
        <v>-2.5547192963701688E-2</v>
      </c>
    </row>
    <row r="800" spans="1:3" ht="13.2" x14ac:dyDescent="0.25">
      <c r="A800" s="6">
        <v>798</v>
      </c>
      <c r="B800" s="7">
        <v>87.660003662109304</v>
      </c>
      <c r="C800" s="3">
        <f t="shared" si="3"/>
        <v>3.0579253320351749E-2</v>
      </c>
    </row>
    <row r="801" spans="1:3" ht="13.2" x14ac:dyDescent="0.25">
      <c r="A801" s="6">
        <v>799</v>
      </c>
      <c r="B801" s="7">
        <v>86.139999389648395</v>
      </c>
      <c r="C801" s="3">
        <f t="shared" si="3"/>
        <v>-1.7491864226561574E-2</v>
      </c>
    </row>
    <row r="802" spans="1:3" ht="13.2" x14ac:dyDescent="0.25">
      <c r="A802" s="6">
        <v>800</v>
      </c>
      <c r="B802" s="7">
        <v>87</v>
      </c>
      <c r="C802" s="3">
        <f t="shared" si="3"/>
        <v>9.9342461141961741E-3</v>
      </c>
    </row>
    <row r="803" spans="1:3" ht="13.2" x14ac:dyDescent="0.25">
      <c r="A803" s="6">
        <v>801</v>
      </c>
      <c r="B803" s="7">
        <v>84.360000610351506</v>
      </c>
      <c r="C803" s="3">
        <f t="shared" si="3"/>
        <v>-3.0814755808928028E-2</v>
      </c>
    </row>
    <row r="804" spans="1:3" ht="13.2" x14ac:dyDescent="0.25">
      <c r="A804" s="6">
        <v>802</v>
      </c>
      <c r="B804" s="7">
        <v>84.160003662109304</v>
      </c>
      <c r="C804" s="3">
        <f t="shared" si="3"/>
        <v>-2.373570342600688E-3</v>
      </c>
    </row>
    <row r="805" spans="1:3" ht="13.2" x14ac:dyDescent="0.25">
      <c r="A805" s="6">
        <v>803</v>
      </c>
      <c r="B805" s="7">
        <v>82.019996643066406</v>
      </c>
      <c r="C805" s="3">
        <f t="shared" si="3"/>
        <v>-2.5756713467374657E-2</v>
      </c>
    </row>
    <row r="806" spans="1:3" ht="13.2" x14ac:dyDescent="0.25">
      <c r="A806" s="6">
        <v>804</v>
      </c>
      <c r="B806" s="7">
        <v>84.830001831054602</v>
      </c>
      <c r="C806" s="3">
        <f t="shared" si="3"/>
        <v>3.3686196368951773E-2</v>
      </c>
    </row>
    <row r="807" spans="1:3" ht="13.2" x14ac:dyDescent="0.25">
      <c r="A807" s="6">
        <v>805</v>
      </c>
      <c r="B807" s="7">
        <v>84.419998168945298</v>
      </c>
      <c r="C807" s="3">
        <f t="shared" si="3"/>
        <v>-4.8449567401006709E-3</v>
      </c>
    </row>
    <row r="808" spans="1:3" ht="13.2" x14ac:dyDescent="0.25">
      <c r="A808" s="6">
        <v>806</v>
      </c>
      <c r="B808" s="7">
        <v>83.559997558593693</v>
      </c>
      <c r="C808" s="3">
        <f t="shared" si="3"/>
        <v>-1.0239411193571033E-2</v>
      </c>
    </row>
    <row r="809" spans="1:3" ht="13.2" x14ac:dyDescent="0.25">
      <c r="A809" s="6">
        <v>807</v>
      </c>
      <c r="B809" s="7">
        <v>86.330001831054602</v>
      </c>
      <c r="C809" s="3">
        <f t="shared" si="3"/>
        <v>3.2612275986416299E-2</v>
      </c>
    </row>
    <row r="810" spans="1:3" ht="13.2" x14ac:dyDescent="0.25">
      <c r="A810" s="6">
        <v>808</v>
      </c>
      <c r="B810" s="7">
        <v>89.980003356933594</v>
      </c>
      <c r="C810" s="3">
        <f t="shared" si="3"/>
        <v>4.1410277263201588E-2</v>
      </c>
    </row>
    <row r="811" spans="1:3" ht="13.2" x14ac:dyDescent="0.25">
      <c r="A811" s="6">
        <v>809</v>
      </c>
      <c r="B811" s="7">
        <v>89.239997863769503</v>
      </c>
      <c r="C811" s="3">
        <f t="shared" si="3"/>
        <v>-8.2581150942846009E-3</v>
      </c>
    </row>
    <row r="812" spans="1:3" ht="13.2" x14ac:dyDescent="0.25">
      <c r="A812" s="6">
        <v>810</v>
      </c>
      <c r="B812" s="7">
        <v>87.360000610351506</v>
      </c>
      <c r="C812" s="3">
        <f t="shared" si="3"/>
        <v>-2.1291826643074344E-2</v>
      </c>
    </row>
    <row r="813" spans="1:3" ht="13.2" x14ac:dyDescent="0.25">
      <c r="A813" s="6">
        <v>811</v>
      </c>
      <c r="B813" s="7">
        <v>89.129997253417898</v>
      </c>
      <c r="C813" s="3">
        <f t="shared" si="3"/>
        <v>2.0058428343944557E-2</v>
      </c>
    </row>
    <row r="814" spans="1:3" ht="13.2" x14ac:dyDescent="0.25">
      <c r="A814" s="6">
        <v>812</v>
      </c>
      <c r="B814" s="7">
        <v>89.669998168945298</v>
      </c>
      <c r="C814" s="3">
        <f t="shared" si="3"/>
        <v>6.0402972168668899E-3</v>
      </c>
    </row>
    <row r="815" spans="1:3" ht="13.2" x14ac:dyDescent="0.25">
      <c r="A815" s="6">
        <v>813</v>
      </c>
      <c r="B815" s="7">
        <v>91.400001525878906</v>
      </c>
      <c r="C815" s="3">
        <f t="shared" si="3"/>
        <v>1.9109250610591069E-2</v>
      </c>
    </row>
    <row r="816" spans="1:3" ht="13.2" x14ac:dyDescent="0.25">
      <c r="A816" s="6">
        <v>814</v>
      </c>
      <c r="B816" s="7">
        <v>92.800003051757798</v>
      </c>
      <c r="C816" s="3">
        <f t="shared" si="3"/>
        <v>1.5201177522853791E-2</v>
      </c>
    </row>
    <row r="817" spans="1:3" ht="13.2" x14ac:dyDescent="0.25">
      <c r="A817" s="6">
        <v>815</v>
      </c>
      <c r="B817" s="7">
        <v>90.349998474121094</v>
      </c>
      <c r="C817" s="3">
        <f t="shared" si="3"/>
        <v>-2.6755672527770537E-2</v>
      </c>
    </row>
    <row r="818" spans="1:3" ht="13.2" x14ac:dyDescent="0.25">
      <c r="A818" s="6">
        <v>816</v>
      </c>
      <c r="B818" s="7">
        <v>92.150001525878906</v>
      </c>
      <c r="C818" s="3">
        <f t="shared" si="3"/>
        <v>1.9726700524769679E-2</v>
      </c>
    </row>
    <row r="819" spans="1:3" ht="13.2" x14ac:dyDescent="0.25">
      <c r="A819" s="6">
        <v>817</v>
      </c>
      <c r="B819" s="7">
        <v>92.050003051757798</v>
      </c>
      <c r="C819" s="3">
        <f t="shared" si="3"/>
        <v>-1.0857598421260028E-3</v>
      </c>
    </row>
    <row r="820" spans="1:3" ht="13.2" x14ac:dyDescent="0.25">
      <c r="A820" s="6">
        <v>818</v>
      </c>
      <c r="B820" s="7">
        <v>92.720001220703097</v>
      </c>
      <c r="C820" s="3">
        <f t="shared" si="3"/>
        <v>7.2522713646252122E-3</v>
      </c>
    </row>
    <row r="821" spans="1:3" ht="13.2" x14ac:dyDescent="0.25">
      <c r="A821" s="6">
        <v>819</v>
      </c>
      <c r="B821" s="7">
        <v>94.970001220703097</v>
      </c>
      <c r="C821" s="3">
        <f t="shared" si="3"/>
        <v>2.3976852911452476E-2</v>
      </c>
    </row>
    <row r="822" spans="1:3" ht="13.2" x14ac:dyDescent="0.25">
      <c r="A822" s="6">
        <v>820</v>
      </c>
      <c r="B822" s="7">
        <v>94.889999389648395</v>
      </c>
      <c r="C822" s="3">
        <f t="shared" si="3"/>
        <v>-8.4274555496081406E-4</v>
      </c>
    </row>
    <row r="823" spans="1:3" ht="13.2" x14ac:dyDescent="0.25">
      <c r="A823" s="6">
        <v>821</v>
      </c>
      <c r="B823" s="7">
        <v>96.620002746582003</v>
      </c>
      <c r="C823" s="3">
        <f t="shared" si="3"/>
        <v>1.8067467999435177E-2</v>
      </c>
    </row>
    <row r="824" spans="1:3" ht="13.2" x14ac:dyDescent="0.25">
      <c r="A824" s="6">
        <v>822</v>
      </c>
      <c r="B824" s="7">
        <v>97</v>
      </c>
      <c r="C824" s="3">
        <f t="shared" si="3"/>
        <v>3.9251909504821932E-3</v>
      </c>
    </row>
    <row r="825" spans="1:3" ht="13.2" x14ac:dyDescent="0.25">
      <c r="A825" s="6">
        <v>823</v>
      </c>
      <c r="B825" s="7">
        <v>97</v>
      </c>
      <c r="C825" s="3">
        <f t="shared" si="3"/>
        <v>0</v>
      </c>
    </row>
    <row r="826" spans="1:3" ht="13.2" x14ac:dyDescent="0.25">
      <c r="A826" s="6">
        <v>824</v>
      </c>
      <c r="B826" s="7">
        <v>95.5</v>
      </c>
      <c r="C826" s="3">
        <f t="shared" si="3"/>
        <v>-1.5584731016698203E-2</v>
      </c>
    </row>
    <row r="827" spans="1:3" ht="13.2" x14ac:dyDescent="0.25">
      <c r="A827" s="6">
        <v>825</v>
      </c>
      <c r="B827" s="7">
        <v>94.5</v>
      </c>
      <c r="C827" s="3">
        <f t="shared" si="3"/>
        <v>-1.0526412986987504E-2</v>
      </c>
    </row>
    <row r="828" spans="1:3" ht="13.2" x14ac:dyDescent="0.25">
      <c r="A828" s="6">
        <v>826</v>
      </c>
      <c r="B828" s="7">
        <v>95.5</v>
      </c>
      <c r="C828" s="3">
        <f t="shared" si="3"/>
        <v>1.0526412986987603E-2</v>
      </c>
    </row>
    <row r="829" spans="1:3" ht="13.2" x14ac:dyDescent="0.25">
      <c r="A829" s="6">
        <v>827</v>
      </c>
      <c r="B829" s="7">
        <v>95.169998168945298</v>
      </c>
      <c r="C829" s="3">
        <f t="shared" si="3"/>
        <v>-3.4615006422636053E-3</v>
      </c>
    </row>
    <row r="830" spans="1:3" ht="13.2" x14ac:dyDescent="0.25">
      <c r="A830" s="6">
        <v>828</v>
      </c>
      <c r="B830" s="7">
        <v>96.949996948242102</v>
      </c>
      <c r="C830" s="3">
        <f t="shared" si="3"/>
        <v>1.8530603366592045E-2</v>
      </c>
    </row>
    <row r="831" spans="1:3" ht="13.2" x14ac:dyDescent="0.25">
      <c r="A831" s="6">
        <v>829</v>
      </c>
      <c r="B831" s="7">
        <v>95.349998474121094</v>
      </c>
      <c r="C831" s="3">
        <f t="shared" si="3"/>
        <v>-1.6641034167510185E-2</v>
      </c>
    </row>
    <row r="832" spans="1:3" ht="13.2" x14ac:dyDescent="0.25">
      <c r="A832" s="6">
        <v>830</v>
      </c>
      <c r="B832" s="7">
        <v>93.080001831054602</v>
      </c>
      <c r="C832" s="3">
        <f t="shared" si="3"/>
        <v>-2.4094957937574917E-2</v>
      </c>
    </row>
    <row r="833" spans="1:3" ht="13.2" x14ac:dyDescent="0.25">
      <c r="A833" s="6">
        <v>831</v>
      </c>
      <c r="B833" s="7">
        <v>93.529998779296804</v>
      </c>
      <c r="C833" s="3">
        <f t="shared" si="3"/>
        <v>4.8228692890699906E-3</v>
      </c>
    </row>
    <row r="834" spans="1:3" ht="13.2" x14ac:dyDescent="0.25">
      <c r="A834" s="6">
        <v>832</v>
      </c>
      <c r="B834" s="7">
        <v>93.319999694824205</v>
      </c>
      <c r="C834" s="3">
        <f t="shared" si="3"/>
        <v>-2.2477835119765872E-3</v>
      </c>
    </row>
    <row r="835" spans="1:3" ht="13.2" x14ac:dyDescent="0.25">
      <c r="A835" s="6">
        <v>833</v>
      </c>
      <c r="B835" s="7">
        <v>92.980003356933594</v>
      </c>
      <c r="C835" s="3">
        <f t="shared" si="3"/>
        <v>-3.6499915167589282E-3</v>
      </c>
    </row>
    <row r="836" spans="1:3" ht="13.2" x14ac:dyDescent="0.25">
      <c r="A836" s="6">
        <v>834</v>
      </c>
      <c r="B836" s="7">
        <v>89.569999694824205</v>
      </c>
      <c r="C836" s="3">
        <f t="shared" si="3"/>
        <v>-3.7364013286279099E-2</v>
      </c>
    </row>
    <row r="837" spans="1:3" ht="13.2" x14ac:dyDescent="0.25">
      <c r="A837" s="6">
        <v>835</v>
      </c>
      <c r="B837" s="7">
        <v>90.709999084472599</v>
      </c>
      <c r="C837" s="3">
        <f t="shared" si="3"/>
        <v>1.2647155453964625E-2</v>
      </c>
    </row>
    <row r="838" spans="1:3" ht="13.2" x14ac:dyDescent="0.25">
      <c r="A838" s="6">
        <v>836</v>
      </c>
      <c r="B838" s="7">
        <v>90.940002441406193</v>
      </c>
      <c r="C838" s="3">
        <f t="shared" si="3"/>
        <v>2.5323807092566485E-3</v>
      </c>
    </row>
    <row r="839" spans="1:3" ht="13.2" x14ac:dyDescent="0.25">
      <c r="A839" s="6">
        <v>837</v>
      </c>
      <c r="B839" s="7">
        <v>89.900001525878906</v>
      </c>
      <c r="C839" s="3">
        <f t="shared" si="3"/>
        <v>-1.1502016792560995E-2</v>
      </c>
    </row>
    <row r="840" spans="1:3" ht="13.2" x14ac:dyDescent="0.25">
      <c r="A840" s="6">
        <v>838</v>
      </c>
      <c r="B840" s="7">
        <v>90.290000915527301</v>
      </c>
      <c r="C840" s="3">
        <f t="shared" si="3"/>
        <v>4.3287640085970169E-3</v>
      </c>
    </row>
    <row r="841" spans="1:3" ht="13.2" x14ac:dyDescent="0.25">
      <c r="A841" s="6">
        <v>839</v>
      </c>
      <c r="B841" s="7">
        <v>87.769996643066406</v>
      </c>
      <c r="C841" s="3">
        <f t="shared" si="3"/>
        <v>-2.8307004102151253E-2</v>
      </c>
    </row>
    <row r="842" spans="1:3" ht="13.2" x14ac:dyDescent="0.25">
      <c r="A842" s="6">
        <v>840</v>
      </c>
      <c r="B842" s="7">
        <v>88.559997558593693</v>
      </c>
      <c r="C842" s="3">
        <f t="shared" si="3"/>
        <v>8.9605424754697991E-3</v>
      </c>
    </row>
    <row r="843" spans="1:3" ht="13.2" x14ac:dyDescent="0.25">
      <c r="A843" s="6">
        <v>841</v>
      </c>
      <c r="B843" s="7">
        <v>87.610000610351506</v>
      </c>
      <c r="C843" s="3">
        <f t="shared" si="3"/>
        <v>-1.0785107187599077E-2</v>
      </c>
    </row>
    <row r="844" spans="1:3" ht="13.2" x14ac:dyDescent="0.25">
      <c r="A844" s="6">
        <v>842</v>
      </c>
      <c r="B844" s="7">
        <v>86.339996337890597</v>
      </c>
      <c r="C844" s="3">
        <f t="shared" si="3"/>
        <v>-1.460220593260993E-2</v>
      </c>
    </row>
    <row r="845" spans="1:3" ht="13.2" x14ac:dyDescent="0.25">
      <c r="A845" s="6">
        <v>843</v>
      </c>
      <c r="B845" s="7">
        <v>87.300003051757798</v>
      </c>
      <c r="C845" s="3">
        <f t="shared" si="3"/>
        <v>1.1057550090339607E-2</v>
      </c>
    </row>
    <row r="846" spans="1:3" ht="13.2" x14ac:dyDescent="0.25">
      <c r="A846" s="6">
        <v>844</v>
      </c>
      <c r="B846" s="7">
        <v>87.709999084472599</v>
      </c>
      <c r="C846" s="3">
        <f t="shared" si="3"/>
        <v>4.6854097224814685E-3</v>
      </c>
    </row>
    <row r="847" spans="1:3" ht="13.2" x14ac:dyDescent="0.25">
      <c r="A847" s="6">
        <v>845</v>
      </c>
      <c r="B847" s="7">
        <v>88.540000915527301</v>
      </c>
      <c r="C847" s="3">
        <f t="shared" si="3"/>
        <v>9.418530119091148E-3</v>
      </c>
    </row>
    <row r="848" spans="1:3" ht="13.2" x14ac:dyDescent="0.25">
      <c r="A848" s="6">
        <v>846</v>
      </c>
      <c r="B848" s="7">
        <v>88.949996948242102</v>
      </c>
      <c r="C848" s="3">
        <f t="shared" si="3"/>
        <v>4.6199421588917784E-3</v>
      </c>
    </row>
    <row r="849" spans="1:3" ht="13.2" x14ac:dyDescent="0.25">
      <c r="A849" s="6">
        <v>847</v>
      </c>
      <c r="B849" s="7">
        <v>90.870002746582003</v>
      </c>
      <c r="C849" s="3">
        <f t="shared" si="3"/>
        <v>2.1355564129499651E-2</v>
      </c>
    </row>
    <row r="850" spans="1:3" ht="13.2" x14ac:dyDescent="0.25">
      <c r="A850" s="6">
        <v>848</v>
      </c>
      <c r="B850" s="7">
        <v>90.319999694824205</v>
      </c>
      <c r="C850" s="3">
        <f t="shared" si="3"/>
        <v>-6.071027470076062E-3</v>
      </c>
    </row>
    <row r="851" spans="1:3" ht="13.2" x14ac:dyDescent="0.25">
      <c r="A851" s="6">
        <v>849</v>
      </c>
      <c r="B851" s="7">
        <v>87.519996643066406</v>
      </c>
      <c r="C851" s="3">
        <f t="shared" si="3"/>
        <v>-3.149161614509588E-2</v>
      </c>
    </row>
    <row r="852" spans="1:3" ht="13.2" x14ac:dyDescent="0.25">
      <c r="A852" s="6">
        <v>850</v>
      </c>
      <c r="B852" s="7">
        <v>87.419998168945298</v>
      </c>
      <c r="C852" s="3">
        <f t="shared" si="3"/>
        <v>-1.1432318278035134E-3</v>
      </c>
    </row>
    <row r="853" spans="1:3" ht="13.2" x14ac:dyDescent="0.25">
      <c r="A853" s="6">
        <v>851</v>
      </c>
      <c r="B853" s="7">
        <v>87.400001525878906</v>
      </c>
      <c r="C853" s="3">
        <f t="shared" si="3"/>
        <v>-2.2876836962031226E-4</v>
      </c>
    </row>
    <row r="854" spans="1:3" ht="13.2" x14ac:dyDescent="0.25">
      <c r="A854" s="6">
        <v>852</v>
      </c>
      <c r="B854" s="7">
        <v>88.139999389648395</v>
      </c>
      <c r="C854" s="3">
        <f t="shared" si="3"/>
        <v>8.4311523689854992E-3</v>
      </c>
    </row>
    <row r="855" spans="1:3" ht="13.2" x14ac:dyDescent="0.25">
      <c r="A855" s="6">
        <v>853</v>
      </c>
      <c r="B855" s="7">
        <v>86.870002746582003</v>
      </c>
      <c r="C855" s="3">
        <f t="shared" si="3"/>
        <v>-1.4513672600063235E-2</v>
      </c>
    </row>
    <row r="856" spans="1:3" ht="13.2" x14ac:dyDescent="0.25">
      <c r="A856" s="6">
        <v>854</v>
      </c>
      <c r="B856" s="7">
        <v>87.040000915527301</v>
      </c>
      <c r="C856" s="3">
        <f t="shared" si="3"/>
        <v>1.9550137371178691E-3</v>
      </c>
    </row>
    <row r="857" spans="1:3" ht="13.2" x14ac:dyDescent="0.25">
      <c r="A857" s="6">
        <v>855</v>
      </c>
      <c r="B857" s="7">
        <v>86.949996948242102</v>
      </c>
      <c r="C857" s="3">
        <f t="shared" si="3"/>
        <v>-1.0345879236553965E-3</v>
      </c>
    </row>
    <row r="858" spans="1:3" ht="13.2" x14ac:dyDescent="0.25">
      <c r="A858" s="6">
        <v>856</v>
      </c>
      <c r="B858" s="7">
        <v>84.419998168945298</v>
      </c>
      <c r="C858" s="3">
        <f t="shared" si="3"/>
        <v>-2.9528887037911955E-2</v>
      </c>
    </row>
    <row r="859" spans="1:3" ht="13.2" x14ac:dyDescent="0.25">
      <c r="A859" s="6">
        <v>857</v>
      </c>
      <c r="B859" s="7">
        <v>84.760002136230398</v>
      </c>
      <c r="C859" s="3">
        <f t="shared" si="3"/>
        <v>4.0194399388512516E-3</v>
      </c>
    </row>
    <row r="860" spans="1:3" ht="13.2" x14ac:dyDescent="0.25">
      <c r="A860" s="6">
        <v>858</v>
      </c>
      <c r="B860" s="7">
        <v>84.790000915527301</v>
      </c>
      <c r="C860" s="3">
        <f t="shared" si="3"/>
        <v>3.5386351011489477E-4</v>
      </c>
    </row>
    <row r="861" spans="1:3" ht="13.2" x14ac:dyDescent="0.25">
      <c r="A861" s="6">
        <v>859</v>
      </c>
      <c r="B861" s="7">
        <v>84.919998168945298</v>
      </c>
      <c r="C861" s="3">
        <f t="shared" si="3"/>
        <v>1.5319931594439539E-3</v>
      </c>
    </row>
    <row r="862" spans="1:3" ht="13.2" x14ac:dyDescent="0.25">
      <c r="A862" s="6">
        <v>860</v>
      </c>
      <c r="B862" s="7">
        <v>84.190002441406193</v>
      </c>
      <c r="C862" s="3">
        <f t="shared" si="3"/>
        <v>-8.6334369246021999E-3</v>
      </c>
    </row>
    <row r="863" spans="1:3" ht="13.2" x14ac:dyDescent="0.25">
      <c r="A863" s="6">
        <v>861</v>
      </c>
      <c r="B863" s="7">
        <v>86.199996948242102</v>
      </c>
      <c r="C863" s="3">
        <f t="shared" si="3"/>
        <v>2.3593963918083733E-2</v>
      </c>
    </row>
    <row r="864" spans="1:3" ht="13.2" x14ac:dyDescent="0.25">
      <c r="A864" s="6">
        <v>862</v>
      </c>
      <c r="B864" s="7">
        <v>85.610000610351506</v>
      </c>
      <c r="C864" s="3">
        <f t="shared" si="3"/>
        <v>-6.8680363825869483E-3</v>
      </c>
    </row>
    <row r="865" spans="1:3" ht="13.2" x14ac:dyDescent="0.25">
      <c r="A865" s="6">
        <v>863</v>
      </c>
      <c r="B865" s="7">
        <v>84.569999694824205</v>
      </c>
      <c r="C865" s="3">
        <f t="shared" si="3"/>
        <v>-1.2222515698263629E-2</v>
      </c>
    </row>
    <row r="866" spans="1:3" ht="13.2" x14ac:dyDescent="0.25">
      <c r="A866" s="6">
        <v>864</v>
      </c>
      <c r="B866" s="7">
        <v>89.160003662109304</v>
      </c>
      <c r="C866" s="3">
        <f t="shared" si="3"/>
        <v>5.2852959405550612E-2</v>
      </c>
    </row>
    <row r="867" spans="1:3" ht="13.2" x14ac:dyDescent="0.25">
      <c r="A867" s="6">
        <v>865</v>
      </c>
      <c r="B867" s="7">
        <v>91.379997253417898</v>
      </c>
      <c r="C867" s="3">
        <f t="shared" si="3"/>
        <v>2.4594056487292806E-2</v>
      </c>
    </row>
    <row r="868" spans="1:3" ht="13.2" x14ac:dyDescent="0.25">
      <c r="A868" s="6">
        <v>866</v>
      </c>
      <c r="B868" s="7">
        <v>89.620002746582003</v>
      </c>
      <c r="C868" s="3">
        <f t="shared" si="3"/>
        <v>-1.9448066073442943E-2</v>
      </c>
    </row>
    <row r="869" spans="1:3" ht="13.2" x14ac:dyDescent="0.25">
      <c r="A869" s="6">
        <v>867</v>
      </c>
      <c r="B869" s="7">
        <v>89.730003356933594</v>
      </c>
      <c r="C869" s="3">
        <f t="shared" si="3"/>
        <v>1.226658716489679E-3</v>
      </c>
    </row>
    <row r="870" spans="1:3" ht="13.2" x14ac:dyDescent="0.25">
      <c r="A870" s="6">
        <v>868</v>
      </c>
      <c r="B870" s="7">
        <v>91.089996337890597</v>
      </c>
      <c r="C870" s="3">
        <f t="shared" si="3"/>
        <v>1.5042789832056239E-2</v>
      </c>
    </row>
    <row r="871" spans="1:3" ht="13.2" x14ac:dyDescent="0.25">
      <c r="A871" s="6">
        <v>869</v>
      </c>
      <c r="B871" s="7">
        <v>88.480003356933594</v>
      </c>
      <c r="C871" s="3">
        <f t="shared" si="3"/>
        <v>-2.9071412839467646E-2</v>
      </c>
    </row>
    <row r="872" spans="1:3" ht="13.2" x14ac:dyDescent="0.25">
      <c r="A872" s="6">
        <v>870</v>
      </c>
      <c r="B872" s="7">
        <v>92.629997253417898</v>
      </c>
      <c r="C872" s="3">
        <f t="shared" si="3"/>
        <v>4.5836457900777144E-2</v>
      </c>
    </row>
    <row r="873" spans="1:3" ht="13.2" x14ac:dyDescent="0.25">
      <c r="A873" s="6">
        <v>871</v>
      </c>
      <c r="B873" s="7">
        <v>94.239997863769503</v>
      </c>
      <c r="C873" s="3">
        <f t="shared" si="3"/>
        <v>1.7231663620467602E-2</v>
      </c>
    </row>
    <row r="874" spans="1:3" ht="13.2" x14ac:dyDescent="0.25">
      <c r="A874" s="6">
        <v>872</v>
      </c>
      <c r="B874" s="7">
        <v>96.650001525878906</v>
      </c>
      <c r="C874" s="3">
        <f t="shared" si="3"/>
        <v>2.5251524206720367E-2</v>
      </c>
    </row>
    <row r="875" spans="1:3" ht="13.2" x14ac:dyDescent="0.25">
      <c r="A875" s="6">
        <v>873</v>
      </c>
      <c r="B875" s="7">
        <v>98.360000610351506</v>
      </c>
      <c r="C875" s="3">
        <f t="shared" si="3"/>
        <v>1.7538002111257403E-2</v>
      </c>
    </row>
    <row r="876" spans="1:3" ht="13.2" x14ac:dyDescent="0.25">
      <c r="A876" s="6">
        <v>874</v>
      </c>
      <c r="B876" s="7">
        <v>95.819999694824205</v>
      </c>
      <c r="C876" s="3">
        <f t="shared" si="3"/>
        <v>-2.6162795283183615E-2</v>
      </c>
    </row>
    <row r="877" spans="1:3" ht="13.2" x14ac:dyDescent="0.25">
      <c r="A877" s="6">
        <v>875</v>
      </c>
      <c r="B877" s="7">
        <v>98.160003662109304</v>
      </c>
      <c r="C877" s="3">
        <f t="shared" si="3"/>
        <v>2.412740944011749E-2</v>
      </c>
    </row>
    <row r="878" spans="1:3" ht="13.2" x14ac:dyDescent="0.25">
      <c r="A878" s="6">
        <v>876</v>
      </c>
      <c r="B878" s="7">
        <v>96.910003662109304</v>
      </c>
      <c r="C878" s="3">
        <f t="shared" si="3"/>
        <v>-1.281608717498344E-2</v>
      </c>
    </row>
    <row r="879" spans="1:3" ht="13.2" x14ac:dyDescent="0.25">
      <c r="A879" s="6">
        <v>877</v>
      </c>
      <c r="B879" s="7">
        <v>96.989997863769503</v>
      </c>
      <c r="C879" s="3">
        <f t="shared" si="3"/>
        <v>8.2510784496193489E-4</v>
      </c>
    </row>
    <row r="880" spans="1:3" ht="13.2" x14ac:dyDescent="0.25">
      <c r="A880" s="6">
        <v>878</v>
      </c>
      <c r="B880" s="7">
        <v>99.819999694824205</v>
      </c>
      <c r="C880" s="3">
        <f t="shared" si="3"/>
        <v>2.8760702604016461E-2</v>
      </c>
    </row>
    <row r="881" spans="1:3" ht="13.2" x14ac:dyDescent="0.25">
      <c r="A881" s="6">
        <v>879</v>
      </c>
      <c r="B881" s="7">
        <v>103.180000305175</v>
      </c>
      <c r="C881" s="3">
        <f t="shared" si="3"/>
        <v>3.3106477789996917E-2</v>
      </c>
    </row>
    <row r="882" spans="1:3" ht="13.2" x14ac:dyDescent="0.25">
      <c r="A882" s="6">
        <v>880</v>
      </c>
      <c r="B882" s="7">
        <v>101</v>
      </c>
      <c r="C882" s="3">
        <f t="shared" si="3"/>
        <v>-2.1354521932939671E-2</v>
      </c>
    </row>
    <row r="883" spans="1:3" ht="13.2" x14ac:dyDescent="0.25">
      <c r="A883" s="6">
        <v>881</v>
      </c>
      <c r="B883" s="7">
        <v>100.08000183105401</v>
      </c>
      <c r="C883" s="3">
        <f t="shared" si="3"/>
        <v>-9.1506323867006252E-3</v>
      </c>
    </row>
    <row r="884" spans="1:3" ht="13.2" x14ac:dyDescent="0.25">
      <c r="A884" s="6">
        <v>882</v>
      </c>
      <c r="B884" s="7">
        <v>100.230003356933</v>
      </c>
      <c r="C884" s="3">
        <f t="shared" si="3"/>
        <v>1.4976940745131421E-3</v>
      </c>
    </row>
    <row r="885" spans="1:3" ht="13.2" x14ac:dyDescent="0.25">
      <c r="A885" s="6">
        <v>883</v>
      </c>
      <c r="B885" s="7">
        <v>99.180000305175696</v>
      </c>
      <c r="C885" s="3">
        <f t="shared" si="3"/>
        <v>-1.0531194391095958E-2</v>
      </c>
    </row>
    <row r="886" spans="1:3" ht="13.2" x14ac:dyDescent="0.25">
      <c r="A886" s="6">
        <v>884</v>
      </c>
      <c r="B886" s="7">
        <v>102.059997558593</v>
      </c>
      <c r="C886" s="3">
        <f t="shared" si="3"/>
        <v>2.8624467576557518E-2</v>
      </c>
    </row>
    <row r="887" spans="1:3" ht="13.2" x14ac:dyDescent="0.25">
      <c r="A887" s="6">
        <v>885</v>
      </c>
      <c r="B887" s="7">
        <v>99.449996948242102</v>
      </c>
      <c r="C887" s="3">
        <f t="shared" si="3"/>
        <v>-2.5905877100906884E-2</v>
      </c>
    </row>
    <row r="888" spans="1:3" ht="13.2" x14ac:dyDescent="0.25">
      <c r="A888" s="6">
        <v>886</v>
      </c>
      <c r="B888" s="7">
        <v>101.02999877929599</v>
      </c>
      <c r="C888" s="3">
        <f t="shared" si="3"/>
        <v>1.5762515743424681E-2</v>
      </c>
    </row>
    <row r="889" spans="1:3" ht="13.2" x14ac:dyDescent="0.25">
      <c r="A889" s="6">
        <v>887</v>
      </c>
      <c r="B889" s="7">
        <v>100</v>
      </c>
      <c r="C889" s="3">
        <f t="shared" si="3"/>
        <v>-1.024730436896007E-2</v>
      </c>
    </row>
    <row r="890" spans="1:3" ht="13.2" x14ac:dyDescent="0.25">
      <c r="A890" s="6">
        <v>888</v>
      </c>
      <c r="B890" s="7">
        <v>99.839996337890597</v>
      </c>
      <c r="C890" s="3">
        <f t="shared" si="3"/>
        <v>-1.6013180467561376E-3</v>
      </c>
    </row>
    <row r="891" spans="1:3" ht="13.2" x14ac:dyDescent="0.25">
      <c r="A891" s="6">
        <v>889</v>
      </c>
      <c r="B891" s="7">
        <v>100.620002746582</v>
      </c>
      <c r="C891" s="3">
        <f t="shared" si="3"/>
        <v>7.7822044184181656E-3</v>
      </c>
    </row>
    <row r="892" spans="1:3" ht="13.2" x14ac:dyDescent="0.25">
      <c r="A892" s="6">
        <v>890</v>
      </c>
      <c r="B892" s="7">
        <v>101.01999664306599</v>
      </c>
      <c r="C892" s="3">
        <f t="shared" si="3"/>
        <v>3.9674114497626313E-3</v>
      </c>
    </row>
    <row r="893" spans="1:3" ht="13.2" x14ac:dyDescent="0.25">
      <c r="A893" s="6">
        <v>891</v>
      </c>
      <c r="B893" s="7">
        <v>103.5</v>
      </c>
      <c r="C893" s="3">
        <f t="shared" si="3"/>
        <v>2.425312889590785E-2</v>
      </c>
    </row>
    <row r="894" spans="1:3" ht="13.2" x14ac:dyDescent="0.25">
      <c r="A894" s="6">
        <v>892</v>
      </c>
      <c r="B894" s="7">
        <v>103</v>
      </c>
      <c r="C894" s="3">
        <f t="shared" si="3"/>
        <v>-4.8426244757880151E-3</v>
      </c>
    </row>
    <row r="895" spans="1:3" ht="13.2" x14ac:dyDescent="0.25">
      <c r="A895" s="6">
        <v>893</v>
      </c>
      <c r="B895" s="7">
        <v>103.169998168945</v>
      </c>
      <c r="C895" s="3">
        <f t="shared" si="3"/>
        <v>1.6491071347083746E-3</v>
      </c>
    </row>
    <row r="896" spans="1:3" ht="13.2" x14ac:dyDescent="0.25">
      <c r="A896" s="6">
        <v>894</v>
      </c>
      <c r="B896" s="7">
        <v>102.59999847412099</v>
      </c>
      <c r="C896" s="3">
        <f t="shared" si="3"/>
        <v>-5.5401774997900916E-3</v>
      </c>
    </row>
    <row r="897" spans="1:3" ht="13.2" x14ac:dyDescent="0.25">
      <c r="A897" s="6">
        <v>895</v>
      </c>
      <c r="B897" s="7">
        <v>103.69000244140599</v>
      </c>
      <c r="C897" s="3">
        <f t="shared" si="3"/>
        <v>1.0567784250873164E-2</v>
      </c>
    </row>
    <row r="898" spans="1:3" ht="13.2" x14ac:dyDescent="0.25">
      <c r="A898" s="6">
        <v>896</v>
      </c>
      <c r="B898" s="7">
        <v>103.34999847412099</v>
      </c>
      <c r="C898" s="3">
        <f t="shared" si="3"/>
        <v>-3.2844307518396332E-3</v>
      </c>
    </row>
    <row r="899" spans="1:3" ht="13.2" x14ac:dyDescent="0.25">
      <c r="A899" s="6">
        <v>897</v>
      </c>
      <c r="B899" s="7">
        <v>104.01999664306599</v>
      </c>
      <c r="C899" s="3">
        <f t="shared" si="3"/>
        <v>6.4618847093328843E-3</v>
      </c>
    </row>
    <row r="900" spans="1:3" ht="13.2" x14ac:dyDescent="0.25">
      <c r="A900" s="6">
        <v>898</v>
      </c>
      <c r="B900" s="7">
        <v>104.41000366210901</v>
      </c>
      <c r="C900" s="3">
        <f t="shared" si="3"/>
        <v>3.7423353034106671E-3</v>
      </c>
    </row>
    <row r="901" spans="1:3" ht="13.2" x14ac:dyDescent="0.25">
      <c r="A901" s="6">
        <v>899</v>
      </c>
      <c r="B901" s="7">
        <v>103.040000915527</v>
      </c>
      <c r="C901" s="3">
        <f t="shared" si="3"/>
        <v>-1.3208220135126604E-2</v>
      </c>
    </row>
    <row r="902" spans="1:3" ht="13.2" x14ac:dyDescent="0.25">
      <c r="A902" s="6">
        <v>900</v>
      </c>
      <c r="B902" s="7">
        <v>102.290000915527</v>
      </c>
      <c r="C902" s="3">
        <f t="shared" si="3"/>
        <v>-7.3053458219806472E-3</v>
      </c>
    </row>
    <row r="903" spans="1:3" ht="13.2" x14ac:dyDescent="0.25">
      <c r="A903" s="6">
        <v>901</v>
      </c>
      <c r="B903" s="7">
        <v>101.09999847412099</v>
      </c>
      <c r="C903" s="3">
        <f t="shared" si="3"/>
        <v>-1.1701814485567962E-2</v>
      </c>
    </row>
    <row r="904" spans="1:3" ht="13.2" x14ac:dyDescent="0.25">
      <c r="A904" s="6">
        <v>902</v>
      </c>
      <c r="B904" s="7">
        <v>101.620002746582</v>
      </c>
      <c r="C904" s="3">
        <f t="shared" si="3"/>
        <v>5.1302822598963717E-3</v>
      </c>
    </row>
    <row r="905" spans="1:3" ht="13.2" x14ac:dyDescent="0.25">
      <c r="A905" s="6">
        <v>903</v>
      </c>
      <c r="B905" s="7">
        <v>104.959999084472</v>
      </c>
      <c r="C905" s="3">
        <f t="shared" si="3"/>
        <v>3.2338923279589316E-2</v>
      </c>
    </row>
    <row r="906" spans="1:3" ht="13.2" x14ac:dyDescent="0.25">
      <c r="A906" s="6">
        <v>904</v>
      </c>
      <c r="B906" s="7">
        <v>110.59999847412099</v>
      </c>
      <c r="C906" s="3">
        <f t="shared" si="3"/>
        <v>5.2340758818718171E-2</v>
      </c>
    </row>
    <row r="907" spans="1:3" ht="13.2" x14ac:dyDescent="0.25">
      <c r="A907" s="6">
        <v>905</v>
      </c>
      <c r="B907" s="7">
        <v>111.33999633789</v>
      </c>
      <c r="C907" s="3">
        <f t="shared" si="3"/>
        <v>6.6684745722671952E-3</v>
      </c>
    </row>
    <row r="908" spans="1:3" ht="13.2" x14ac:dyDescent="0.25">
      <c r="A908" s="6">
        <v>906</v>
      </c>
      <c r="B908" s="7">
        <v>103.01999664306599</v>
      </c>
      <c r="C908" s="3">
        <f t="shared" si="3"/>
        <v>-7.7665438311953577E-2</v>
      </c>
    </row>
    <row r="909" spans="1:3" ht="13.2" x14ac:dyDescent="0.25">
      <c r="A909" s="6">
        <v>907</v>
      </c>
      <c r="B909" s="7">
        <v>107.27999877929599</v>
      </c>
      <c r="C909" s="3">
        <f t="shared" si="3"/>
        <v>4.0519116042576707E-2</v>
      </c>
    </row>
    <row r="910" spans="1:3" ht="13.2" x14ac:dyDescent="0.25">
      <c r="A910" s="6">
        <v>908</v>
      </c>
      <c r="B910" s="7">
        <v>113.08000183105401</v>
      </c>
      <c r="C910" s="3">
        <f t="shared" si="3"/>
        <v>5.265332142319315E-2</v>
      </c>
    </row>
    <row r="911" spans="1:3" ht="13.2" x14ac:dyDescent="0.25">
      <c r="A911" s="6">
        <v>909</v>
      </c>
      <c r="B911" s="7">
        <v>112.11000061035099</v>
      </c>
      <c r="C911" s="3">
        <f t="shared" si="3"/>
        <v>-8.6150114082257888E-3</v>
      </c>
    </row>
    <row r="912" spans="1:3" ht="13.2" x14ac:dyDescent="0.25">
      <c r="A912" s="6">
        <v>910</v>
      </c>
      <c r="B912" s="7">
        <v>114.91000366210901</v>
      </c>
      <c r="C912" s="3">
        <f t="shared" si="3"/>
        <v>2.466870752919148E-2</v>
      </c>
    </row>
    <row r="913" spans="1:3" ht="13.2" x14ac:dyDescent="0.25">
      <c r="A913" s="6">
        <v>911</v>
      </c>
      <c r="B913" s="7">
        <v>113.84999847412099</v>
      </c>
      <c r="C913" s="3">
        <f t="shared" si="3"/>
        <v>-9.26746603169918E-3</v>
      </c>
    </row>
    <row r="914" spans="1:3" ht="13.2" x14ac:dyDescent="0.25">
      <c r="A914" s="6">
        <v>912</v>
      </c>
      <c r="B914" s="7">
        <v>115.59999847412099</v>
      </c>
      <c r="C914" s="3">
        <f t="shared" si="3"/>
        <v>1.5254163931421542E-2</v>
      </c>
    </row>
    <row r="915" spans="1:3" ht="13.2" x14ac:dyDescent="0.25">
      <c r="A915" s="6">
        <v>913</v>
      </c>
      <c r="B915" s="7">
        <v>115.870002746582</v>
      </c>
      <c r="C915" s="3">
        <f t="shared" si="3"/>
        <v>2.33295367433492E-3</v>
      </c>
    </row>
    <row r="916" spans="1:3" ht="13.2" x14ac:dyDescent="0.25">
      <c r="A916" s="6">
        <v>914</v>
      </c>
      <c r="B916" s="7">
        <v>116.34999847412099</v>
      </c>
      <c r="C916" s="3">
        <f t="shared" si="3"/>
        <v>4.1339799207744778E-3</v>
      </c>
    </row>
    <row r="917" spans="1:3" ht="13.2" x14ac:dyDescent="0.25">
      <c r="A917" s="6">
        <v>915</v>
      </c>
      <c r="B917" s="7">
        <v>117.629997253417</v>
      </c>
      <c r="C917" s="3">
        <f t="shared" si="3"/>
        <v>1.0941204989267417E-2</v>
      </c>
    </row>
    <row r="918" spans="1:3" ht="13.2" x14ac:dyDescent="0.25">
      <c r="A918" s="6">
        <v>916</v>
      </c>
      <c r="B918" s="7">
        <v>119.25</v>
      </c>
      <c r="C918" s="3">
        <f t="shared" si="3"/>
        <v>1.3678048145442073E-2</v>
      </c>
    </row>
    <row r="919" spans="1:3" ht="13.2" x14ac:dyDescent="0.25">
      <c r="A919" s="6">
        <v>917</v>
      </c>
      <c r="B919" s="7">
        <v>119.790000915527</v>
      </c>
      <c r="C919" s="3">
        <f t="shared" si="3"/>
        <v>4.5180876175555332E-3</v>
      </c>
    </row>
    <row r="920" spans="1:3" ht="13.2" x14ac:dyDescent="0.25">
      <c r="A920" s="6">
        <v>918</v>
      </c>
      <c r="B920" s="7">
        <v>118.800003051757</v>
      </c>
      <c r="C920" s="3">
        <f t="shared" si="3"/>
        <v>-8.2987847692717123E-3</v>
      </c>
    </row>
    <row r="921" spans="1:3" ht="13.2" x14ac:dyDescent="0.25">
      <c r="A921" s="6">
        <v>919</v>
      </c>
      <c r="B921" s="7">
        <v>118.91000366210901</v>
      </c>
      <c r="C921" s="3">
        <f t="shared" si="3"/>
        <v>9.2550263006984474E-4</v>
      </c>
    </row>
    <row r="922" spans="1:3" ht="13.2" x14ac:dyDescent="0.25">
      <c r="A922" s="6">
        <v>920</v>
      </c>
      <c r="B922" s="7">
        <v>120.870002746582</v>
      </c>
      <c r="C922" s="3">
        <f t="shared" si="3"/>
        <v>1.6348675347999539E-2</v>
      </c>
    </row>
    <row r="923" spans="1:3" ht="13.2" x14ac:dyDescent="0.25">
      <c r="A923" s="6">
        <v>921</v>
      </c>
      <c r="B923" s="7">
        <v>120.5</v>
      </c>
      <c r="C923" s="3">
        <f t="shared" si="3"/>
        <v>-3.0658576640940505E-3</v>
      </c>
    </row>
    <row r="924" spans="1:3" ht="13.2" x14ac:dyDescent="0.25">
      <c r="A924" s="6">
        <v>922</v>
      </c>
      <c r="B924" s="7">
        <v>119.889999389648</v>
      </c>
      <c r="C924" s="3">
        <f t="shared" si="3"/>
        <v>-5.0751023020807846E-3</v>
      </c>
    </row>
    <row r="925" spans="1:3" ht="13.2" x14ac:dyDescent="0.25">
      <c r="A925" s="6">
        <v>923</v>
      </c>
      <c r="B925" s="7">
        <v>120.419998168945</v>
      </c>
      <c r="C925" s="3">
        <f t="shared" si="3"/>
        <v>4.4109662021007481E-3</v>
      </c>
    </row>
    <row r="926" spans="1:3" ht="13.2" x14ac:dyDescent="0.25">
      <c r="A926" s="6">
        <v>924</v>
      </c>
      <c r="B926" s="7">
        <v>120.300003051757</v>
      </c>
      <c r="C926" s="3">
        <f t="shared" si="3"/>
        <v>-9.9696848220801829E-4</v>
      </c>
    </row>
    <row r="927" spans="1:3" ht="13.2" x14ac:dyDescent="0.25">
      <c r="A927" s="6">
        <v>925</v>
      </c>
      <c r="B927" s="7">
        <v>121.959999084472</v>
      </c>
      <c r="C927" s="3">
        <f t="shared" si="3"/>
        <v>1.3704466264743437E-2</v>
      </c>
    </row>
    <row r="928" spans="1:3" ht="13.2" x14ac:dyDescent="0.25">
      <c r="A928" s="6">
        <v>926</v>
      </c>
      <c r="B928" s="7">
        <v>120.169998168945</v>
      </c>
      <c r="C928" s="3">
        <f t="shared" si="3"/>
        <v>-1.4785722927262303E-2</v>
      </c>
    </row>
    <row r="929" spans="1:3" ht="13.2" x14ac:dyDescent="0.25">
      <c r="A929" s="6">
        <v>927</v>
      </c>
      <c r="B929" s="7">
        <v>121.5</v>
      </c>
      <c r="C929" s="3">
        <f t="shared" si="3"/>
        <v>1.1006871094600469E-2</v>
      </c>
    </row>
    <row r="930" spans="1:3" ht="13.2" x14ac:dyDescent="0.25">
      <c r="A930" s="6">
        <v>928</v>
      </c>
      <c r="B930" s="7">
        <v>123.699996948242</v>
      </c>
      <c r="C930" s="3">
        <f t="shared" si="3"/>
        <v>1.7944991947200211E-2</v>
      </c>
    </row>
    <row r="931" spans="1:3" ht="13.2" x14ac:dyDescent="0.25">
      <c r="A931" s="6">
        <v>929</v>
      </c>
      <c r="B931" s="7">
        <v>125.51999664306599</v>
      </c>
      <c r="C931" s="3">
        <f t="shared" si="3"/>
        <v>1.4605826952757419E-2</v>
      </c>
    </row>
    <row r="932" spans="1:3" ht="13.2" x14ac:dyDescent="0.25">
      <c r="A932" s="6">
        <v>930</v>
      </c>
      <c r="B932" s="7">
        <v>123.84999847412099</v>
      </c>
      <c r="C932" s="3">
        <f t="shared" si="3"/>
        <v>-1.339393806557169E-2</v>
      </c>
    </row>
    <row r="933" spans="1:3" ht="13.2" x14ac:dyDescent="0.25">
      <c r="A933" s="6">
        <v>931</v>
      </c>
      <c r="B933" s="7">
        <v>124.08000183105401</v>
      </c>
      <c r="C933" s="3">
        <f t="shared" si="3"/>
        <v>1.8553900103382669E-3</v>
      </c>
    </row>
    <row r="934" spans="1:3" ht="13.2" x14ac:dyDescent="0.25">
      <c r="A934" s="6">
        <v>932</v>
      </c>
      <c r="B934" s="7">
        <v>124.56999969482401</v>
      </c>
      <c r="C934" s="3">
        <f t="shared" si="3"/>
        <v>3.9412708228387019E-3</v>
      </c>
    </row>
    <row r="935" spans="1:3" ht="13.2" x14ac:dyDescent="0.25">
      <c r="A935" s="6">
        <v>933</v>
      </c>
      <c r="B935" s="7">
        <v>123.19000244140599</v>
      </c>
      <c r="C935" s="3">
        <f t="shared" si="3"/>
        <v>-1.1139905656067633E-2</v>
      </c>
    </row>
    <row r="936" spans="1:3" ht="13.2" x14ac:dyDescent="0.25">
      <c r="A936" s="6">
        <v>934</v>
      </c>
      <c r="B936" s="7">
        <v>122.139999389648</v>
      </c>
      <c r="C936" s="3">
        <f t="shared" si="3"/>
        <v>-8.5599759942604249E-3</v>
      </c>
    </row>
    <row r="937" spans="1:3" ht="13.2" x14ac:dyDescent="0.25">
      <c r="A937" s="6">
        <v>935</v>
      </c>
      <c r="B937" s="7">
        <v>123.959999084472</v>
      </c>
      <c r="C937" s="3">
        <f t="shared" si="3"/>
        <v>1.4791002736036842E-2</v>
      </c>
    </row>
    <row r="938" spans="1:3" ht="13.2" x14ac:dyDescent="0.25">
      <c r="A938" s="6">
        <v>936</v>
      </c>
      <c r="B938" s="7">
        <v>124.720001220703</v>
      </c>
      <c r="C938" s="3">
        <f t="shared" si="3"/>
        <v>6.1123090031943847E-3</v>
      </c>
    </row>
    <row r="939" spans="1:3" ht="13.2" x14ac:dyDescent="0.25">
      <c r="A939" s="6">
        <v>937</v>
      </c>
      <c r="B939" s="7">
        <v>127.400001525878</v>
      </c>
      <c r="C939" s="3">
        <f t="shared" si="3"/>
        <v>2.1260520578058099E-2</v>
      </c>
    </row>
    <row r="940" spans="1:3" ht="13.2" x14ac:dyDescent="0.25">
      <c r="A940" s="6">
        <v>938</v>
      </c>
      <c r="B940" s="7">
        <v>125.900001525878</v>
      </c>
      <c r="C940" s="3">
        <f t="shared" si="3"/>
        <v>-1.1843801945064091E-2</v>
      </c>
    </row>
    <row r="941" spans="1:3" ht="13.2" x14ac:dyDescent="0.25">
      <c r="A941" s="6">
        <v>939</v>
      </c>
      <c r="B941" s="7">
        <v>126.44000244140599</v>
      </c>
      <c r="C941" s="3">
        <f t="shared" si="3"/>
        <v>4.2799534861642412E-3</v>
      </c>
    </row>
    <row r="942" spans="1:3" ht="13.2" x14ac:dyDescent="0.25">
      <c r="A942" s="6">
        <v>940</v>
      </c>
      <c r="B942" s="7">
        <v>129.47999572753901</v>
      </c>
      <c r="C942" s="3">
        <f t="shared" si="3"/>
        <v>2.375848940474292E-2</v>
      </c>
    </row>
    <row r="943" spans="1:3" ht="13.2" x14ac:dyDescent="0.25">
      <c r="A943" s="6">
        <v>941</v>
      </c>
      <c r="B943" s="7">
        <v>128.80000305175699</v>
      </c>
      <c r="C943" s="3">
        <f t="shared" si="3"/>
        <v>-5.2655586969517793E-3</v>
      </c>
    </row>
    <row r="944" spans="1:3" ht="13.2" x14ac:dyDescent="0.25">
      <c r="A944" s="6">
        <v>942</v>
      </c>
      <c r="B944" s="7">
        <v>128.14999389648401</v>
      </c>
      <c r="C944" s="3">
        <f t="shared" si="3"/>
        <v>-5.0594321818441864E-3</v>
      </c>
    </row>
    <row r="945" spans="1:3" ht="13.2" x14ac:dyDescent="0.25">
      <c r="A945" s="6">
        <v>943</v>
      </c>
      <c r="B945" s="7">
        <v>128.11000061035099</v>
      </c>
      <c r="C945" s="3">
        <f t="shared" si="3"/>
        <v>-3.1213054955904783E-4</v>
      </c>
    </row>
    <row r="946" spans="1:3" ht="13.2" x14ac:dyDescent="0.25">
      <c r="A946" s="6">
        <v>944</v>
      </c>
      <c r="B946" s="7">
        <v>129.97000122070301</v>
      </c>
      <c r="C946" s="3">
        <f t="shared" si="3"/>
        <v>1.4414389353072477E-2</v>
      </c>
    </row>
    <row r="947" spans="1:3" ht="13.2" x14ac:dyDescent="0.25">
      <c r="A947" s="6">
        <v>945</v>
      </c>
      <c r="B947" s="7">
        <v>130.69999694824199</v>
      </c>
      <c r="C947" s="3">
        <f t="shared" si="3"/>
        <v>5.6009332951539176E-3</v>
      </c>
    </row>
    <row r="948" spans="1:3" ht="13.2" x14ac:dyDescent="0.25">
      <c r="A948" s="6">
        <v>946</v>
      </c>
      <c r="B948" s="7">
        <v>132</v>
      </c>
      <c r="C948" s="3">
        <f t="shared" si="3"/>
        <v>9.8973253055293572E-3</v>
      </c>
    </row>
    <row r="949" spans="1:3" ht="13.2" x14ac:dyDescent="0.25">
      <c r="A949" s="6">
        <v>947</v>
      </c>
      <c r="B949" s="7">
        <v>132.08999633789</v>
      </c>
      <c r="C949" s="3">
        <f t="shared" si="3"/>
        <v>6.8155812504623841E-4</v>
      </c>
    </row>
    <row r="950" spans="1:3" ht="13.2" x14ac:dyDescent="0.25">
      <c r="A950" s="6">
        <v>948</v>
      </c>
      <c r="B950" s="7">
        <v>133</v>
      </c>
      <c r="C950" s="3">
        <f t="shared" si="3"/>
        <v>6.8656475103366929E-3</v>
      </c>
    </row>
    <row r="951" spans="1:3" ht="13.2" x14ac:dyDescent="0.25">
      <c r="A951" s="6">
        <v>949</v>
      </c>
      <c r="B951" s="7">
        <v>133.19000244140599</v>
      </c>
      <c r="C951" s="3">
        <f t="shared" si="3"/>
        <v>1.427570321435233E-3</v>
      </c>
    </row>
    <row r="952" spans="1:3" ht="13.2" x14ac:dyDescent="0.25">
      <c r="A952" s="6">
        <v>950</v>
      </c>
      <c r="B952" s="7">
        <v>129.42999267578099</v>
      </c>
      <c r="C952" s="3">
        <f t="shared" si="3"/>
        <v>-2.8636560677107722E-2</v>
      </c>
    </row>
    <row r="953" spans="1:3" ht="13.2" x14ac:dyDescent="0.25">
      <c r="A953" s="6">
        <v>951</v>
      </c>
      <c r="B953" s="7">
        <v>125.900001525878</v>
      </c>
      <c r="C953" s="3">
        <f t="shared" si="3"/>
        <v>-2.7652184696018132E-2</v>
      </c>
    </row>
    <row r="954" spans="1:3" ht="13.2" x14ac:dyDescent="0.25">
      <c r="A954" s="6">
        <v>952</v>
      </c>
      <c r="B954" s="7">
        <v>129.02000427246</v>
      </c>
      <c r="C954" s="3">
        <f t="shared" si="3"/>
        <v>2.4479511048742957E-2</v>
      </c>
    </row>
    <row r="955" spans="1:3" ht="13.2" x14ac:dyDescent="0.25">
      <c r="A955" s="6">
        <v>953</v>
      </c>
      <c r="B955" s="7">
        <v>132.49000549316401</v>
      </c>
      <c r="C955" s="3">
        <f t="shared" si="3"/>
        <v>2.6539748122195544E-2</v>
      </c>
    </row>
    <row r="956" spans="1:3" ht="13.2" x14ac:dyDescent="0.25">
      <c r="A956" s="6">
        <v>954</v>
      </c>
      <c r="B956" s="7">
        <v>128.52000427246</v>
      </c>
      <c r="C956" s="3">
        <f t="shared" si="3"/>
        <v>-3.0422644849802567E-2</v>
      </c>
    </row>
    <row r="957" spans="1:3" ht="13.2" x14ac:dyDescent="0.25">
      <c r="A957" s="6">
        <v>955</v>
      </c>
      <c r="B957" s="7">
        <v>127.889999389648</v>
      </c>
      <c r="C957" s="3">
        <f t="shared" si="3"/>
        <v>-4.9140528184467448E-3</v>
      </c>
    </row>
    <row r="958" spans="1:3" ht="13.2" x14ac:dyDescent="0.25">
      <c r="A958" s="6">
        <v>956</v>
      </c>
      <c r="B958" s="7">
        <v>129.02999877929599</v>
      </c>
      <c r="C958" s="3">
        <f t="shared" si="3"/>
        <v>8.8744113303807198E-3</v>
      </c>
    </row>
    <row r="959" spans="1:3" ht="13.2" x14ac:dyDescent="0.25">
      <c r="A959" s="6">
        <v>957</v>
      </c>
      <c r="B959" s="7">
        <v>129.66000366210901</v>
      </c>
      <c r="C959" s="3">
        <f t="shared" si="3"/>
        <v>4.8707419876542236E-3</v>
      </c>
    </row>
    <row r="960" spans="1:3" ht="13.2" x14ac:dyDescent="0.25">
      <c r="A960" s="6">
        <v>958</v>
      </c>
      <c r="B960" s="7">
        <v>127.930000305175</v>
      </c>
      <c r="C960" s="3">
        <f t="shared" si="3"/>
        <v>-1.34324262763594E-2</v>
      </c>
    </row>
    <row r="961" spans="1:3" ht="13.2" x14ac:dyDescent="0.25">
      <c r="A961" s="6">
        <v>959</v>
      </c>
      <c r="B961" s="7">
        <v>128.44000244140599</v>
      </c>
      <c r="C961" s="3">
        <f t="shared" si="3"/>
        <v>3.9786465150289134E-3</v>
      </c>
    </row>
    <row r="962" spans="1:3" ht="13.2" x14ac:dyDescent="0.25">
      <c r="A962" s="6">
        <v>960</v>
      </c>
      <c r="B962" s="7">
        <v>132.08999633789</v>
      </c>
      <c r="C962" s="3">
        <f t="shared" si="3"/>
        <v>2.8021592481960261E-2</v>
      </c>
    </row>
    <row r="963" spans="1:3" ht="13.2" x14ac:dyDescent="0.25">
      <c r="A963" s="6">
        <v>961</v>
      </c>
      <c r="B963" s="7">
        <v>134.58999633789</v>
      </c>
      <c r="C963" s="3">
        <f t="shared" si="3"/>
        <v>1.8749612324830047E-2</v>
      </c>
    </row>
    <row r="964" spans="1:3" ht="13.2" x14ac:dyDescent="0.25">
      <c r="A964" s="6">
        <v>962</v>
      </c>
      <c r="B964" s="7">
        <v>132.89999389648401</v>
      </c>
      <c r="C964" s="3">
        <f t="shared" si="3"/>
        <v>-1.263617324267698E-2</v>
      </c>
    </row>
    <row r="965" spans="1:3" ht="13.2" x14ac:dyDescent="0.25">
      <c r="A965" s="6">
        <v>963</v>
      </c>
      <c r="B965" s="7">
        <v>133.94000244140599</v>
      </c>
      <c r="C965" s="3">
        <f t="shared" si="3"/>
        <v>7.7950369159429447E-3</v>
      </c>
    </row>
    <row r="966" spans="1:3" ht="13.2" x14ac:dyDescent="0.25">
      <c r="A966" s="6">
        <v>964</v>
      </c>
      <c r="B966" s="7">
        <v>129.72999572753901</v>
      </c>
      <c r="C966" s="3">
        <f t="shared" si="3"/>
        <v>-3.1936622060077705E-2</v>
      </c>
    </row>
    <row r="967" spans="1:3" ht="13.2" x14ac:dyDescent="0.25">
      <c r="A967" s="6">
        <v>965</v>
      </c>
      <c r="B967" s="7">
        <v>130</v>
      </c>
      <c r="C967" s="3">
        <f t="shared" si="3"/>
        <v>2.0791158061468141E-3</v>
      </c>
    </row>
    <row r="968" spans="1:3" ht="13.2" x14ac:dyDescent="0.25">
      <c r="A968" s="6">
        <v>966</v>
      </c>
      <c r="B968" s="7">
        <v>135.5</v>
      </c>
      <c r="C968" s="3">
        <f t="shared" si="3"/>
        <v>4.1437189864173239E-2</v>
      </c>
    </row>
    <row r="969" spans="1:3" ht="13.2" x14ac:dyDescent="0.25">
      <c r="A969" s="6">
        <v>967</v>
      </c>
      <c r="B969" s="7">
        <v>132.88999938964801</v>
      </c>
      <c r="C969" s="3">
        <f t="shared" si="3"/>
        <v>-1.944992656925059E-2</v>
      </c>
    </row>
    <row r="970" spans="1:3" ht="13.2" x14ac:dyDescent="0.25">
      <c r="A970" s="6">
        <v>968</v>
      </c>
      <c r="B970" s="7">
        <v>137.38999938964801</v>
      </c>
      <c r="C970" s="3">
        <f t="shared" si="3"/>
        <v>3.3301878742874373E-2</v>
      </c>
    </row>
    <row r="971" spans="1:3" ht="13.2" x14ac:dyDescent="0.25">
      <c r="A971" s="6">
        <v>969</v>
      </c>
      <c r="B971" s="7">
        <v>137.49000549316401</v>
      </c>
      <c r="C971" s="3">
        <f t="shared" si="3"/>
        <v>7.2763464895172906E-4</v>
      </c>
    </row>
    <row r="972" spans="1:3" ht="13.2" x14ac:dyDescent="0.25">
      <c r="A972" s="6">
        <v>970</v>
      </c>
      <c r="B972" s="7">
        <v>138.08999633789</v>
      </c>
      <c r="C972" s="3">
        <f t="shared" si="3"/>
        <v>4.3543928351949925E-3</v>
      </c>
    </row>
    <row r="973" spans="1:3" ht="13.2" x14ac:dyDescent="0.25">
      <c r="A973" s="6">
        <v>971</v>
      </c>
      <c r="B973" s="7">
        <v>140.14999389648401</v>
      </c>
      <c r="C973" s="3">
        <f t="shared" si="3"/>
        <v>1.4807614083388283E-2</v>
      </c>
    </row>
    <row r="974" spans="1:3" ht="13.2" x14ac:dyDescent="0.25">
      <c r="A974" s="6">
        <v>972</v>
      </c>
      <c r="B974" s="7">
        <v>134.77999877929599</v>
      </c>
      <c r="C974" s="3">
        <f t="shared" si="3"/>
        <v>-3.9069423599854637E-2</v>
      </c>
    </row>
    <row r="975" spans="1:3" ht="13.2" x14ac:dyDescent="0.25">
      <c r="A975" s="6">
        <v>973</v>
      </c>
      <c r="B975" s="7">
        <v>132.009994506835</v>
      </c>
      <c r="C975" s="3">
        <f t="shared" si="3"/>
        <v>-2.0766174780126042E-2</v>
      </c>
    </row>
    <row r="976" spans="1:3" ht="13.2" x14ac:dyDescent="0.25">
      <c r="A976" s="6">
        <v>974</v>
      </c>
      <c r="B976" s="7">
        <v>135.919998168945</v>
      </c>
      <c r="C976" s="3">
        <f t="shared" si="3"/>
        <v>2.9188828211178883E-2</v>
      </c>
    </row>
    <row r="977" spans="1:3" ht="13.2" x14ac:dyDescent="0.25">
      <c r="A977" s="6">
        <v>975</v>
      </c>
      <c r="B977" s="7">
        <v>136.509994506835</v>
      </c>
      <c r="C977" s="3">
        <f t="shared" si="3"/>
        <v>4.3313678827542343E-3</v>
      </c>
    </row>
    <row r="978" spans="1:3" ht="13.2" x14ac:dyDescent="0.25">
      <c r="A978" s="6">
        <v>976</v>
      </c>
      <c r="B978" s="7">
        <v>133.72000122070301</v>
      </c>
      <c r="C978" s="3">
        <f t="shared" si="3"/>
        <v>-2.0649761094169612E-2</v>
      </c>
    </row>
    <row r="979" spans="1:3" ht="13.2" x14ac:dyDescent="0.25">
      <c r="A979" s="6">
        <v>977</v>
      </c>
      <c r="B979" s="7">
        <v>137.38999938964801</v>
      </c>
      <c r="C979" s="3">
        <f t="shared" si="3"/>
        <v>2.7075521812682409E-2</v>
      </c>
    </row>
    <row r="980" spans="1:3" ht="13.2" x14ac:dyDescent="0.25">
      <c r="A980" s="6">
        <v>978</v>
      </c>
      <c r="B980" s="7">
        <v>136.72999572753901</v>
      </c>
      <c r="C980" s="3">
        <f t="shared" si="3"/>
        <v>-4.8154454198187551E-3</v>
      </c>
    </row>
    <row r="981" spans="1:3" ht="13.2" x14ac:dyDescent="0.25">
      <c r="A981" s="6">
        <v>979</v>
      </c>
      <c r="B981" s="7">
        <v>136.86000061035099</v>
      </c>
      <c r="C981" s="3">
        <f t="shared" si="3"/>
        <v>9.5036291046519256E-4</v>
      </c>
    </row>
    <row r="982" spans="1:3" ht="13.2" x14ac:dyDescent="0.25">
      <c r="A982" s="6">
        <v>980</v>
      </c>
      <c r="B982" s="7">
        <v>138.89999389648401</v>
      </c>
      <c r="C982" s="3">
        <f t="shared" si="3"/>
        <v>1.4795695834471561E-2</v>
      </c>
    </row>
    <row r="983" spans="1:3" ht="13.2" x14ac:dyDescent="0.25">
      <c r="A983" s="6">
        <v>981</v>
      </c>
      <c r="B983" s="7">
        <v>136.88000488281199</v>
      </c>
      <c r="C983" s="3">
        <f t="shared" si="3"/>
        <v>-1.4649540562350707E-2</v>
      </c>
    </row>
    <row r="984" spans="1:3" ht="13.2" x14ac:dyDescent="0.25">
      <c r="A984" s="6">
        <v>982</v>
      </c>
      <c r="B984" s="7">
        <v>137.759994506835</v>
      </c>
      <c r="C984" s="3">
        <f t="shared" si="3"/>
        <v>6.4083355483822504E-3</v>
      </c>
    </row>
    <row r="985" spans="1:3" ht="13.2" x14ac:dyDescent="0.25">
      <c r="A985" s="6">
        <v>983</v>
      </c>
      <c r="B985" s="7">
        <v>145</v>
      </c>
      <c r="C985" s="3">
        <f t="shared" si="3"/>
        <v>5.1220741616045687E-2</v>
      </c>
    </row>
    <row r="986" spans="1:3" ht="13.2" x14ac:dyDescent="0.25">
      <c r="A986" s="6">
        <v>984</v>
      </c>
      <c r="B986" s="7">
        <v>138.19000244140599</v>
      </c>
      <c r="C986" s="3">
        <f t="shared" si="3"/>
        <v>-4.810417493815769E-2</v>
      </c>
    </row>
    <row r="987" spans="1:3" ht="13.2" x14ac:dyDescent="0.25">
      <c r="A987" s="6">
        <v>985</v>
      </c>
      <c r="B987" s="7">
        <v>140.67999267578099</v>
      </c>
      <c r="C987" s="3">
        <f t="shared" si="3"/>
        <v>1.7858188060390884E-2</v>
      </c>
    </row>
    <row r="988" spans="1:3" ht="13.2" x14ac:dyDescent="0.25">
      <c r="A988" s="6">
        <v>986</v>
      </c>
      <c r="B988" s="7">
        <v>143.5</v>
      </c>
      <c r="C988" s="3">
        <f t="shared" si="3"/>
        <v>1.9847279656868225E-2</v>
      </c>
    </row>
    <row r="989" spans="1:3" ht="13.2" x14ac:dyDescent="0.25">
      <c r="A989" s="6">
        <v>987</v>
      </c>
      <c r="B989" s="7">
        <v>138.16000366210901</v>
      </c>
      <c r="C989" s="3">
        <f t="shared" si="3"/>
        <v>-3.7922574854963094E-2</v>
      </c>
    </row>
    <row r="990" spans="1:3" ht="13.2" x14ac:dyDescent="0.25">
      <c r="A990" s="6">
        <v>988</v>
      </c>
      <c r="B990" s="7">
        <v>137.05000305175699</v>
      </c>
      <c r="C990" s="3">
        <f t="shared" si="3"/>
        <v>-8.0666153284464862E-3</v>
      </c>
    </row>
    <row r="991" spans="1:3" ht="13.2" x14ac:dyDescent="0.25">
      <c r="A991" s="6">
        <v>989</v>
      </c>
      <c r="B991" s="7">
        <v>130.02999877929599</v>
      </c>
      <c r="C991" s="3">
        <f t="shared" si="3"/>
        <v>-5.2580661340902127E-2</v>
      </c>
    </row>
    <row r="992" spans="1:3" ht="13.2" x14ac:dyDescent="0.25">
      <c r="A992" s="6">
        <v>990</v>
      </c>
      <c r="B992" s="7">
        <v>129.72999572753901</v>
      </c>
      <c r="C992" s="3">
        <f t="shared" si="3"/>
        <v>-2.3098490259285021E-3</v>
      </c>
    </row>
    <row r="993" spans="1:3" ht="13.2" x14ac:dyDescent="0.25">
      <c r="A993" s="6">
        <v>991</v>
      </c>
      <c r="B993" s="7">
        <v>129.80999755859301</v>
      </c>
      <c r="C993" s="3">
        <f t="shared" si="3"/>
        <v>6.1648944792568614E-4</v>
      </c>
    </row>
    <row r="994" spans="1:3" ht="13.2" x14ac:dyDescent="0.25">
      <c r="A994" s="6">
        <v>992</v>
      </c>
      <c r="B994" s="7">
        <v>129.16000366210901</v>
      </c>
      <c r="C994" s="3">
        <f t="shared" si="3"/>
        <v>-5.0198498540121594E-3</v>
      </c>
    </row>
    <row r="995" spans="1:3" ht="13.2" x14ac:dyDescent="0.25">
      <c r="A995" s="6">
        <v>993</v>
      </c>
      <c r="B995" s="7">
        <v>126.52999877929599</v>
      </c>
      <c r="C995" s="3">
        <f t="shared" si="3"/>
        <v>-2.0572549689722979E-2</v>
      </c>
    </row>
    <row r="996" spans="1:3" ht="13.2" x14ac:dyDescent="0.25">
      <c r="A996" s="6">
        <v>994</v>
      </c>
      <c r="B996" s="7">
        <v>125.56999969482401</v>
      </c>
      <c r="C996" s="3">
        <f t="shared" si="3"/>
        <v>-7.6160549830793485E-3</v>
      </c>
    </row>
    <row r="997" spans="1:3" ht="13.2" x14ac:dyDescent="0.25">
      <c r="A997" s="6">
        <v>995</v>
      </c>
      <c r="B997" s="7">
        <v>126.129997253417</v>
      </c>
      <c r="C997" s="3">
        <f t="shared" si="3"/>
        <v>4.449729752744094E-3</v>
      </c>
    </row>
    <row r="998" spans="1:3" ht="13.2" x14ac:dyDescent="0.25">
      <c r="A998" s="6">
        <v>996</v>
      </c>
      <c r="B998" s="7">
        <v>123.669998168945</v>
      </c>
      <c r="C998" s="3">
        <f t="shared" si="3"/>
        <v>-1.9696386375300905E-2</v>
      </c>
    </row>
    <row r="999" spans="1:3" ht="13.2" x14ac:dyDescent="0.25">
      <c r="A999" s="6">
        <v>997</v>
      </c>
      <c r="B999" s="7">
        <v>128.71000671386699</v>
      </c>
      <c r="C999" s="3">
        <f t="shared" si="3"/>
        <v>3.9945150876040537E-2</v>
      </c>
    </row>
    <row r="1000" spans="1:3" ht="13.2" x14ac:dyDescent="0.25">
      <c r="A1000" s="6">
        <v>998</v>
      </c>
      <c r="B1000" s="7">
        <v>129.169998168945</v>
      </c>
      <c r="C1000" s="3">
        <f t="shared" si="3"/>
        <v>3.5674882443496102E-3</v>
      </c>
    </row>
    <row r="1001" spans="1:3" ht="13.2" x14ac:dyDescent="0.25">
      <c r="A1001" s="6">
        <v>999</v>
      </c>
      <c r="B1001" s="7">
        <v>129.91000366210901</v>
      </c>
      <c r="C1001" s="3">
        <f t="shared" si="3"/>
        <v>5.7125791288460881E-3</v>
      </c>
    </row>
    <row r="1002" spans="1:3" ht="13.2" x14ac:dyDescent="0.25">
      <c r="A1002" s="6">
        <v>1000</v>
      </c>
      <c r="B1002" s="7">
        <v>133.33999633789</v>
      </c>
      <c r="C1002" s="3">
        <f t="shared" si="3"/>
        <v>2.6060298528235576E-2</v>
      </c>
    </row>
    <row r="1003" spans="1:3" ht="13.2" x14ac:dyDescent="0.25">
      <c r="A1003" s="6">
        <v>1001</v>
      </c>
      <c r="B1003" s="7">
        <v>133.55000305175699</v>
      </c>
      <c r="C1003" s="3">
        <f t="shared" si="3"/>
        <v>1.5737326815523241E-3</v>
      </c>
    </row>
    <row r="1004" spans="1:3" ht="13.2" x14ac:dyDescent="0.25">
      <c r="A1004" s="6">
        <v>1002</v>
      </c>
      <c r="B1004" s="7">
        <v>133.02999877929599</v>
      </c>
      <c r="C1004" s="3">
        <f t="shared" si="3"/>
        <v>-3.9013048873555666E-3</v>
      </c>
    </row>
    <row r="1005" spans="1:3" ht="13.2" x14ac:dyDescent="0.25">
      <c r="A1005" s="6">
        <v>1003</v>
      </c>
      <c r="B1005" s="7">
        <v>127.059997558593</v>
      </c>
      <c r="C1005" s="3">
        <f t="shared" si="3"/>
        <v>-4.5915260895870905E-2</v>
      </c>
    </row>
    <row r="1006" spans="1:3" ht="13.2" x14ac:dyDescent="0.25">
      <c r="A1006" s="6">
        <v>1004</v>
      </c>
      <c r="B1006" s="7">
        <v>129.80999755859301</v>
      </c>
      <c r="C1006" s="3">
        <f t="shared" si="3"/>
        <v>2.1412427473573713E-2</v>
      </c>
    </row>
    <row r="1007" spans="1:3" ht="13.2" x14ac:dyDescent="0.25">
      <c r="A1007" s="6">
        <v>1005</v>
      </c>
      <c r="B1007" s="7">
        <v>128.21000671386699</v>
      </c>
      <c r="C1007" s="3">
        <f t="shared" si="3"/>
        <v>-1.2402227166580659E-2</v>
      </c>
    </row>
    <row r="1008" spans="1:3" ht="13.2" x14ac:dyDescent="0.25">
      <c r="A1008" s="6">
        <v>1006</v>
      </c>
      <c r="B1008" s="7">
        <v>131.41000366210901</v>
      </c>
      <c r="C1008" s="3">
        <f t="shared" si="3"/>
        <v>2.4652637592576555E-2</v>
      </c>
    </row>
    <row r="1009" spans="1:3" ht="13.2" x14ac:dyDescent="0.25">
      <c r="A1009" s="6">
        <v>1007</v>
      </c>
      <c r="B1009" s="7">
        <v>128.39999389648401</v>
      </c>
      <c r="C1009" s="3">
        <f t="shared" si="3"/>
        <v>-2.3171890802668613E-2</v>
      </c>
    </row>
    <row r="1010" spans="1:3" ht="13.2" x14ac:dyDescent="0.25">
      <c r="A1010" s="6">
        <v>1008</v>
      </c>
      <c r="B1010" s="7">
        <v>129.21000671386699</v>
      </c>
      <c r="C1010" s="3">
        <f t="shared" si="3"/>
        <v>6.2886959743322507E-3</v>
      </c>
    </row>
    <row r="1011" spans="1:3" ht="13.2" x14ac:dyDescent="0.25">
      <c r="A1011" s="6">
        <v>1009</v>
      </c>
      <c r="B1011" s="7">
        <v>124.559997558593</v>
      </c>
      <c r="C1011" s="3">
        <f t="shared" si="3"/>
        <v>-3.6651531769526798E-2</v>
      </c>
    </row>
    <row r="1012" spans="1:3" ht="13.2" x14ac:dyDescent="0.25">
      <c r="A1012" s="6">
        <v>1010</v>
      </c>
      <c r="B1012" s="7">
        <v>120.309997558593</v>
      </c>
      <c r="C1012" s="3">
        <f t="shared" si="3"/>
        <v>-3.4715783172696572E-2</v>
      </c>
    </row>
    <row r="1013" spans="1:3" ht="13.2" x14ac:dyDescent="0.25">
      <c r="A1013" s="6">
        <v>1011</v>
      </c>
      <c r="B1013" s="7">
        <v>119.980003356933</v>
      </c>
      <c r="C1013" s="3">
        <f t="shared" si="3"/>
        <v>-2.7466345487457333E-3</v>
      </c>
    </row>
    <row r="1014" spans="1:3" ht="13.2" x14ac:dyDescent="0.25">
      <c r="A1014" s="6">
        <v>1012</v>
      </c>
      <c r="B1014" s="7">
        <v>120.56999969482401</v>
      </c>
      <c r="C1014" s="3">
        <f t="shared" si="3"/>
        <v>4.9054043940573583E-3</v>
      </c>
    </row>
    <row r="1015" spans="1:3" ht="13.2" x14ac:dyDescent="0.25">
      <c r="A1015" s="6">
        <v>1013</v>
      </c>
      <c r="B1015" s="7">
        <v>119.73999786376901</v>
      </c>
      <c r="C1015" s="3">
        <f t="shared" si="3"/>
        <v>-6.9077869414826843E-3</v>
      </c>
    </row>
    <row r="1016" spans="1:3" ht="13.2" x14ac:dyDescent="0.25">
      <c r="A1016" s="6">
        <v>1014</v>
      </c>
      <c r="B1016" s="7">
        <v>116.77999877929599</v>
      </c>
      <c r="C1016" s="3">
        <f t="shared" si="3"/>
        <v>-2.5030895254257602E-2</v>
      </c>
    </row>
    <row r="1017" spans="1:3" ht="13.2" x14ac:dyDescent="0.25">
      <c r="A1017" s="6">
        <v>1015</v>
      </c>
      <c r="B1017" s="7">
        <v>115.559997558593</v>
      </c>
      <c r="C1017" s="3">
        <f t="shared" si="3"/>
        <v>-1.0501957931082408E-2</v>
      </c>
    </row>
    <row r="1018" spans="1:3" ht="13.2" x14ac:dyDescent="0.25">
      <c r="A1018" s="6">
        <v>1016</v>
      </c>
      <c r="B1018" s="7">
        <v>116.98999786376901</v>
      </c>
      <c r="C1018" s="3">
        <f t="shared" si="3"/>
        <v>1.2298588328278445E-2</v>
      </c>
    </row>
    <row r="1019" spans="1:3" ht="13.2" x14ac:dyDescent="0.25">
      <c r="A1019" s="6">
        <v>1017</v>
      </c>
      <c r="B1019" s="7">
        <v>127.889999389648</v>
      </c>
      <c r="C1019" s="3">
        <f t="shared" si="3"/>
        <v>8.9082071873187535E-2</v>
      </c>
    </row>
    <row r="1020" spans="1:3" ht="13.2" x14ac:dyDescent="0.25">
      <c r="A1020" s="6">
        <v>1018</v>
      </c>
      <c r="B1020" s="7">
        <v>133.47999572753901</v>
      </c>
      <c r="C1020" s="3">
        <f t="shared" si="3"/>
        <v>4.2781107202172063E-2</v>
      </c>
    </row>
    <row r="1021" spans="1:3" ht="13.2" x14ac:dyDescent="0.25">
      <c r="A1021" s="6">
        <v>1019</v>
      </c>
      <c r="B1021" s="7">
        <v>127.98999786376901</v>
      </c>
      <c r="C1021" s="3">
        <f t="shared" si="3"/>
        <v>-4.1999502697832709E-2</v>
      </c>
    </row>
    <row r="1022" spans="1:3" ht="13.2" x14ac:dyDescent="0.25">
      <c r="A1022" s="6">
        <v>1020</v>
      </c>
      <c r="B1022" s="7">
        <v>127.970001220703</v>
      </c>
      <c r="C1022" s="3">
        <f t="shared" si="3"/>
        <v>-1.5624818860929661E-4</v>
      </c>
    </row>
    <row r="1023" spans="1:3" ht="13.2" x14ac:dyDescent="0.25">
      <c r="A1023" s="6">
        <v>1021</v>
      </c>
      <c r="B1023" s="7">
        <v>125.51000213623</v>
      </c>
      <c r="C1023" s="3">
        <f t="shared" ref="C1023:C1260" si="4">LN(B1023/B1022)</f>
        <v>-1.9410417295730894E-2</v>
      </c>
    </row>
    <row r="1024" spans="1:3" ht="13.2" x14ac:dyDescent="0.25">
      <c r="A1024" s="6">
        <v>1022</v>
      </c>
      <c r="B1024" s="7">
        <v>124.59999847412099</v>
      </c>
      <c r="C1024" s="3">
        <f t="shared" si="4"/>
        <v>-7.2768595856187342E-3</v>
      </c>
    </row>
    <row r="1025" spans="1:3" ht="13.2" x14ac:dyDescent="0.25">
      <c r="A1025" s="6">
        <v>1023</v>
      </c>
      <c r="B1025" s="7">
        <v>127.150001525878</v>
      </c>
      <c r="C1025" s="3">
        <f t="shared" si="4"/>
        <v>2.0258909761609236E-2</v>
      </c>
    </row>
    <row r="1026" spans="1:3" ht="13.2" x14ac:dyDescent="0.25">
      <c r="A1026" s="6">
        <v>1024</v>
      </c>
      <c r="B1026" s="7">
        <v>132.97999572753901</v>
      </c>
      <c r="C1026" s="3">
        <f t="shared" si="4"/>
        <v>4.4831204976968075E-2</v>
      </c>
    </row>
    <row r="1027" spans="1:3" ht="13.2" x14ac:dyDescent="0.25">
      <c r="A1027" s="6">
        <v>1025</v>
      </c>
      <c r="B1027" s="7">
        <v>134.5</v>
      </c>
      <c r="C1027" s="3">
        <f t="shared" si="4"/>
        <v>1.1365490196183608E-2</v>
      </c>
    </row>
    <row r="1028" spans="1:3" ht="13.2" x14ac:dyDescent="0.25">
      <c r="A1028" s="6">
        <v>1026</v>
      </c>
      <c r="B1028" s="7">
        <v>137.82000732421801</v>
      </c>
      <c r="C1028" s="3">
        <f t="shared" si="4"/>
        <v>2.4384340030527654E-2</v>
      </c>
    </row>
    <row r="1029" spans="1:3" ht="13.2" x14ac:dyDescent="0.25">
      <c r="A1029" s="6">
        <v>1027</v>
      </c>
      <c r="B1029" s="7">
        <v>136.850006103515</v>
      </c>
      <c r="C1029" s="3">
        <f t="shared" si="4"/>
        <v>-7.0630589856978459E-3</v>
      </c>
    </row>
    <row r="1030" spans="1:3" ht="13.2" x14ac:dyDescent="0.25">
      <c r="A1030" s="6">
        <v>1028</v>
      </c>
      <c r="B1030" s="7">
        <v>137.41000366210901</v>
      </c>
      <c r="C1030" s="3">
        <f t="shared" si="4"/>
        <v>4.083703907923438E-3</v>
      </c>
    </row>
    <row r="1031" spans="1:3" ht="13.2" x14ac:dyDescent="0.25">
      <c r="A1031" s="6">
        <v>1029</v>
      </c>
      <c r="B1031" s="7">
        <v>136.22000122070301</v>
      </c>
      <c r="C1031" s="3">
        <f t="shared" si="4"/>
        <v>-8.6979492202134169E-3</v>
      </c>
    </row>
    <row r="1032" spans="1:3" ht="13.2" x14ac:dyDescent="0.25">
      <c r="A1032" s="6">
        <v>1030</v>
      </c>
      <c r="B1032" s="7">
        <v>138.36999511718699</v>
      </c>
      <c r="C1032" s="3">
        <f t="shared" si="4"/>
        <v>1.5659986618768815E-2</v>
      </c>
    </row>
    <row r="1033" spans="1:3" ht="13.2" x14ac:dyDescent="0.25">
      <c r="A1033" s="6">
        <v>1031</v>
      </c>
      <c r="B1033" s="7">
        <v>137.71000671386699</v>
      </c>
      <c r="C1033" s="3">
        <f t="shared" si="4"/>
        <v>-4.7811479005056409E-3</v>
      </c>
    </row>
    <row r="1034" spans="1:3" ht="13.2" x14ac:dyDescent="0.25">
      <c r="A1034" s="6">
        <v>1032</v>
      </c>
      <c r="B1034" s="7">
        <v>140.11000061035099</v>
      </c>
      <c r="C1034" s="3">
        <f t="shared" si="4"/>
        <v>1.7277759246670431E-2</v>
      </c>
    </row>
    <row r="1035" spans="1:3" ht="13.2" x14ac:dyDescent="0.25">
      <c r="A1035" s="6">
        <v>1033</v>
      </c>
      <c r="B1035" s="7">
        <v>141.11000061035099</v>
      </c>
      <c r="C1035" s="3">
        <f t="shared" si="4"/>
        <v>7.1118996556579946E-3</v>
      </c>
    </row>
    <row r="1036" spans="1:3" ht="13.2" x14ac:dyDescent="0.25">
      <c r="A1036" s="6">
        <v>1034</v>
      </c>
      <c r="B1036" s="7">
        <v>149.02000427246</v>
      </c>
      <c r="C1036" s="3">
        <f t="shared" si="4"/>
        <v>5.4540821400935406E-2</v>
      </c>
    </row>
    <row r="1037" spans="1:3" ht="13.2" x14ac:dyDescent="0.25">
      <c r="A1037" s="6">
        <v>1035</v>
      </c>
      <c r="B1037" s="7">
        <v>157.53999328613199</v>
      </c>
      <c r="C1037" s="3">
        <f t="shared" si="4"/>
        <v>5.559879786230644E-2</v>
      </c>
    </row>
    <row r="1038" spans="1:3" ht="13.2" x14ac:dyDescent="0.25">
      <c r="A1038" s="6">
        <v>1036</v>
      </c>
      <c r="B1038" s="7">
        <v>157.02000427246</v>
      </c>
      <c r="C1038" s="3">
        <f t="shared" si="4"/>
        <v>-3.3061386785033248E-3</v>
      </c>
    </row>
    <row r="1039" spans="1:3" ht="13.2" x14ac:dyDescent="0.25">
      <c r="A1039" s="6">
        <v>1037</v>
      </c>
      <c r="B1039" s="7">
        <v>157.47999572753901</v>
      </c>
      <c r="C1039" s="3">
        <f t="shared" si="4"/>
        <v>2.9252259655907888E-3</v>
      </c>
    </row>
    <row r="1040" spans="1:3" ht="13.2" x14ac:dyDescent="0.25">
      <c r="A1040" s="6">
        <v>1038</v>
      </c>
      <c r="B1040" s="7">
        <v>163.17999267578099</v>
      </c>
      <c r="C1040" s="3">
        <f t="shared" si="4"/>
        <v>3.5555402171004863E-2</v>
      </c>
    </row>
    <row r="1041" spans="1:3" ht="13.2" x14ac:dyDescent="0.25">
      <c r="A1041" s="6">
        <v>1039</v>
      </c>
      <c r="B1041" s="7">
        <v>160.82000732421801</v>
      </c>
      <c r="C1041" s="3">
        <f t="shared" si="4"/>
        <v>-1.4568068453402829E-2</v>
      </c>
    </row>
    <row r="1042" spans="1:3" ht="13.2" x14ac:dyDescent="0.25">
      <c r="A1042" s="6">
        <v>1040</v>
      </c>
      <c r="B1042" s="7">
        <v>164.74000549316401</v>
      </c>
      <c r="C1042" s="3">
        <f t="shared" si="4"/>
        <v>2.4082734194591095E-2</v>
      </c>
    </row>
    <row r="1043" spans="1:3" ht="13.2" x14ac:dyDescent="0.25">
      <c r="A1043" s="6">
        <v>1041</v>
      </c>
      <c r="B1043" s="7">
        <v>160.55999755859301</v>
      </c>
      <c r="C1043" s="3">
        <f t="shared" si="4"/>
        <v>-2.5700817575039506E-2</v>
      </c>
    </row>
    <row r="1044" spans="1:3" ht="13.2" x14ac:dyDescent="0.25">
      <c r="A1044" s="6">
        <v>1042</v>
      </c>
      <c r="B1044" s="7">
        <v>163.30000305175699</v>
      </c>
      <c r="C1044" s="3">
        <f t="shared" si="4"/>
        <v>1.6921329381951209E-2</v>
      </c>
    </row>
    <row r="1045" spans="1:3" ht="13.2" x14ac:dyDescent="0.25">
      <c r="A1045" s="6">
        <v>1043</v>
      </c>
      <c r="B1045" s="7">
        <v>166.919998168945</v>
      </c>
      <c r="C1045" s="3">
        <f t="shared" si="4"/>
        <v>2.192562608923606E-2</v>
      </c>
    </row>
    <row r="1046" spans="1:3" ht="13.2" x14ac:dyDescent="0.25">
      <c r="A1046" s="6">
        <v>1044</v>
      </c>
      <c r="B1046" s="7">
        <v>170.17999267578099</v>
      </c>
      <c r="C1046" s="3">
        <f t="shared" si="4"/>
        <v>1.9342012629643135E-2</v>
      </c>
    </row>
    <row r="1047" spans="1:3" ht="13.2" x14ac:dyDescent="0.25">
      <c r="A1047" s="6">
        <v>1045</v>
      </c>
      <c r="B1047" s="7">
        <v>180.92999267578099</v>
      </c>
      <c r="C1047" s="3">
        <f t="shared" si="4"/>
        <v>6.1253518266711396E-2</v>
      </c>
    </row>
    <row r="1048" spans="1:3" ht="13.2" x14ac:dyDescent="0.25">
      <c r="A1048" s="6">
        <v>1046</v>
      </c>
      <c r="B1048" s="7">
        <v>178.96000671386699</v>
      </c>
      <c r="C1048" s="3">
        <f t="shared" si="4"/>
        <v>-1.0947820952156528E-2</v>
      </c>
    </row>
    <row r="1049" spans="1:3" ht="13.2" x14ac:dyDescent="0.25">
      <c r="A1049" s="6">
        <v>1047</v>
      </c>
      <c r="B1049" s="7">
        <v>178.99000549316401</v>
      </c>
      <c r="C1049" s="3">
        <f t="shared" si="4"/>
        <v>1.6761435029594995E-4</v>
      </c>
    </row>
    <row r="1050" spans="1:3" ht="13.2" x14ac:dyDescent="0.25">
      <c r="A1050" s="6">
        <v>1048</v>
      </c>
      <c r="B1050" s="7">
        <v>176.16000366210901</v>
      </c>
      <c r="C1050" s="3">
        <f t="shared" si="4"/>
        <v>-1.5937275285281199E-2</v>
      </c>
    </row>
    <row r="1051" spans="1:3" ht="13.2" x14ac:dyDescent="0.25">
      <c r="A1051" s="6">
        <v>1049</v>
      </c>
      <c r="B1051" s="7">
        <v>180.509994506835</v>
      </c>
      <c r="C1051" s="3">
        <f t="shared" si="4"/>
        <v>2.4393453706099955E-2</v>
      </c>
    </row>
    <row r="1052" spans="1:3" ht="13.2" x14ac:dyDescent="0.25">
      <c r="A1052" s="6">
        <v>1050</v>
      </c>
      <c r="B1052" s="7">
        <v>181.11999511718699</v>
      </c>
      <c r="C1052" s="3">
        <f t="shared" si="4"/>
        <v>3.3736205868152122E-3</v>
      </c>
    </row>
    <row r="1053" spans="1:3" ht="13.2" x14ac:dyDescent="0.25">
      <c r="A1053" s="6">
        <v>1051</v>
      </c>
      <c r="B1053" s="7">
        <v>183.46000671386699</v>
      </c>
      <c r="C1053" s="3">
        <f t="shared" si="4"/>
        <v>1.2836928621493372E-2</v>
      </c>
    </row>
    <row r="1054" spans="1:3" ht="13.2" x14ac:dyDescent="0.25">
      <c r="A1054" s="6">
        <v>1052</v>
      </c>
      <c r="B1054" s="7">
        <v>183.72000122070301</v>
      </c>
      <c r="C1054" s="3">
        <f t="shared" si="4"/>
        <v>1.4161694246419419E-3</v>
      </c>
    </row>
    <row r="1055" spans="1:3" ht="13.2" x14ac:dyDescent="0.25">
      <c r="A1055" s="6">
        <v>1053</v>
      </c>
      <c r="B1055" s="7">
        <v>188.27000427246</v>
      </c>
      <c r="C1055" s="3">
        <f t="shared" si="4"/>
        <v>2.446425932792079E-2</v>
      </c>
    </row>
    <row r="1056" spans="1:3" ht="13.2" x14ac:dyDescent="0.25">
      <c r="A1056" s="6">
        <v>1054</v>
      </c>
      <c r="B1056" s="7">
        <v>189.22000122070301</v>
      </c>
      <c r="C1056" s="3">
        <f t="shared" si="4"/>
        <v>5.0332402976550356E-3</v>
      </c>
    </row>
    <row r="1057" spans="1:3" ht="13.2" x14ac:dyDescent="0.25">
      <c r="A1057" s="6">
        <v>1055</v>
      </c>
      <c r="B1057" s="7">
        <v>186.509994506835</v>
      </c>
      <c r="C1057" s="3">
        <f t="shared" si="4"/>
        <v>-1.4425538230568104E-2</v>
      </c>
    </row>
    <row r="1058" spans="1:3" ht="13.2" x14ac:dyDescent="0.25">
      <c r="A1058" s="6">
        <v>1056</v>
      </c>
      <c r="B1058" s="7">
        <v>179.86999511718699</v>
      </c>
      <c r="C1058" s="3">
        <f t="shared" si="4"/>
        <v>-3.6250486903432425E-2</v>
      </c>
    </row>
    <row r="1059" spans="1:3" ht="13.2" x14ac:dyDescent="0.25">
      <c r="A1059" s="6">
        <v>1057</v>
      </c>
      <c r="B1059" s="7">
        <v>178.19000244140599</v>
      </c>
      <c r="C1059" s="3">
        <f t="shared" si="4"/>
        <v>-9.3839301530719149E-3</v>
      </c>
    </row>
    <row r="1060" spans="1:3" ht="13.2" x14ac:dyDescent="0.25">
      <c r="A1060" s="6">
        <v>1058</v>
      </c>
      <c r="B1060" s="7">
        <v>182.80000305175699</v>
      </c>
      <c r="C1060" s="3">
        <f t="shared" si="4"/>
        <v>2.5542265274100074E-2</v>
      </c>
    </row>
    <row r="1061" spans="1:3" ht="13.2" x14ac:dyDescent="0.25">
      <c r="A1061" s="6">
        <v>1059</v>
      </c>
      <c r="B1061" s="7">
        <v>183.55999755859301</v>
      </c>
      <c r="C1061" s="3">
        <f t="shared" si="4"/>
        <v>4.1489005117488322E-3</v>
      </c>
    </row>
    <row r="1062" spans="1:3" ht="13.2" x14ac:dyDescent="0.25">
      <c r="A1062" s="6">
        <v>1060</v>
      </c>
      <c r="B1062" s="7">
        <v>174.52000427246</v>
      </c>
      <c r="C1062" s="3">
        <f t="shared" si="4"/>
        <v>-5.0502203489697195E-2</v>
      </c>
    </row>
    <row r="1063" spans="1:3" ht="13.2" x14ac:dyDescent="0.25">
      <c r="A1063" s="6">
        <v>1061</v>
      </c>
      <c r="B1063" s="7">
        <v>176.17999267578099</v>
      </c>
      <c r="C1063" s="3">
        <f t="shared" si="4"/>
        <v>9.4667853726710972E-3</v>
      </c>
    </row>
    <row r="1064" spans="1:3" ht="13.2" x14ac:dyDescent="0.25">
      <c r="A1064" s="6">
        <v>1062</v>
      </c>
      <c r="B1064" s="7">
        <v>176.13999938964801</v>
      </c>
      <c r="C1064" s="3">
        <f t="shared" si="4"/>
        <v>-2.2702819712443239E-4</v>
      </c>
    </row>
    <row r="1065" spans="1:3" ht="13.2" x14ac:dyDescent="0.25">
      <c r="A1065" s="6">
        <v>1063</v>
      </c>
      <c r="B1065" s="7">
        <v>173.61000061035099</v>
      </c>
      <c r="C1065" s="3">
        <f t="shared" si="4"/>
        <v>-1.4467722142659475E-2</v>
      </c>
    </row>
    <row r="1066" spans="1:3" ht="13.2" x14ac:dyDescent="0.25">
      <c r="A1066" s="6">
        <v>1064</v>
      </c>
      <c r="B1066" s="7">
        <v>169.39999389648401</v>
      </c>
      <c r="C1066" s="3">
        <f t="shared" si="4"/>
        <v>-2.4548661581748652E-2</v>
      </c>
    </row>
    <row r="1067" spans="1:3" ht="13.2" x14ac:dyDescent="0.25">
      <c r="A1067" s="6">
        <v>1065</v>
      </c>
      <c r="B1067" s="7">
        <v>167.86000061035099</v>
      </c>
      <c r="C1067" s="3">
        <f t="shared" si="4"/>
        <v>-9.1324438969994995E-3</v>
      </c>
    </row>
    <row r="1068" spans="1:3" ht="13.2" x14ac:dyDescent="0.25">
      <c r="A1068" s="6">
        <v>1066</v>
      </c>
      <c r="B1068" s="7">
        <v>162.27000427246</v>
      </c>
      <c r="C1068" s="3">
        <f t="shared" si="4"/>
        <v>-3.3868661409980537E-2</v>
      </c>
    </row>
    <row r="1069" spans="1:3" ht="13.2" x14ac:dyDescent="0.25">
      <c r="A1069" s="6">
        <v>1067</v>
      </c>
      <c r="B1069" s="7">
        <v>153.28999328613199</v>
      </c>
      <c r="C1069" s="3">
        <f t="shared" si="4"/>
        <v>-5.6930132501231134E-2</v>
      </c>
    </row>
    <row r="1070" spans="1:3" ht="13.2" x14ac:dyDescent="0.25">
      <c r="A1070" s="6">
        <v>1068</v>
      </c>
      <c r="B1070" s="7">
        <v>158.74000549316401</v>
      </c>
      <c r="C1070" s="3">
        <f t="shared" si="4"/>
        <v>3.4936169887975037E-2</v>
      </c>
    </row>
    <row r="1071" spans="1:3" ht="13.2" x14ac:dyDescent="0.25">
      <c r="A1071" s="6">
        <v>1069</v>
      </c>
      <c r="B1071" s="7">
        <v>153.36999511718699</v>
      </c>
      <c r="C1071" s="3">
        <f t="shared" si="4"/>
        <v>-3.441440744164817E-2</v>
      </c>
    </row>
    <row r="1072" spans="1:3" ht="13.2" x14ac:dyDescent="0.25">
      <c r="A1072" s="6">
        <v>1070</v>
      </c>
      <c r="B1072" s="7">
        <v>158.92999267578099</v>
      </c>
      <c r="C1072" s="3">
        <f t="shared" si="4"/>
        <v>3.5610536798299383E-2</v>
      </c>
    </row>
    <row r="1073" spans="1:3" ht="13.2" x14ac:dyDescent="0.25">
      <c r="A1073" s="6">
        <v>1071</v>
      </c>
      <c r="B1073" s="7">
        <v>163.02999877929599</v>
      </c>
      <c r="C1073" s="3">
        <f t="shared" si="4"/>
        <v>2.5470417839791537E-2</v>
      </c>
    </row>
    <row r="1074" spans="1:3" ht="13.2" x14ac:dyDescent="0.25">
      <c r="A1074" s="6">
        <v>1072</v>
      </c>
      <c r="B1074" s="7">
        <v>161.47000122070301</v>
      </c>
      <c r="C1074" s="3">
        <f t="shared" si="4"/>
        <v>-9.614851010492793E-3</v>
      </c>
    </row>
    <row r="1075" spans="1:3" ht="13.2" x14ac:dyDescent="0.25">
      <c r="A1075" s="6">
        <v>1073</v>
      </c>
      <c r="B1075" s="7">
        <v>165.55000305175699</v>
      </c>
      <c r="C1075" s="3">
        <f t="shared" si="4"/>
        <v>2.4953907973838677E-2</v>
      </c>
    </row>
    <row r="1076" spans="1:3" ht="13.2" x14ac:dyDescent="0.25">
      <c r="A1076" s="6">
        <v>1074</v>
      </c>
      <c r="B1076" s="7">
        <v>168.07000732421801</v>
      </c>
      <c r="C1076" s="3">
        <f t="shared" si="4"/>
        <v>1.5107320439547153E-2</v>
      </c>
    </row>
    <row r="1077" spans="1:3" ht="13.2" x14ac:dyDescent="0.25">
      <c r="A1077" s="6">
        <v>1075</v>
      </c>
      <c r="B1077" s="7">
        <v>165.99000549316401</v>
      </c>
      <c r="C1077" s="3">
        <f t="shared" si="4"/>
        <v>-1.2453024195381763E-2</v>
      </c>
    </row>
    <row r="1078" spans="1:3" ht="13.2" x14ac:dyDescent="0.25">
      <c r="A1078" s="6">
        <v>1076</v>
      </c>
      <c r="B1078" s="7">
        <v>161.17999267578099</v>
      </c>
      <c r="C1078" s="3">
        <f t="shared" si="4"/>
        <v>-2.9405871216345952E-2</v>
      </c>
    </row>
    <row r="1079" spans="1:3" ht="13.2" x14ac:dyDescent="0.25">
      <c r="A1079" s="6">
        <v>1077</v>
      </c>
      <c r="B1079" s="7">
        <v>155.02000427246</v>
      </c>
      <c r="C1079" s="3">
        <f t="shared" si="4"/>
        <v>-3.8967539041057805E-2</v>
      </c>
    </row>
    <row r="1080" spans="1:3" ht="13.2" x14ac:dyDescent="0.25">
      <c r="A1080" s="6">
        <v>1078</v>
      </c>
      <c r="B1080" s="7">
        <v>155.22999572753901</v>
      </c>
      <c r="C1080" s="3">
        <f t="shared" si="4"/>
        <v>1.3536921008615119E-3</v>
      </c>
    </row>
    <row r="1081" spans="1:3" ht="13.2" x14ac:dyDescent="0.25">
      <c r="A1081" s="6">
        <v>1079</v>
      </c>
      <c r="B1081" s="7">
        <v>161.30000305175699</v>
      </c>
      <c r="C1081" s="3">
        <f t="shared" si="4"/>
        <v>3.8358143535992727E-2</v>
      </c>
    </row>
    <row r="1082" spans="1:3" ht="13.2" x14ac:dyDescent="0.25">
      <c r="A1082" s="6">
        <v>1080</v>
      </c>
      <c r="B1082" s="7">
        <v>153.41000366210901</v>
      </c>
      <c r="C1082" s="3">
        <f t="shared" si="4"/>
        <v>-5.0151904322855524E-2</v>
      </c>
    </row>
    <row r="1083" spans="1:3" ht="13.2" x14ac:dyDescent="0.25">
      <c r="A1083" s="6">
        <v>1081</v>
      </c>
      <c r="B1083" s="7">
        <v>153.80000305175699</v>
      </c>
      <c r="C1083" s="3">
        <f t="shared" si="4"/>
        <v>2.5389771858509778E-3</v>
      </c>
    </row>
    <row r="1084" spans="1:3" ht="13.2" x14ac:dyDescent="0.25">
      <c r="A1084" s="6">
        <v>1082</v>
      </c>
      <c r="B1084" s="7">
        <v>151.08000183105401</v>
      </c>
      <c r="C1084" s="3">
        <f t="shared" si="4"/>
        <v>-1.7843566949896094E-2</v>
      </c>
    </row>
    <row r="1085" spans="1:3" ht="13.2" x14ac:dyDescent="0.25">
      <c r="A1085" s="6">
        <v>1083</v>
      </c>
      <c r="B1085" s="7">
        <v>151.99000549316401</v>
      </c>
      <c r="C1085" s="3">
        <f t="shared" si="4"/>
        <v>6.005255385963415E-3</v>
      </c>
    </row>
    <row r="1086" spans="1:3" ht="13.2" x14ac:dyDescent="0.25">
      <c r="A1086" s="6">
        <v>1084</v>
      </c>
      <c r="B1086" s="7">
        <v>149.52999877929599</v>
      </c>
      <c r="C1086" s="3">
        <f t="shared" si="4"/>
        <v>-1.6317731917837509E-2</v>
      </c>
    </row>
    <row r="1087" spans="1:3" ht="13.2" x14ac:dyDescent="0.25">
      <c r="A1087" s="6">
        <v>1085</v>
      </c>
      <c r="B1087" s="7">
        <v>153.91000366210901</v>
      </c>
      <c r="C1087" s="3">
        <f t="shared" si="4"/>
        <v>2.8871006353550142E-2</v>
      </c>
    </row>
    <row r="1088" spans="1:3" ht="13.2" x14ac:dyDescent="0.25">
      <c r="A1088" s="6">
        <v>1086</v>
      </c>
      <c r="B1088" s="7">
        <v>149.71000671386699</v>
      </c>
      <c r="C1088" s="3">
        <f t="shared" si="4"/>
        <v>-2.7667905478137036E-2</v>
      </c>
    </row>
    <row r="1089" spans="1:3" ht="13.2" x14ac:dyDescent="0.25">
      <c r="A1089" s="6">
        <v>1087</v>
      </c>
      <c r="B1089" s="7">
        <v>149.669998168945</v>
      </c>
      <c r="C1089" s="3">
        <f t="shared" si="4"/>
        <v>-2.6727600045180439E-4</v>
      </c>
    </row>
    <row r="1090" spans="1:3" ht="13.2" x14ac:dyDescent="0.25">
      <c r="A1090" s="6">
        <v>1088</v>
      </c>
      <c r="B1090" s="7">
        <v>152.61999511718699</v>
      </c>
      <c r="C1090" s="3">
        <f t="shared" si="4"/>
        <v>1.9518281561108079E-2</v>
      </c>
    </row>
    <row r="1091" spans="1:3" ht="13.2" x14ac:dyDescent="0.25">
      <c r="A1091" s="6">
        <v>1089</v>
      </c>
      <c r="B1091" s="7">
        <v>154.33000183105401</v>
      </c>
      <c r="C1091" s="3">
        <f t="shared" si="4"/>
        <v>1.1142038909061533E-2</v>
      </c>
    </row>
    <row r="1092" spans="1:3" ht="13.2" x14ac:dyDescent="0.25">
      <c r="A1092" s="6">
        <v>1090</v>
      </c>
      <c r="B1092" s="7">
        <v>147.69999694824199</v>
      </c>
      <c r="C1092" s="3">
        <f t="shared" si="4"/>
        <v>-4.3910009901811937E-2</v>
      </c>
    </row>
    <row r="1093" spans="1:3" ht="13.2" x14ac:dyDescent="0.25">
      <c r="A1093" s="6">
        <v>1091</v>
      </c>
      <c r="B1093" s="7">
        <v>147.97999572753901</v>
      </c>
      <c r="C1093" s="3">
        <f t="shared" si="4"/>
        <v>1.8939317500580902E-3</v>
      </c>
    </row>
    <row r="1094" spans="1:3" ht="13.2" x14ac:dyDescent="0.25">
      <c r="A1094" s="6">
        <v>1092</v>
      </c>
      <c r="B1094" s="7">
        <v>147.600006103515</v>
      </c>
      <c r="C1094" s="3">
        <f t="shared" si="4"/>
        <v>-2.571147107424219E-3</v>
      </c>
    </row>
    <row r="1095" spans="1:3" ht="13.2" x14ac:dyDescent="0.25">
      <c r="A1095" s="6">
        <v>1093</v>
      </c>
      <c r="B1095" s="7">
        <v>147.27000427246</v>
      </c>
      <c r="C1095" s="3">
        <f t="shared" si="4"/>
        <v>-2.2382877689603722E-3</v>
      </c>
    </row>
    <row r="1096" spans="1:3" ht="13.2" x14ac:dyDescent="0.25">
      <c r="A1096" s="6">
        <v>1094</v>
      </c>
      <c r="B1096" s="7">
        <v>151.009994506835</v>
      </c>
      <c r="C1096" s="3">
        <f t="shared" si="4"/>
        <v>2.5078357662391377E-2</v>
      </c>
    </row>
    <row r="1097" spans="1:3" ht="13.2" x14ac:dyDescent="0.25">
      <c r="A1097" s="6">
        <v>1095</v>
      </c>
      <c r="B1097" s="7">
        <v>147.22999572753901</v>
      </c>
      <c r="C1097" s="3">
        <f t="shared" si="4"/>
        <v>-2.5350062553169891E-2</v>
      </c>
    </row>
    <row r="1098" spans="1:3" ht="13.2" x14ac:dyDescent="0.25">
      <c r="A1098" s="6">
        <v>1096</v>
      </c>
      <c r="B1098" s="7">
        <v>147.63000488281199</v>
      </c>
      <c r="C1098" s="3">
        <f t="shared" si="4"/>
        <v>2.7132157622954197E-3</v>
      </c>
    </row>
    <row r="1099" spans="1:3" ht="13.2" x14ac:dyDescent="0.25">
      <c r="A1099" s="6">
        <v>1097</v>
      </c>
      <c r="B1099" s="7">
        <v>147.100006103515</v>
      </c>
      <c r="C1099" s="3">
        <f t="shared" si="4"/>
        <v>-3.5965075209803792E-3</v>
      </c>
    </row>
    <row r="1100" spans="1:3" ht="13.2" x14ac:dyDescent="0.25">
      <c r="A1100" s="6">
        <v>1098</v>
      </c>
      <c r="B1100" s="7">
        <v>146.02999877929599</v>
      </c>
      <c r="C1100" s="3">
        <f t="shared" si="4"/>
        <v>-7.3005974065637582E-3</v>
      </c>
    </row>
    <row r="1101" spans="1:3" ht="13.2" x14ac:dyDescent="0.25">
      <c r="A1101" s="6">
        <v>1099</v>
      </c>
      <c r="B1101" s="7">
        <v>147.91000366210901</v>
      </c>
      <c r="C1101" s="3">
        <f t="shared" si="4"/>
        <v>1.2791933749203E-2</v>
      </c>
    </row>
    <row r="1102" spans="1:3" ht="13.2" x14ac:dyDescent="0.25">
      <c r="A1102" s="6">
        <v>1100</v>
      </c>
      <c r="B1102" s="7">
        <v>147.99000549316401</v>
      </c>
      <c r="C1102" s="3">
        <f t="shared" si="4"/>
        <v>5.4073558992259589E-4</v>
      </c>
    </row>
    <row r="1103" spans="1:3" ht="13.2" x14ac:dyDescent="0.25">
      <c r="A1103" s="6">
        <v>1101</v>
      </c>
      <c r="B1103" s="7">
        <v>143.47999572753901</v>
      </c>
      <c r="C1103" s="3">
        <f t="shared" si="4"/>
        <v>-3.094911814555297E-2</v>
      </c>
    </row>
    <row r="1104" spans="1:3" ht="13.2" x14ac:dyDescent="0.25">
      <c r="A1104" s="6">
        <v>1102</v>
      </c>
      <c r="B1104" s="7">
        <v>139.49000549316401</v>
      </c>
      <c r="C1104" s="3">
        <f t="shared" si="4"/>
        <v>-2.8202669402198136E-2</v>
      </c>
    </row>
    <row r="1105" spans="1:3" ht="13.2" x14ac:dyDescent="0.25">
      <c r="A1105" s="6">
        <v>1103</v>
      </c>
      <c r="B1105" s="7">
        <v>142.509994506835</v>
      </c>
      <c r="C1105" s="3">
        <f t="shared" si="4"/>
        <v>2.1419180654812967E-2</v>
      </c>
    </row>
    <row r="1106" spans="1:3" ht="13.2" x14ac:dyDescent="0.25">
      <c r="A1106" s="6">
        <v>1104</v>
      </c>
      <c r="B1106" s="7">
        <v>143.33999633789</v>
      </c>
      <c r="C1106" s="3">
        <f t="shared" si="4"/>
        <v>5.8072708780577504E-3</v>
      </c>
    </row>
    <row r="1107" spans="1:3" ht="13.2" x14ac:dyDescent="0.25">
      <c r="A1107" s="6">
        <v>1105</v>
      </c>
      <c r="B1107" s="7">
        <v>146.509994506835</v>
      </c>
      <c r="C1107" s="3">
        <f t="shared" si="4"/>
        <v>2.1874243002416933E-2</v>
      </c>
    </row>
    <row r="1108" spans="1:3" ht="13.2" x14ac:dyDescent="0.25">
      <c r="A1108" s="6">
        <v>1106</v>
      </c>
      <c r="B1108" s="7">
        <v>150.05999755859301</v>
      </c>
      <c r="C1108" s="3">
        <f t="shared" si="4"/>
        <v>2.394154982827042E-2</v>
      </c>
    </row>
    <row r="1109" spans="1:3" ht="13.2" x14ac:dyDescent="0.25">
      <c r="A1109" s="6">
        <v>1107</v>
      </c>
      <c r="B1109" s="7">
        <v>143</v>
      </c>
      <c r="C1109" s="3">
        <f t="shared" si="4"/>
        <v>-4.8190567588136467E-2</v>
      </c>
    </row>
    <row r="1110" spans="1:3" ht="13.2" x14ac:dyDescent="0.25">
      <c r="A1110" s="6">
        <v>1108</v>
      </c>
      <c r="B1110" s="7">
        <v>143.64999389648401</v>
      </c>
      <c r="C1110" s="3">
        <f t="shared" si="4"/>
        <v>4.5351126765911538E-3</v>
      </c>
    </row>
    <row r="1111" spans="1:3" ht="13.2" x14ac:dyDescent="0.25">
      <c r="A1111" s="6">
        <v>1109</v>
      </c>
      <c r="B1111" s="7">
        <v>150.669998168945</v>
      </c>
      <c r="C1111" s="3">
        <f t="shared" si="4"/>
        <v>4.771225972394736E-2</v>
      </c>
    </row>
    <row r="1112" spans="1:3" ht="13.2" x14ac:dyDescent="0.25">
      <c r="A1112" s="6">
        <v>1110</v>
      </c>
      <c r="B1112" s="7">
        <v>147.24000549316401</v>
      </c>
      <c r="C1112" s="3">
        <f t="shared" si="4"/>
        <v>-2.3028056842073891E-2</v>
      </c>
    </row>
    <row r="1113" spans="1:3" ht="13.2" x14ac:dyDescent="0.25">
      <c r="A1113" s="6">
        <v>1111</v>
      </c>
      <c r="B1113" s="7">
        <v>144.77000427246</v>
      </c>
      <c r="C1113" s="3">
        <f t="shared" si="4"/>
        <v>-1.6917640140366643E-2</v>
      </c>
    </row>
    <row r="1114" spans="1:3" ht="13.2" x14ac:dyDescent="0.25">
      <c r="A1114" s="6">
        <v>1112</v>
      </c>
      <c r="B1114" s="7">
        <v>144.509994506835</v>
      </c>
      <c r="C1114" s="3">
        <f t="shared" si="4"/>
        <v>-1.7976343801190595E-3</v>
      </c>
    </row>
    <row r="1115" spans="1:3" ht="13.2" x14ac:dyDescent="0.25">
      <c r="A1115" s="6">
        <v>1113</v>
      </c>
      <c r="B1115" s="7">
        <v>144.80999755859301</v>
      </c>
      <c r="C1115" s="3">
        <f t="shared" si="4"/>
        <v>2.0738501832435292E-3</v>
      </c>
    </row>
    <row r="1116" spans="1:3" ht="13.2" x14ac:dyDescent="0.25">
      <c r="A1116" s="6">
        <v>1114</v>
      </c>
      <c r="B1116" s="7">
        <v>149.17999267578099</v>
      </c>
      <c r="C1116" s="3">
        <f t="shared" si="4"/>
        <v>2.9731059949364976E-2</v>
      </c>
    </row>
    <row r="1117" spans="1:3" ht="13.2" x14ac:dyDescent="0.25">
      <c r="A1117" s="6">
        <v>1115</v>
      </c>
      <c r="B1117" s="7">
        <v>147.91000366210901</v>
      </c>
      <c r="C1117" s="3">
        <f t="shared" si="4"/>
        <v>-8.5495759881806643E-3</v>
      </c>
    </row>
    <row r="1118" spans="1:3" ht="13.2" x14ac:dyDescent="0.25">
      <c r="A1118" s="6">
        <v>1116</v>
      </c>
      <c r="B1118" s="7">
        <v>147.05999755859301</v>
      </c>
      <c r="C1118" s="3">
        <f t="shared" si="4"/>
        <v>-5.7633552756729623E-3</v>
      </c>
    </row>
    <row r="1119" spans="1:3" ht="13.2" x14ac:dyDescent="0.25">
      <c r="A1119" s="6">
        <v>1117</v>
      </c>
      <c r="B1119" s="7">
        <v>144.5</v>
      </c>
      <c r="C1119" s="3">
        <f t="shared" si="4"/>
        <v>-1.7561142614154503E-2</v>
      </c>
    </row>
    <row r="1120" spans="1:3" ht="13.2" x14ac:dyDescent="0.25">
      <c r="A1120" s="6">
        <v>1118</v>
      </c>
      <c r="B1120" s="7">
        <v>144.5</v>
      </c>
      <c r="C1120" s="3">
        <f t="shared" si="4"/>
        <v>0</v>
      </c>
    </row>
    <row r="1121" spans="1:3" ht="13.2" x14ac:dyDescent="0.25">
      <c r="A1121" s="6">
        <v>1119</v>
      </c>
      <c r="B1121" s="7">
        <v>147.83000183105401</v>
      </c>
      <c r="C1121" s="3">
        <f t="shared" si="4"/>
        <v>2.2783469746725564E-2</v>
      </c>
    </row>
    <row r="1122" spans="1:3" ht="13.2" x14ac:dyDescent="0.25">
      <c r="A1122" s="6">
        <v>1120</v>
      </c>
      <c r="B1122" s="7">
        <v>146.44999694824199</v>
      </c>
      <c r="C1122" s="3">
        <f t="shared" si="4"/>
        <v>-9.378924863694833E-3</v>
      </c>
    </row>
    <row r="1123" spans="1:3" ht="13.2" x14ac:dyDescent="0.25">
      <c r="A1123" s="6">
        <v>1121</v>
      </c>
      <c r="B1123" s="7">
        <v>145.02000427246</v>
      </c>
      <c r="C1123" s="3">
        <f t="shared" si="4"/>
        <v>-9.8123590308935547E-3</v>
      </c>
    </row>
    <row r="1124" spans="1:3" ht="13.2" x14ac:dyDescent="0.25">
      <c r="A1124" s="6">
        <v>1122</v>
      </c>
      <c r="B1124" s="7">
        <v>138.33999633789</v>
      </c>
      <c r="C1124" s="3">
        <f t="shared" si="4"/>
        <v>-4.715729670399426E-2</v>
      </c>
    </row>
    <row r="1125" spans="1:3" ht="13.2" x14ac:dyDescent="0.25">
      <c r="A1125" s="6">
        <v>1123</v>
      </c>
      <c r="B1125" s="7">
        <v>141.13000488281199</v>
      </c>
      <c r="C1125" s="3">
        <f t="shared" si="4"/>
        <v>1.9967089323258781E-2</v>
      </c>
    </row>
    <row r="1126" spans="1:3" ht="13.2" x14ac:dyDescent="0.25">
      <c r="A1126" s="6">
        <v>1124</v>
      </c>
      <c r="B1126" s="7">
        <v>143.64999389648401</v>
      </c>
      <c r="C1126" s="3">
        <f t="shared" si="4"/>
        <v>1.7698256912610118E-2</v>
      </c>
    </row>
    <row r="1127" spans="1:3" ht="13.2" x14ac:dyDescent="0.25">
      <c r="A1127" s="6">
        <v>1125</v>
      </c>
      <c r="B1127" s="7">
        <v>137.850006103515</v>
      </c>
      <c r="C1127" s="3">
        <f t="shared" si="4"/>
        <v>-4.1213561190197569E-2</v>
      </c>
    </row>
    <row r="1128" spans="1:3" ht="13.2" x14ac:dyDescent="0.25">
      <c r="A1128" s="6">
        <v>1126</v>
      </c>
      <c r="B1128" s="7">
        <v>137.009994506835</v>
      </c>
      <c r="C1128" s="3">
        <f t="shared" si="4"/>
        <v>-6.1123059744528146E-3</v>
      </c>
    </row>
    <row r="1129" spans="1:3" ht="13.2" x14ac:dyDescent="0.25">
      <c r="A1129" s="6">
        <v>1127</v>
      </c>
      <c r="B1129" s="7">
        <v>136.759994506835</v>
      </c>
      <c r="C1129" s="3">
        <f t="shared" si="4"/>
        <v>-1.8263511672079018E-3</v>
      </c>
    </row>
    <row r="1130" spans="1:3" ht="13.2" x14ac:dyDescent="0.25">
      <c r="A1130" s="6">
        <v>1128</v>
      </c>
      <c r="B1130" s="7">
        <v>139.24000549316401</v>
      </c>
      <c r="C1130" s="3">
        <f t="shared" si="4"/>
        <v>1.797157778964566E-2</v>
      </c>
    </row>
    <row r="1131" spans="1:3" ht="13.2" x14ac:dyDescent="0.25">
      <c r="A1131" s="6">
        <v>1129</v>
      </c>
      <c r="B1131" s="7">
        <v>138.89999389648401</v>
      </c>
      <c r="C1131" s="3">
        <f t="shared" si="4"/>
        <v>-2.4448965757886631E-3</v>
      </c>
    </row>
    <row r="1132" spans="1:3" ht="13.2" x14ac:dyDescent="0.25">
      <c r="A1132" s="6">
        <v>1130</v>
      </c>
      <c r="B1132" s="7">
        <v>140.92999267578099</v>
      </c>
      <c r="C1132" s="3">
        <f t="shared" si="4"/>
        <v>1.4509055414304363E-2</v>
      </c>
    </row>
    <row r="1133" spans="1:3" ht="13.2" x14ac:dyDescent="0.25">
      <c r="A1133" s="6">
        <v>1131</v>
      </c>
      <c r="B1133" s="7">
        <v>141.17999267578099</v>
      </c>
      <c r="C1133" s="3">
        <f t="shared" si="4"/>
        <v>1.7723588559354474E-3</v>
      </c>
    </row>
    <row r="1134" spans="1:3" ht="13.2" x14ac:dyDescent="0.25">
      <c r="A1134" s="6">
        <v>1132</v>
      </c>
      <c r="B1134" s="7">
        <v>134.44000244140599</v>
      </c>
      <c r="C1134" s="3">
        <f t="shared" si="4"/>
        <v>-4.8917599072013845E-2</v>
      </c>
    </row>
    <row r="1135" spans="1:3" ht="13.2" x14ac:dyDescent="0.25">
      <c r="A1135" s="6">
        <v>1133</v>
      </c>
      <c r="B1135" s="7">
        <v>131.669998168945</v>
      </c>
      <c r="C1135" s="3">
        <f t="shared" si="4"/>
        <v>-2.0819242554865811E-2</v>
      </c>
    </row>
    <row r="1136" spans="1:3" ht="13.2" x14ac:dyDescent="0.25">
      <c r="A1136" s="6">
        <v>1134</v>
      </c>
      <c r="B1136" s="7">
        <v>138.99000549316401</v>
      </c>
      <c r="C1136" s="3">
        <f t="shared" si="4"/>
        <v>5.4103249156817385E-2</v>
      </c>
    </row>
    <row r="1137" spans="1:3" ht="13.2" x14ac:dyDescent="0.25">
      <c r="A1137" s="6">
        <v>1135</v>
      </c>
      <c r="B1137" s="7">
        <v>139.99000549316401</v>
      </c>
      <c r="C1137" s="3">
        <f t="shared" si="4"/>
        <v>7.1690031077468524E-3</v>
      </c>
    </row>
    <row r="1138" spans="1:3" ht="13.2" x14ac:dyDescent="0.25">
      <c r="A1138" s="6">
        <v>1136</v>
      </c>
      <c r="B1138" s="7">
        <v>134</v>
      </c>
      <c r="C1138" s="3">
        <f t="shared" si="4"/>
        <v>-4.3731230775510249E-2</v>
      </c>
    </row>
    <row r="1139" spans="1:3" ht="13.2" x14ac:dyDescent="0.25">
      <c r="A1139" s="6">
        <v>1137</v>
      </c>
      <c r="B1139" s="7">
        <v>141.02000427246</v>
      </c>
      <c r="C1139" s="3">
        <f t="shared" si="4"/>
        <v>5.1061954636820013E-2</v>
      </c>
    </row>
    <row r="1140" spans="1:3" ht="13.2" x14ac:dyDescent="0.25">
      <c r="A1140" s="6">
        <v>1138</v>
      </c>
      <c r="B1140" s="7">
        <v>142.009994506835</v>
      </c>
      <c r="C1140" s="3">
        <f t="shared" si="4"/>
        <v>6.9956843876529439E-3</v>
      </c>
    </row>
    <row r="1141" spans="1:3" ht="13.2" x14ac:dyDescent="0.25">
      <c r="A1141" s="6">
        <v>1139</v>
      </c>
      <c r="B1141" s="7">
        <v>145.72000122070301</v>
      </c>
      <c r="C1141" s="3">
        <f t="shared" si="4"/>
        <v>2.5789541542023689E-2</v>
      </c>
    </row>
    <row r="1142" spans="1:3" ht="13.2" x14ac:dyDescent="0.25">
      <c r="A1142" s="6">
        <v>1140</v>
      </c>
      <c r="B1142" s="7">
        <v>146.16000366210901</v>
      </c>
      <c r="C1142" s="3">
        <f t="shared" si="4"/>
        <v>3.0149566078231833E-3</v>
      </c>
    </row>
    <row r="1143" spans="1:3" ht="13.2" x14ac:dyDescent="0.25">
      <c r="A1143" s="6">
        <v>1141</v>
      </c>
      <c r="B1143" s="7">
        <v>146.419998168945</v>
      </c>
      <c r="C1143" s="3">
        <f t="shared" si="4"/>
        <v>1.7772545877673418E-3</v>
      </c>
    </row>
    <row r="1144" spans="1:3" ht="13.2" x14ac:dyDescent="0.25">
      <c r="A1144" s="6">
        <v>1142</v>
      </c>
      <c r="B1144" s="7">
        <v>149.58000183105401</v>
      </c>
      <c r="C1144" s="3">
        <f t="shared" si="4"/>
        <v>2.13521872918251E-2</v>
      </c>
    </row>
    <row r="1145" spans="1:3" ht="13.2" x14ac:dyDescent="0.25">
      <c r="A1145" s="6">
        <v>1143</v>
      </c>
      <c r="B1145" s="7">
        <v>149.350006103515</v>
      </c>
      <c r="C1145" s="3">
        <f t="shared" si="4"/>
        <v>-1.5387934755146737E-3</v>
      </c>
    </row>
    <row r="1146" spans="1:3" ht="13.2" x14ac:dyDescent="0.25">
      <c r="A1146" s="6">
        <v>1144</v>
      </c>
      <c r="B1146" s="7">
        <v>148.100006103515</v>
      </c>
      <c r="C1146" s="3">
        <f t="shared" si="4"/>
        <v>-8.4048230434366454E-3</v>
      </c>
    </row>
    <row r="1147" spans="1:3" ht="13.2" x14ac:dyDescent="0.25">
      <c r="A1147" s="6">
        <v>1145</v>
      </c>
      <c r="B1147" s="7">
        <v>143.61000061035099</v>
      </c>
      <c r="C1147" s="3">
        <f t="shared" si="4"/>
        <v>-3.0786466163285963E-2</v>
      </c>
    </row>
    <row r="1148" spans="1:3" ht="13.2" x14ac:dyDescent="0.25">
      <c r="A1148" s="6">
        <v>1146</v>
      </c>
      <c r="B1148" s="7">
        <v>150.61999511718699</v>
      </c>
      <c r="C1148" s="3">
        <f t="shared" si="4"/>
        <v>4.7658779932526707E-2</v>
      </c>
    </row>
    <row r="1149" spans="1:3" ht="13.2" x14ac:dyDescent="0.25">
      <c r="A1149" s="6">
        <v>1147</v>
      </c>
      <c r="B1149" s="7">
        <v>148.88000488281199</v>
      </c>
      <c r="C1149" s="3">
        <f t="shared" si="4"/>
        <v>-1.161943112415449E-2</v>
      </c>
    </row>
    <row r="1150" spans="1:3" ht="13.2" x14ac:dyDescent="0.25">
      <c r="A1150" s="6">
        <v>1148</v>
      </c>
      <c r="B1150" s="7">
        <v>149.71000671386699</v>
      </c>
      <c r="C1150" s="3">
        <f t="shared" si="4"/>
        <v>5.5594891766007288E-3</v>
      </c>
    </row>
    <row r="1151" spans="1:3" ht="13.2" x14ac:dyDescent="0.25">
      <c r="A1151" s="6">
        <v>1149</v>
      </c>
      <c r="B1151" s="7">
        <v>143.63000488281199</v>
      </c>
      <c r="C1151" s="3">
        <f t="shared" si="4"/>
        <v>-4.1459551868061779E-2</v>
      </c>
    </row>
    <row r="1152" spans="1:3" ht="13.2" x14ac:dyDescent="0.25">
      <c r="A1152" s="6">
        <v>1150</v>
      </c>
      <c r="B1152" s="7">
        <v>138.009994506835</v>
      </c>
      <c r="C1152" s="3">
        <f t="shared" si="4"/>
        <v>-3.9914475942208968E-2</v>
      </c>
    </row>
    <row r="1153" spans="1:3" ht="13.2" x14ac:dyDescent="0.25">
      <c r="A1153" s="6">
        <v>1151</v>
      </c>
      <c r="B1153" s="7">
        <v>141.58999633789</v>
      </c>
      <c r="C1153" s="3">
        <f t="shared" si="4"/>
        <v>2.5609424935405231E-2</v>
      </c>
    </row>
    <row r="1154" spans="1:3" ht="13.2" x14ac:dyDescent="0.25">
      <c r="A1154" s="6">
        <v>1152</v>
      </c>
      <c r="B1154" s="7">
        <v>142.33999633789</v>
      </c>
      <c r="C1154" s="3">
        <f t="shared" si="4"/>
        <v>5.2830047105258352E-3</v>
      </c>
    </row>
    <row r="1155" spans="1:3" ht="13.2" x14ac:dyDescent="0.25">
      <c r="A1155" s="6">
        <v>1153</v>
      </c>
      <c r="B1155" s="7">
        <v>137.509994506835</v>
      </c>
      <c r="C1155" s="3">
        <f t="shared" si="4"/>
        <v>-3.4521934355752765E-2</v>
      </c>
    </row>
    <row r="1156" spans="1:3" ht="13.2" x14ac:dyDescent="0.25">
      <c r="A1156" s="6">
        <v>1154</v>
      </c>
      <c r="B1156" s="7">
        <v>135</v>
      </c>
      <c r="C1156" s="3">
        <f t="shared" si="4"/>
        <v>-1.8421823349037521E-2</v>
      </c>
    </row>
    <row r="1157" spans="1:3" ht="13.2" x14ac:dyDescent="0.25">
      <c r="A1157" s="6">
        <v>1155</v>
      </c>
      <c r="B1157" s="7">
        <v>136.88000488281199</v>
      </c>
      <c r="C1157" s="3">
        <f t="shared" si="4"/>
        <v>1.3829886817717194E-2</v>
      </c>
    </row>
    <row r="1158" spans="1:3" ht="13.2" x14ac:dyDescent="0.25">
      <c r="A1158" s="6">
        <v>1156</v>
      </c>
      <c r="B1158" s="7">
        <v>135</v>
      </c>
      <c r="C1158" s="3">
        <f t="shared" si="4"/>
        <v>-1.3829886817717097E-2</v>
      </c>
    </row>
    <row r="1159" spans="1:3" ht="13.2" x14ac:dyDescent="0.25">
      <c r="A1159" s="6">
        <v>1157</v>
      </c>
      <c r="B1159" s="7">
        <v>138.55999755859301</v>
      </c>
      <c r="C1159" s="3">
        <f t="shared" si="4"/>
        <v>2.6028648755841384E-2</v>
      </c>
    </row>
    <row r="1160" spans="1:3" ht="13.2" x14ac:dyDescent="0.25">
      <c r="A1160" s="6">
        <v>1158</v>
      </c>
      <c r="B1160" s="7">
        <v>130.88000488281199</v>
      </c>
      <c r="C1160" s="3">
        <f t="shared" si="4"/>
        <v>-5.7022517032285717E-2</v>
      </c>
    </row>
    <row r="1161" spans="1:3" ht="13.2" x14ac:dyDescent="0.25">
      <c r="A1161" s="6">
        <v>1159</v>
      </c>
      <c r="B1161" s="7">
        <v>126.180000305175</v>
      </c>
      <c r="C1161" s="3">
        <f t="shared" si="4"/>
        <v>-3.6571448800752894E-2</v>
      </c>
    </row>
    <row r="1162" spans="1:3" ht="13.2" x14ac:dyDescent="0.25">
      <c r="A1162" s="6">
        <v>1160</v>
      </c>
      <c r="B1162" s="7">
        <v>132.92999267578099</v>
      </c>
      <c r="C1162" s="3">
        <f t="shared" si="4"/>
        <v>5.2113157419959283E-2</v>
      </c>
    </row>
    <row r="1163" spans="1:3" ht="13.2" x14ac:dyDescent="0.25">
      <c r="A1163" s="6">
        <v>1161</v>
      </c>
      <c r="B1163" s="7">
        <v>139.80000305175699</v>
      </c>
      <c r="C1163" s="3">
        <f t="shared" si="4"/>
        <v>5.0390232847967356E-2</v>
      </c>
    </row>
    <row r="1164" spans="1:3" ht="13.2" x14ac:dyDescent="0.25">
      <c r="A1164" s="6">
        <v>1162</v>
      </c>
      <c r="B1164" s="7">
        <v>139.86000061035099</v>
      </c>
      <c r="C1164" s="3">
        <f t="shared" si="4"/>
        <v>4.2907501057599815E-4</v>
      </c>
    </row>
    <row r="1165" spans="1:3" ht="13.2" x14ac:dyDescent="0.25">
      <c r="A1165" s="6">
        <v>1163</v>
      </c>
      <c r="B1165" s="7">
        <v>133.509994506835</v>
      </c>
      <c r="C1165" s="3">
        <f t="shared" si="4"/>
        <v>-4.6465586381953437E-2</v>
      </c>
    </row>
    <row r="1166" spans="1:3" ht="13.2" x14ac:dyDescent="0.25">
      <c r="A1166" s="6">
        <v>1164</v>
      </c>
      <c r="B1166" s="7">
        <v>139.61000061035099</v>
      </c>
      <c r="C1166" s="3">
        <f t="shared" si="4"/>
        <v>4.4676485114603919E-2</v>
      </c>
    </row>
    <row r="1167" spans="1:3" ht="13.2" x14ac:dyDescent="0.25">
      <c r="A1167" s="6">
        <v>1165</v>
      </c>
      <c r="B1167" s="7">
        <v>145.46000671386699</v>
      </c>
      <c r="C1167" s="3">
        <f t="shared" si="4"/>
        <v>4.1048355510112995E-2</v>
      </c>
    </row>
    <row r="1168" spans="1:3" ht="13.2" x14ac:dyDescent="0.25">
      <c r="A1168" s="6">
        <v>1166</v>
      </c>
      <c r="B1168" s="7">
        <v>141.44999694824199</v>
      </c>
      <c r="C1168" s="3">
        <f t="shared" si="4"/>
        <v>-2.7954904709740346E-2</v>
      </c>
    </row>
    <row r="1169" spans="1:3" ht="13.2" x14ac:dyDescent="0.25">
      <c r="A1169" s="6">
        <v>1167</v>
      </c>
      <c r="B1169" s="7">
        <v>135.69999694824199</v>
      </c>
      <c r="C1169" s="3">
        <f t="shared" si="4"/>
        <v>-4.1499731820939932E-2</v>
      </c>
    </row>
    <row r="1170" spans="1:3" ht="13.2" x14ac:dyDescent="0.25">
      <c r="A1170" s="6">
        <v>1168</v>
      </c>
      <c r="B1170" s="7">
        <v>133.509994506835</v>
      </c>
      <c r="C1170" s="3">
        <f t="shared" si="4"/>
        <v>-1.6270204094036636E-2</v>
      </c>
    </row>
    <row r="1171" spans="1:3" ht="13.2" x14ac:dyDescent="0.25">
      <c r="A1171" s="6">
        <v>1169</v>
      </c>
      <c r="B1171" s="7">
        <v>129.38999938964801</v>
      </c>
      <c r="C1171" s="3">
        <f t="shared" si="4"/>
        <v>-3.1345245647069565E-2</v>
      </c>
    </row>
    <row r="1172" spans="1:3" ht="13.2" x14ac:dyDescent="0.25">
      <c r="A1172" s="6">
        <v>1170</v>
      </c>
      <c r="B1172" s="7">
        <v>134.77000427246</v>
      </c>
      <c r="C1172" s="3">
        <f t="shared" si="4"/>
        <v>4.0738558872218056E-2</v>
      </c>
    </row>
    <row r="1173" spans="1:3" ht="13.2" x14ac:dyDescent="0.25">
      <c r="A1173" s="6">
        <v>1171</v>
      </c>
      <c r="B1173" s="7">
        <v>135.89999389648401</v>
      </c>
      <c r="C1173" s="3">
        <f t="shared" si="4"/>
        <v>8.3496227623498301E-3</v>
      </c>
    </row>
    <row r="1174" spans="1:3" ht="13.2" x14ac:dyDescent="0.25">
      <c r="A1174" s="6">
        <v>1172</v>
      </c>
      <c r="B1174" s="7">
        <v>137.99000549316401</v>
      </c>
      <c r="C1174" s="3">
        <f t="shared" si="4"/>
        <v>1.5261982326603644E-2</v>
      </c>
    </row>
    <row r="1175" spans="1:3" ht="13.2" x14ac:dyDescent="0.25">
      <c r="A1175" s="6">
        <v>1173</v>
      </c>
      <c r="B1175" s="7">
        <v>133.350006103515</v>
      </c>
      <c r="C1175" s="3">
        <f t="shared" si="4"/>
        <v>-3.420396217321986E-2</v>
      </c>
    </row>
    <row r="1176" spans="1:3" ht="13.2" x14ac:dyDescent="0.25">
      <c r="A1176" s="6">
        <v>1174</v>
      </c>
      <c r="B1176" s="7">
        <v>133.30000305175699</v>
      </c>
      <c r="C1176" s="3">
        <f t="shared" si="4"/>
        <v>-3.7504632009975874E-4</v>
      </c>
    </row>
    <row r="1177" spans="1:3" ht="13.2" x14ac:dyDescent="0.25">
      <c r="A1177" s="6">
        <v>1175</v>
      </c>
      <c r="B1177" s="7">
        <v>132.86000061035099</v>
      </c>
      <c r="C1177" s="3">
        <f t="shared" si="4"/>
        <v>-3.306303247527561E-3</v>
      </c>
    </row>
    <row r="1178" spans="1:3" ht="13.2" x14ac:dyDescent="0.25">
      <c r="A1178" s="6">
        <v>1176</v>
      </c>
      <c r="B1178" s="7">
        <v>130.94999694824199</v>
      </c>
      <c r="C1178" s="3">
        <f t="shared" si="4"/>
        <v>-1.4480399182073072E-2</v>
      </c>
    </row>
    <row r="1179" spans="1:3" ht="13.2" x14ac:dyDescent="0.25">
      <c r="A1179" s="6">
        <v>1177</v>
      </c>
      <c r="B1179" s="7">
        <v>128.96000671386699</v>
      </c>
      <c r="C1179" s="3">
        <f t="shared" si="4"/>
        <v>-1.5313216829022485E-2</v>
      </c>
    </row>
    <row r="1180" spans="1:3" ht="13.2" x14ac:dyDescent="0.25">
      <c r="A1180" s="6">
        <v>1178</v>
      </c>
      <c r="B1180" s="7">
        <v>125.809997558593</v>
      </c>
      <c r="C1180" s="3">
        <f t="shared" si="4"/>
        <v>-2.4729517862409487E-2</v>
      </c>
    </row>
    <row r="1181" spans="1:3" ht="13.2" x14ac:dyDescent="0.25">
      <c r="A1181" s="6">
        <v>1179</v>
      </c>
      <c r="B1181" s="7">
        <v>131.02000427246</v>
      </c>
      <c r="C1181" s="3">
        <f t="shared" si="4"/>
        <v>4.0577202955418626E-2</v>
      </c>
    </row>
    <row r="1182" spans="1:3" ht="13.2" x14ac:dyDescent="0.25">
      <c r="A1182" s="6">
        <v>1180</v>
      </c>
      <c r="B1182" s="7">
        <v>126.129997253417</v>
      </c>
      <c r="C1182" s="3">
        <f t="shared" si="4"/>
        <v>-3.8036916589658819E-2</v>
      </c>
    </row>
    <row r="1183" spans="1:3" ht="13.2" x14ac:dyDescent="0.25">
      <c r="A1183" s="6">
        <v>1181</v>
      </c>
      <c r="B1183" s="7">
        <v>130.30000305175699</v>
      </c>
      <c r="C1183" s="3">
        <f t="shared" si="4"/>
        <v>3.2526408228513597E-2</v>
      </c>
    </row>
    <row r="1184" spans="1:3" ht="13.2" x14ac:dyDescent="0.25">
      <c r="A1184" s="6">
        <v>1182</v>
      </c>
      <c r="B1184" s="7">
        <v>131.16000366210901</v>
      </c>
      <c r="C1184" s="3">
        <f t="shared" si="4"/>
        <v>6.5784723455713078E-3</v>
      </c>
    </row>
    <row r="1185" spans="1:3" ht="13.2" x14ac:dyDescent="0.25">
      <c r="A1185" s="6">
        <v>1183</v>
      </c>
      <c r="B1185" s="7">
        <v>127.870002746582</v>
      </c>
      <c r="C1185" s="3">
        <f t="shared" si="4"/>
        <v>-2.5403835594812164E-2</v>
      </c>
    </row>
    <row r="1186" spans="1:3" ht="13.2" x14ac:dyDescent="0.25">
      <c r="A1186" s="6">
        <v>1184</v>
      </c>
      <c r="B1186" s="7">
        <v>131.61999511718699</v>
      </c>
      <c r="C1186" s="3">
        <f t="shared" si="4"/>
        <v>2.8904801627604258E-2</v>
      </c>
    </row>
    <row r="1187" spans="1:3" ht="13.2" x14ac:dyDescent="0.25">
      <c r="A1187" s="6">
        <v>1185</v>
      </c>
      <c r="B1187" s="7">
        <v>131.759994506835</v>
      </c>
      <c r="C1187" s="3">
        <f t="shared" si="4"/>
        <v>1.0630982485283858E-3</v>
      </c>
    </row>
    <row r="1188" spans="1:3" ht="13.2" x14ac:dyDescent="0.25">
      <c r="A1188" s="6">
        <v>1186</v>
      </c>
      <c r="B1188" s="7">
        <v>135.19000244140599</v>
      </c>
      <c r="C1188" s="3">
        <f t="shared" si="4"/>
        <v>2.569917025668977E-2</v>
      </c>
    </row>
    <row r="1189" spans="1:3" ht="13.2" x14ac:dyDescent="0.25">
      <c r="A1189" s="6">
        <v>1187</v>
      </c>
      <c r="B1189" s="7">
        <v>128.21000671386699</v>
      </c>
      <c r="C1189" s="3">
        <f t="shared" si="4"/>
        <v>-5.3011617504605743E-2</v>
      </c>
    </row>
    <row r="1190" spans="1:3" ht="13.2" x14ac:dyDescent="0.25">
      <c r="A1190" s="6">
        <v>1188</v>
      </c>
      <c r="B1190" s="7">
        <v>134.08000183105401</v>
      </c>
      <c r="C1190" s="3">
        <f t="shared" si="4"/>
        <v>4.4767053459421328E-2</v>
      </c>
    </row>
    <row r="1191" spans="1:3" ht="13.2" x14ac:dyDescent="0.25">
      <c r="A1191" s="6">
        <v>1189</v>
      </c>
      <c r="B1191" s="7">
        <v>131.25</v>
      </c>
      <c r="C1191" s="3">
        <f t="shared" si="4"/>
        <v>-2.1332748918468678E-2</v>
      </c>
    </row>
    <row r="1192" spans="1:3" ht="13.2" x14ac:dyDescent="0.25">
      <c r="A1192" s="6">
        <v>1190</v>
      </c>
      <c r="B1192" s="7">
        <v>131.75</v>
      </c>
      <c r="C1192" s="3">
        <f t="shared" si="4"/>
        <v>3.8022859497384787E-3</v>
      </c>
    </row>
    <row r="1193" spans="1:3" ht="13.2" x14ac:dyDescent="0.25">
      <c r="A1193" s="6">
        <v>1191</v>
      </c>
      <c r="B1193" s="7">
        <v>127</v>
      </c>
      <c r="C1193" s="3">
        <f t="shared" si="4"/>
        <v>-3.6719100962880391E-2</v>
      </c>
    </row>
    <row r="1194" spans="1:3" ht="13.2" x14ac:dyDescent="0.25">
      <c r="A1194" s="6">
        <v>1192</v>
      </c>
      <c r="B1194" s="7">
        <v>126.06999969482401</v>
      </c>
      <c r="C1194" s="3">
        <f t="shared" si="4"/>
        <v>-7.3497806361001632E-3</v>
      </c>
    </row>
    <row r="1195" spans="1:3" ht="13.2" x14ac:dyDescent="0.25">
      <c r="A1195" s="6">
        <v>1193</v>
      </c>
      <c r="B1195" s="7">
        <v>128.27999877929599</v>
      </c>
      <c r="C1195" s="3">
        <f t="shared" si="4"/>
        <v>1.7378059486529068E-2</v>
      </c>
    </row>
    <row r="1196" spans="1:3" ht="13.2" x14ac:dyDescent="0.25">
      <c r="A1196" s="6">
        <v>1194</v>
      </c>
      <c r="B1196" s="7">
        <v>130.009994506835</v>
      </c>
      <c r="C1196" s="3">
        <f t="shared" si="4"/>
        <v>1.3395963013191112E-2</v>
      </c>
    </row>
    <row r="1197" spans="1:3" ht="13.2" x14ac:dyDescent="0.25">
      <c r="A1197" s="6">
        <v>1195</v>
      </c>
      <c r="B1197" s="7">
        <v>126.550003051757</v>
      </c>
      <c r="C1197" s="3">
        <f t="shared" si="4"/>
        <v>-2.6973817216048822E-2</v>
      </c>
    </row>
    <row r="1198" spans="1:3" ht="13.2" x14ac:dyDescent="0.25">
      <c r="A1198" s="6">
        <v>1196</v>
      </c>
      <c r="B1198" s="7">
        <v>126.300003051757</v>
      </c>
      <c r="C1198" s="3">
        <f t="shared" si="4"/>
        <v>-1.9774575869539878E-3</v>
      </c>
    </row>
    <row r="1199" spans="1:3" ht="13.2" x14ac:dyDescent="0.25">
      <c r="A1199" s="6">
        <v>1197</v>
      </c>
      <c r="B1199" s="7">
        <v>122.01000213623</v>
      </c>
      <c r="C1199" s="3">
        <f t="shared" si="4"/>
        <v>-3.4557027423318926E-2</v>
      </c>
    </row>
    <row r="1200" spans="1:3" ht="13.2" x14ac:dyDescent="0.25">
      <c r="A1200" s="6">
        <v>1198</v>
      </c>
      <c r="B1200" s="7">
        <v>120.540000915527</v>
      </c>
      <c r="C1200" s="3">
        <f t="shared" si="4"/>
        <v>-1.2121370445778247E-2</v>
      </c>
    </row>
    <row r="1201" spans="1:3" ht="13.2" x14ac:dyDescent="0.25">
      <c r="A1201" s="6">
        <v>1199</v>
      </c>
      <c r="B1201" s="7">
        <v>118.230003356933</v>
      </c>
      <c r="C1201" s="3">
        <f t="shared" si="4"/>
        <v>-1.9349747381847703E-2</v>
      </c>
    </row>
    <row r="1202" spans="1:3" ht="13.2" x14ac:dyDescent="0.25">
      <c r="A1202" s="6">
        <v>1200</v>
      </c>
      <c r="B1202" s="7">
        <v>118.08000183105401</v>
      </c>
      <c r="C1202" s="3">
        <f t="shared" si="4"/>
        <v>-1.2695319092076943E-3</v>
      </c>
    </row>
    <row r="1203" spans="1:3" ht="13.2" x14ac:dyDescent="0.25">
      <c r="A1203" s="6">
        <v>1201</v>
      </c>
      <c r="B1203" s="7">
        <v>120.699996948242</v>
      </c>
      <c r="C1203" s="3">
        <f t="shared" si="4"/>
        <v>2.1945726460601903E-2</v>
      </c>
    </row>
    <row r="1204" spans="1:3" ht="13.2" x14ac:dyDescent="0.25">
      <c r="A1204" s="6">
        <v>1202</v>
      </c>
      <c r="B1204" s="7">
        <v>119.379997253417</v>
      </c>
      <c r="C1204" s="3">
        <f t="shared" si="4"/>
        <v>-1.0996443086215776E-2</v>
      </c>
    </row>
    <row r="1205" spans="1:3" ht="13.2" x14ac:dyDescent="0.25">
      <c r="A1205" s="6">
        <v>1203</v>
      </c>
      <c r="B1205" s="7">
        <v>119.76000213623</v>
      </c>
      <c r="C1205" s="3">
        <f t="shared" si="4"/>
        <v>3.1780982155224882E-3</v>
      </c>
    </row>
    <row r="1206" spans="1:3" ht="13.2" x14ac:dyDescent="0.25">
      <c r="A1206" s="6">
        <v>1204</v>
      </c>
      <c r="B1206" s="7">
        <v>116.050003051757</v>
      </c>
      <c r="C1206" s="3">
        <f t="shared" si="4"/>
        <v>-3.1468598931603767E-2</v>
      </c>
    </row>
    <row r="1207" spans="1:3" ht="13.2" x14ac:dyDescent="0.25">
      <c r="A1207" s="6">
        <v>1205</v>
      </c>
      <c r="B1207" s="7">
        <v>118.31999969482401</v>
      </c>
      <c r="C1207" s="3">
        <f t="shared" si="4"/>
        <v>1.9371656805940874E-2</v>
      </c>
    </row>
    <row r="1208" spans="1:3" ht="13.2" x14ac:dyDescent="0.25">
      <c r="A1208" s="6">
        <v>1206</v>
      </c>
      <c r="B1208" s="7">
        <v>115.699996948242</v>
      </c>
      <c r="C1208" s="3">
        <f t="shared" si="4"/>
        <v>-2.2392208000144763E-2</v>
      </c>
    </row>
    <row r="1209" spans="1:3" ht="13.2" x14ac:dyDescent="0.25">
      <c r="A1209" s="6">
        <v>1207</v>
      </c>
      <c r="B1209" s="7">
        <v>118.550003051757</v>
      </c>
      <c r="C1209" s="3">
        <f t="shared" si="4"/>
        <v>2.4334230430619185E-2</v>
      </c>
    </row>
    <row r="1210" spans="1:3" ht="13.2" x14ac:dyDescent="0.25">
      <c r="A1210" s="6">
        <v>1208</v>
      </c>
      <c r="B1210" s="7">
        <v>119.040000915527</v>
      </c>
      <c r="C1210" s="3">
        <f t="shared" si="4"/>
        <v>4.1247405219246519E-3</v>
      </c>
    </row>
    <row r="1211" spans="1:3" ht="13.2" x14ac:dyDescent="0.25">
      <c r="A1211" s="6">
        <v>1209</v>
      </c>
      <c r="B1211" s="7">
        <v>118.699996948242</v>
      </c>
      <c r="C1211" s="3">
        <f t="shared" si="4"/>
        <v>-2.8603028699185932E-3</v>
      </c>
    </row>
    <row r="1212" spans="1:3" ht="13.2" x14ac:dyDescent="0.25">
      <c r="A1212" s="6">
        <v>1210</v>
      </c>
      <c r="B1212" s="7">
        <v>120.83999633789</v>
      </c>
      <c r="C1212" s="3">
        <f t="shared" si="4"/>
        <v>1.7868050307243456E-2</v>
      </c>
    </row>
    <row r="1213" spans="1:3" ht="13.2" x14ac:dyDescent="0.25">
      <c r="A1213" s="6">
        <v>1211</v>
      </c>
      <c r="B1213" s="7">
        <v>117.5</v>
      </c>
      <c r="C1213" s="3">
        <f t="shared" si="4"/>
        <v>-2.8028992628811866E-2</v>
      </c>
    </row>
    <row r="1214" spans="1:3" ht="13.2" x14ac:dyDescent="0.25">
      <c r="A1214" s="6">
        <v>1212</v>
      </c>
      <c r="B1214" s="7">
        <v>120.790000915527</v>
      </c>
      <c r="C1214" s="3">
        <f t="shared" si="4"/>
        <v>2.7615174612466598E-2</v>
      </c>
    </row>
    <row r="1215" spans="1:3" ht="13.2" x14ac:dyDescent="0.25">
      <c r="A1215" s="6">
        <v>1213</v>
      </c>
      <c r="B1215" s="7">
        <v>120.199996948242</v>
      </c>
      <c r="C1215" s="3">
        <f t="shared" si="4"/>
        <v>-4.8965114845750772E-3</v>
      </c>
    </row>
    <row r="1216" spans="1:3" ht="13.2" x14ac:dyDescent="0.25">
      <c r="A1216" s="6">
        <v>1214</v>
      </c>
      <c r="B1216" s="7">
        <v>120.75</v>
      </c>
      <c r="C1216" s="3">
        <f t="shared" si="4"/>
        <v>4.5652958205767589E-3</v>
      </c>
    </row>
    <row r="1217" spans="1:3" ht="13.2" x14ac:dyDescent="0.25">
      <c r="A1217" s="6">
        <v>1215</v>
      </c>
      <c r="B1217" s="7">
        <v>121</v>
      </c>
      <c r="C1217" s="3">
        <f t="shared" si="4"/>
        <v>2.0682530640590605E-3</v>
      </c>
    </row>
    <row r="1218" spans="1:3" ht="13.2" x14ac:dyDescent="0.25">
      <c r="A1218" s="6">
        <v>1216</v>
      </c>
      <c r="B1218" s="7">
        <v>119.139999389648</v>
      </c>
      <c r="C1218" s="3">
        <f t="shared" si="4"/>
        <v>-1.5491278519181115E-2</v>
      </c>
    </row>
    <row r="1219" spans="1:3" ht="13.2" x14ac:dyDescent="0.25">
      <c r="A1219" s="6">
        <v>1217</v>
      </c>
      <c r="B1219" s="7">
        <v>118.73999786376901</v>
      </c>
      <c r="C1219" s="3">
        <f t="shared" si="4"/>
        <v>-3.3630562258594125E-3</v>
      </c>
    </row>
    <row r="1220" spans="1:3" ht="13.2" x14ac:dyDescent="0.25">
      <c r="A1220" s="6">
        <v>1218</v>
      </c>
      <c r="B1220" s="7">
        <v>121.669998168945</v>
      </c>
      <c r="C1220" s="3">
        <f t="shared" si="4"/>
        <v>2.4376235898302168E-2</v>
      </c>
    </row>
    <row r="1221" spans="1:3" ht="13.2" x14ac:dyDescent="0.25">
      <c r="A1221" s="6">
        <v>1219</v>
      </c>
      <c r="B1221" s="7">
        <v>120.19000244140599</v>
      </c>
      <c r="C1221" s="3">
        <f t="shared" si="4"/>
        <v>-1.2238602472417662E-2</v>
      </c>
    </row>
    <row r="1222" spans="1:3" ht="13.2" x14ac:dyDescent="0.25">
      <c r="A1222" s="6">
        <v>1220</v>
      </c>
      <c r="B1222" s="7">
        <v>116.51999664306599</v>
      </c>
      <c r="C1222" s="3">
        <f t="shared" si="4"/>
        <v>-3.1010940996289971E-2</v>
      </c>
    </row>
    <row r="1223" spans="1:3" ht="13.2" x14ac:dyDescent="0.25">
      <c r="A1223" s="6">
        <v>1221</v>
      </c>
      <c r="B1223" s="7">
        <v>116.300003051757</v>
      </c>
      <c r="C1223" s="3">
        <f t="shared" si="4"/>
        <v>-1.8898175162898429E-3</v>
      </c>
    </row>
    <row r="1224" spans="1:3" ht="13.2" x14ac:dyDescent="0.25">
      <c r="A1224" s="6">
        <v>1222</v>
      </c>
      <c r="B1224" s="7">
        <v>117.16000366210901</v>
      </c>
      <c r="C1224" s="3">
        <f t="shared" si="4"/>
        <v>7.3674674518588636E-3</v>
      </c>
    </row>
    <row r="1225" spans="1:3" ht="13.2" x14ac:dyDescent="0.25">
      <c r="A1225" s="6">
        <v>1223</v>
      </c>
      <c r="B1225" s="7">
        <v>120.66000366210901</v>
      </c>
      <c r="C1225" s="3">
        <f t="shared" si="4"/>
        <v>2.9436150146397465E-2</v>
      </c>
    </row>
    <row r="1226" spans="1:3" ht="13.2" x14ac:dyDescent="0.25">
      <c r="A1226" s="6">
        <v>1224</v>
      </c>
      <c r="B1226" s="7">
        <v>117.980003356933</v>
      </c>
      <c r="C1226" s="3">
        <f t="shared" si="4"/>
        <v>-2.2461556334925577E-2</v>
      </c>
    </row>
    <row r="1227" spans="1:3" ht="13.2" x14ac:dyDescent="0.25">
      <c r="A1227" s="6">
        <v>1225</v>
      </c>
      <c r="B1227" s="7">
        <v>116</v>
      </c>
      <c r="C1227" s="3">
        <f t="shared" si="4"/>
        <v>-1.6924955921971508E-2</v>
      </c>
    </row>
    <row r="1228" spans="1:3" ht="13.2" x14ac:dyDescent="0.25">
      <c r="A1228" s="6">
        <v>1226</v>
      </c>
      <c r="B1228" s="7">
        <v>117.56999969482401</v>
      </c>
      <c r="C1228" s="3">
        <f t="shared" si="4"/>
        <v>1.3443707177589083E-2</v>
      </c>
    </row>
    <row r="1229" spans="1:3" ht="13.2" x14ac:dyDescent="0.25">
      <c r="A1229" s="6">
        <v>1227</v>
      </c>
      <c r="B1229" s="7">
        <v>116.480003356933</v>
      </c>
      <c r="C1229" s="3">
        <f t="shared" si="4"/>
        <v>-9.314285015755052E-3</v>
      </c>
    </row>
    <row r="1230" spans="1:3" ht="13.2" x14ac:dyDescent="0.25">
      <c r="A1230" s="6">
        <v>1228</v>
      </c>
      <c r="B1230" s="7">
        <v>115.5</v>
      </c>
      <c r="C1230" s="3">
        <f t="shared" si="4"/>
        <v>-8.4490833063503371E-3</v>
      </c>
    </row>
    <row r="1231" spans="1:3" ht="13.2" x14ac:dyDescent="0.25">
      <c r="A1231" s="6">
        <v>1229</v>
      </c>
      <c r="B1231" s="7">
        <v>114.949996948242</v>
      </c>
      <c r="C1231" s="3">
        <f t="shared" si="4"/>
        <v>-4.7733053012269057E-3</v>
      </c>
    </row>
    <row r="1232" spans="1:3" ht="13.2" x14ac:dyDescent="0.25">
      <c r="A1232" s="6">
        <v>1230</v>
      </c>
      <c r="B1232" s="7">
        <v>115.949996948242</v>
      </c>
      <c r="C1232" s="3">
        <f t="shared" si="4"/>
        <v>8.6618127213158539E-3</v>
      </c>
    </row>
    <row r="1233" spans="1:3" ht="13.2" x14ac:dyDescent="0.25">
      <c r="A1233" s="6">
        <v>1231</v>
      </c>
      <c r="B1233" s="7">
        <v>115.27999877929599</v>
      </c>
      <c r="C1233" s="3">
        <f t="shared" si="4"/>
        <v>-5.7950962797058969E-3</v>
      </c>
    </row>
    <row r="1234" spans="1:3" ht="13.2" x14ac:dyDescent="0.25">
      <c r="A1234" s="6">
        <v>1232</v>
      </c>
      <c r="B1234" s="7">
        <v>117.84999847412099</v>
      </c>
      <c r="C1234" s="3">
        <f t="shared" si="4"/>
        <v>2.2048675332271922E-2</v>
      </c>
    </row>
    <row r="1235" spans="1:3" ht="13.2" x14ac:dyDescent="0.25">
      <c r="A1235" s="6">
        <v>1233</v>
      </c>
      <c r="B1235" s="7">
        <v>116.81999969482401</v>
      </c>
      <c r="C1235" s="3">
        <f t="shared" si="4"/>
        <v>-8.7783304347006635E-3</v>
      </c>
    </row>
    <row r="1236" spans="1:3" ht="13.2" x14ac:dyDescent="0.25">
      <c r="A1236" s="6">
        <v>1234</v>
      </c>
      <c r="B1236" s="7">
        <v>119.01000213623</v>
      </c>
      <c r="C1236" s="3">
        <f t="shared" si="4"/>
        <v>1.8573255144549976E-2</v>
      </c>
    </row>
    <row r="1237" spans="1:3" ht="13.2" x14ac:dyDescent="0.25">
      <c r="A1237" s="6">
        <v>1235</v>
      </c>
      <c r="B1237" s="7">
        <v>118.889999389648</v>
      </c>
      <c r="C1237" s="3">
        <f t="shared" si="4"/>
        <v>-1.0088504076531475E-3</v>
      </c>
    </row>
    <row r="1238" spans="1:3" ht="13.2" x14ac:dyDescent="0.25">
      <c r="A1238" s="6">
        <v>1236</v>
      </c>
      <c r="B1238" s="7">
        <v>121.75</v>
      </c>
      <c r="C1238" s="3">
        <f t="shared" si="4"/>
        <v>2.3771071225999862E-2</v>
      </c>
    </row>
    <row r="1239" spans="1:3" ht="13.2" x14ac:dyDescent="0.25">
      <c r="A1239" s="6">
        <v>1237</v>
      </c>
      <c r="B1239" s="7">
        <v>118.48999786376901</v>
      </c>
      <c r="C1239" s="3">
        <f t="shared" si="4"/>
        <v>-2.7141211162837933E-2</v>
      </c>
    </row>
    <row r="1240" spans="1:3" ht="13.2" x14ac:dyDescent="0.25">
      <c r="A1240" s="6">
        <v>1238</v>
      </c>
      <c r="B1240" s="7">
        <v>116.69000244140599</v>
      </c>
      <c r="C1240" s="3">
        <f t="shared" si="4"/>
        <v>-1.5307684059692803E-2</v>
      </c>
    </row>
    <row r="1241" spans="1:3" ht="13.2" x14ac:dyDescent="0.25">
      <c r="A1241" s="6">
        <v>1239</v>
      </c>
      <c r="B1241" s="7">
        <v>123.08000183105401</v>
      </c>
      <c r="C1241" s="3">
        <f t="shared" si="4"/>
        <v>5.3313698590614446E-2</v>
      </c>
    </row>
    <row r="1242" spans="1:3" ht="13.2" x14ac:dyDescent="0.25">
      <c r="A1242" s="6">
        <v>1240</v>
      </c>
      <c r="B1242" s="7">
        <v>122.059997558593</v>
      </c>
      <c r="C1242" s="3">
        <f t="shared" si="4"/>
        <v>-8.3218582161300562E-3</v>
      </c>
    </row>
    <row r="1243" spans="1:3" ht="13.2" x14ac:dyDescent="0.25">
      <c r="A1243" s="6">
        <v>1241</v>
      </c>
      <c r="B1243" s="7">
        <v>125.480003356933</v>
      </c>
      <c r="C1243" s="3">
        <f t="shared" si="4"/>
        <v>2.7633702960557709E-2</v>
      </c>
    </row>
    <row r="1244" spans="1:3" ht="13.2" x14ac:dyDescent="0.25">
      <c r="A1244" s="6">
        <v>1242</v>
      </c>
      <c r="B1244" s="7">
        <v>121.94000244140599</v>
      </c>
      <c r="C1244" s="3">
        <f t="shared" si="4"/>
        <v>-2.8617269574169511E-2</v>
      </c>
    </row>
    <row r="1245" spans="1:3" ht="13.2" x14ac:dyDescent="0.25">
      <c r="A1245" s="6">
        <v>1243</v>
      </c>
      <c r="B1245" s="7">
        <v>121.540000915527</v>
      </c>
      <c r="C1245" s="3">
        <f t="shared" si="4"/>
        <v>-3.2857062611100782E-3</v>
      </c>
    </row>
    <row r="1246" spans="1:3" ht="13.2" x14ac:dyDescent="0.25">
      <c r="A1246" s="6">
        <v>1244</v>
      </c>
      <c r="B1246" s="7">
        <v>122.550003051757</v>
      </c>
      <c r="C1246" s="3">
        <f t="shared" si="4"/>
        <v>8.2757006363283203E-3</v>
      </c>
    </row>
    <row r="1247" spans="1:3" ht="13.2" x14ac:dyDescent="0.25">
      <c r="A1247" s="6">
        <v>1245</v>
      </c>
      <c r="B1247" s="7">
        <v>118.720001220703</v>
      </c>
      <c r="C1247" s="3">
        <f t="shared" si="4"/>
        <v>-3.175134517498715E-2</v>
      </c>
    </row>
    <row r="1248" spans="1:3" ht="13.2" x14ac:dyDescent="0.25">
      <c r="A1248" s="6">
        <v>1246</v>
      </c>
      <c r="B1248" s="7">
        <v>123.58000183105401</v>
      </c>
      <c r="C1248" s="3">
        <f t="shared" si="4"/>
        <v>4.0120944748311557E-2</v>
      </c>
    </row>
    <row r="1249" spans="1:3" ht="13.2" x14ac:dyDescent="0.25">
      <c r="A1249" s="6">
        <v>1247</v>
      </c>
      <c r="B1249" s="7">
        <v>123.09999847412099</v>
      </c>
      <c r="C1249" s="3">
        <f t="shared" si="4"/>
        <v>-3.8917136546186954E-3</v>
      </c>
    </row>
    <row r="1250" spans="1:3" ht="13.2" x14ac:dyDescent="0.25">
      <c r="A1250" s="6">
        <v>1248</v>
      </c>
      <c r="B1250" s="7">
        <v>121.58999633789</v>
      </c>
      <c r="C1250" s="3">
        <f t="shared" si="4"/>
        <v>-1.2342321605151569E-2</v>
      </c>
    </row>
    <row r="1251" spans="1:3" ht="13.2" x14ac:dyDescent="0.25">
      <c r="A1251" s="6">
        <v>1249</v>
      </c>
      <c r="B1251" s="7">
        <v>122.16000366210901</v>
      </c>
      <c r="C1251" s="3">
        <f t="shared" si="4"/>
        <v>4.6769916985348178E-3</v>
      </c>
    </row>
    <row r="1252" spans="1:3" ht="13.2" x14ac:dyDescent="0.25">
      <c r="A1252" s="6">
        <v>1250</v>
      </c>
      <c r="B1252" s="7">
        <v>124.199996948242</v>
      </c>
      <c r="C1252" s="3">
        <f t="shared" si="4"/>
        <v>1.6561454039709517E-2</v>
      </c>
    </row>
    <row r="1253" spans="1:3" ht="13.2" x14ac:dyDescent="0.25">
      <c r="A1253" s="6">
        <v>1251</v>
      </c>
      <c r="B1253" s="7">
        <v>124.76999664306599</v>
      </c>
      <c r="C1253" s="3">
        <f t="shared" si="4"/>
        <v>4.5788705898948063E-3</v>
      </c>
    </row>
    <row r="1254" spans="1:3" ht="13.2" x14ac:dyDescent="0.25">
      <c r="A1254" s="6">
        <v>1252</v>
      </c>
      <c r="B1254" s="7">
        <v>123.879997253417</v>
      </c>
      <c r="C1254" s="3">
        <f t="shared" si="4"/>
        <v>-7.1586825842695767E-3</v>
      </c>
    </row>
    <row r="1255" spans="1:3" ht="13.2" x14ac:dyDescent="0.25">
      <c r="A1255" s="6">
        <v>1253</v>
      </c>
      <c r="B1255" s="7">
        <v>122.91000366210901</v>
      </c>
      <c r="C1255" s="3">
        <f t="shared" si="4"/>
        <v>-7.8609229117486915E-3</v>
      </c>
    </row>
    <row r="1256" spans="1:3" ht="13.2" x14ac:dyDescent="0.25">
      <c r="A1256" s="6">
        <v>1254</v>
      </c>
      <c r="B1256" s="7">
        <v>121.889999389648</v>
      </c>
      <c r="C1256" s="3">
        <f t="shared" si="4"/>
        <v>-8.3334163615892704E-3</v>
      </c>
    </row>
    <row r="1257" spans="1:3" ht="13.2" x14ac:dyDescent="0.25">
      <c r="A1257" s="6">
        <v>1255</v>
      </c>
      <c r="B1257" s="7">
        <v>121.09999847412099</v>
      </c>
      <c r="C1257" s="3">
        <f t="shared" si="4"/>
        <v>-6.5023557014553665E-3</v>
      </c>
    </row>
    <row r="1258" spans="1:3" ht="13.2" x14ac:dyDescent="0.25">
      <c r="A1258" s="6">
        <v>1256</v>
      </c>
      <c r="B1258" s="7">
        <v>121.77999877929599</v>
      </c>
      <c r="C1258" s="3">
        <f t="shared" si="4"/>
        <v>5.5994901976920931E-3</v>
      </c>
    </row>
    <row r="1259" spans="1:3" ht="13.2" x14ac:dyDescent="0.25">
      <c r="A1259" s="6">
        <v>1257</v>
      </c>
      <c r="B1259" s="7">
        <v>121.08000183105401</v>
      </c>
      <c r="C1259" s="3">
        <f t="shared" si="4"/>
        <v>-5.7646288803846289E-3</v>
      </c>
    </row>
    <row r="1260" spans="1:3" ht="13.2" x14ac:dyDescent="0.25">
      <c r="A1260" s="6">
        <v>1258</v>
      </c>
      <c r="B1260" s="7">
        <v>118.800003051757</v>
      </c>
      <c r="C1260" s="3">
        <f t="shared" si="4"/>
        <v>-1.9010066659462622E-2</v>
      </c>
    </row>
    <row r="1261" spans="1:3" ht="13.8" x14ac:dyDescent="0.3">
      <c r="A1261" s="1"/>
      <c r="B1261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261"/>
  <sheetViews>
    <sheetView workbookViewId="0"/>
  </sheetViews>
  <sheetFormatPr baseColWidth="10" defaultColWidth="12.6640625" defaultRowHeight="15.75" customHeight="1" x14ac:dyDescent="0.25"/>
  <cols>
    <col min="3" max="3" width="15" customWidth="1"/>
    <col min="6" max="6" width="12.21875" customWidth="1"/>
  </cols>
  <sheetData>
    <row r="1" spans="1:6" ht="15.75" customHeight="1" x14ac:dyDescent="0.3">
      <c r="A1" s="1"/>
      <c r="B1" s="10" t="s">
        <v>7</v>
      </c>
      <c r="C1" s="10" t="s">
        <v>8</v>
      </c>
      <c r="E1" s="4" t="s">
        <v>2</v>
      </c>
      <c r="F1" s="11">
        <f>AVERAGE(C:C)</f>
        <v>6.5383253785100475E-4</v>
      </c>
    </row>
    <row r="2" spans="1:6" x14ac:dyDescent="0.25">
      <c r="A2" s="6">
        <v>0</v>
      </c>
      <c r="B2" s="7">
        <v>48.509998321533203</v>
      </c>
      <c r="E2" s="4" t="s">
        <v>3</v>
      </c>
      <c r="F2" s="11">
        <f>_xlfn.VAR.S(C:C)</f>
        <v>5.8922951502286727E-4</v>
      </c>
    </row>
    <row r="3" spans="1:6" x14ac:dyDescent="0.25">
      <c r="A3" s="6">
        <v>1</v>
      </c>
      <c r="B3" s="7">
        <v>48.5</v>
      </c>
      <c r="C3" s="3">
        <f t="shared" ref="C3:C257" si="0">LN(B3/B2)</f>
        <v>-2.0612971325839315E-4</v>
      </c>
      <c r="E3" s="4" t="s">
        <v>4</v>
      </c>
      <c r="F3" s="11">
        <f>SQRT(F2)</f>
        <v>2.4274050239357817E-2</v>
      </c>
    </row>
    <row r="4" spans="1:6" x14ac:dyDescent="0.25">
      <c r="A4" s="6">
        <v>2</v>
      </c>
      <c r="B4" s="7">
        <v>49.849998474121001</v>
      </c>
      <c r="C4" s="3">
        <f t="shared" si="0"/>
        <v>2.7454667855001134E-2</v>
      </c>
      <c r="F4" s="11"/>
    </row>
    <row r="5" spans="1:6" x14ac:dyDescent="0.25">
      <c r="A5" s="6">
        <v>3</v>
      </c>
      <c r="B5" s="7">
        <v>50.150001525878899</v>
      </c>
      <c r="C5" s="3">
        <f t="shared" si="0"/>
        <v>6.0000790358044663E-3</v>
      </c>
    </row>
    <row r="6" spans="1:6" x14ac:dyDescent="0.25">
      <c r="A6" s="6">
        <v>4</v>
      </c>
      <c r="B6" s="7">
        <v>51.340000152587798</v>
      </c>
      <c r="C6" s="3">
        <f t="shared" si="0"/>
        <v>2.3451633580854721E-2</v>
      </c>
    </row>
    <row r="7" spans="1:6" x14ac:dyDescent="0.25">
      <c r="A7" s="6">
        <v>5</v>
      </c>
      <c r="B7" s="7">
        <v>51.259998321533203</v>
      </c>
      <c r="C7" s="3">
        <f t="shared" si="0"/>
        <v>-1.5594902233559294E-3</v>
      </c>
    </row>
    <row r="8" spans="1:6" x14ac:dyDescent="0.25">
      <c r="A8" s="6">
        <v>6</v>
      </c>
      <c r="B8" s="7">
        <v>50.669998168945298</v>
      </c>
      <c r="C8" s="3">
        <f t="shared" si="0"/>
        <v>-1.1576704840784342E-2</v>
      </c>
    </row>
    <row r="9" spans="1:6" x14ac:dyDescent="0.25">
      <c r="A9" s="6">
        <v>7</v>
      </c>
      <c r="B9" s="7">
        <v>50.9799995422363</v>
      </c>
      <c r="C9" s="3">
        <f t="shared" si="0"/>
        <v>6.0994066177315837E-3</v>
      </c>
    </row>
    <row r="10" spans="1:6" x14ac:dyDescent="0.25">
      <c r="A10" s="6">
        <v>8</v>
      </c>
      <c r="B10" s="7">
        <v>52.540000915527301</v>
      </c>
      <c r="C10" s="3">
        <f t="shared" si="0"/>
        <v>3.0141411714043168E-2</v>
      </c>
    </row>
    <row r="11" spans="1:6" x14ac:dyDescent="0.25">
      <c r="A11" s="6">
        <v>9</v>
      </c>
      <c r="B11" s="7">
        <v>52.840000152587798</v>
      </c>
      <c r="C11" s="3">
        <f t="shared" si="0"/>
        <v>5.6936808591248091E-3</v>
      </c>
    </row>
    <row r="12" spans="1:6" x14ac:dyDescent="0.25">
      <c r="A12" s="6">
        <v>10</v>
      </c>
      <c r="B12" s="7">
        <v>52.650001525878899</v>
      </c>
      <c r="C12" s="3">
        <f t="shared" si="0"/>
        <v>-3.602214980317704E-3</v>
      </c>
    </row>
    <row r="13" spans="1:6" x14ac:dyDescent="0.25">
      <c r="A13" s="6">
        <v>11</v>
      </c>
      <c r="B13" s="7">
        <v>53.159999847412102</v>
      </c>
      <c r="C13" s="3">
        <f t="shared" si="0"/>
        <v>9.6399634131531693E-3</v>
      </c>
    </row>
    <row r="14" spans="1:6" x14ac:dyDescent="0.25">
      <c r="A14" s="6">
        <v>12</v>
      </c>
      <c r="B14" s="7">
        <v>52.819999694824197</v>
      </c>
      <c r="C14" s="3">
        <f t="shared" si="0"/>
        <v>-6.4163298833629897E-3</v>
      </c>
    </row>
    <row r="15" spans="1:6" x14ac:dyDescent="0.25">
      <c r="A15" s="6">
        <v>13</v>
      </c>
      <c r="B15" s="7">
        <v>52.580001831054602</v>
      </c>
      <c r="C15" s="3">
        <f t="shared" si="0"/>
        <v>-4.5540469654302314E-3</v>
      </c>
    </row>
    <row r="16" spans="1:6" x14ac:dyDescent="0.25">
      <c r="A16" s="6">
        <v>14</v>
      </c>
      <c r="B16" s="7">
        <v>52.610000610351499</v>
      </c>
      <c r="C16" s="3">
        <f t="shared" si="0"/>
        <v>5.7037321825123034E-4</v>
      </c>
    </row>
    <row r="17" spans="1:3" x14ac:dyDescent="0.25">
      <c r="A17" s="6">
        <v>15</v>
      </c>
      <c r="B17" s="7">
        <v>52.520000457763601</v>
      </c>
      <c r="C17" s="3">
        <f t="shared" si="0"/>
        <v>-1.7121691935691717E-3</v>
      </c>
    </row>
    <row r="18" spans="1:3" x14ac:dyDescent="0.25">
      <c r="A18" s="6">
        <v>16</v>
      </c>
      <c r="B18" s="7">
        <v>52.380001068115199</v>
      </c>
      <c r="C18" s="3">
        <f t="shared" si="0"/>
        <v>-2.6691986793551743E-3</v>
      </c>
    </row>
    <row r="19" spans="1:3" x14ac:dyDescent="0.25">
      <c r="A19" s="6">
        <v>17</v>
      </c>
      <c r="B19" s="7">
        <v>53.069999694824197</v>
      </c>
      <c r="C19" s="3">
        <f t="shared" si="0"/>
        <v>1.3086931618138028E-2</v>
      </c>
    </row>
    <row r="20" spans="1:3" x14ac:dyDescent="0.25">
      <c r="A20" s="6">
        <v>18</v>
      </c>
      <c r="B20" s="7">
        <v>53.529998779296797</v>
      </c>
      <c r="C20" s="3">
        <f t="shared" si="0"/>
        <v>8.6304305118301214E-3</v>
      </c>
    </row>
    <row r="21" spans="1:3" x14ac:dyDescent="0.25">
      <c r="A21" s="6">
        <v>19</v>
      </c>
      <c r="B21" s="7">
        <v>52.860000610351499</v>
      </c>
      <c r="C21" s="3">
        <f t="shared" si="0"/>
        <v>-1.2595300878485207E-2</v>
      </c>
    </row>
    <row r="22" spans="1:3" x14ac:dyDescent="0.25">
      <c r="A22" s="6">
        <v>20</v>
      </c>
      <c r="B22" s="7">
        <v>52.090000152587798</v>
      </c>
      <c r="C22" s="3">
        <f t="shared" si="0"/>
        <v>-1.4673926036298459E-2</v>
      </c>
    </row>
    <row r="23" spans="1:3" x14ac:dyDescent="0.25">
      <c r="A23" s="6">
        <v>21</v>
      </c>
      <c r="B23" s="7">
        <v>52.299999237060497</v>
      </c>
      <c r="C23" s="3">
        <f t="shared" si="0"/>
        <v>4.0233617967127752E-3</v>
      </c>
    </row>
    <row r="24" spans="1:3" x14ac:dyDescent="0.25">
      <c r="A24" s="6">
        <v>22</v>
      </c>
      <c r="B24" s="7">
        <v>51.569999694824197</v>
      </c>
      <c r="C24" s="3">
        <f t="shared" si="0"/>
        <v>-1.4056254337956457E-2</v>
      </c>
    </row>
    <row r="25" spans="1:3" x14ac:dyDescent="0.25">
      <c r="A25" s="6">
        <v>23</v>
      </c>
      <c r="B25" s="7">
        <v>52.090000152587798</v>
      </c>
      <c r="C25" s="3">
        <f t="shared" si="0"/>
        <v>1.003289254124369E-2</v>
      </c>
    </row>
    <row r="26" spans="1:3" x14ac:dyDescent="0.25">
      <c r="A26" s="6">
        <v>24</v>
      </c>
      <c r="B26" s="7">
        <v>51.650001525878899</v>
      </c>
      <c r="C26" s="3">
        <f t="shared" si="0"/>
        <v>-8.482769578093954E-3</v>
      </c>
    </row>
    <row r="27" spans="1:3" x14ac:dyDescent="0.25">
      <c r="A27" s="6">
        <v>25</v>
      </c>
      <c r="B27" s="7">
        <v>51.830001831054602</v>
      </c>
      <c r="C27" s="3">
        <f t="shared" si="0"/>
        <v>3.4789424213816571E-3</v>
      </c>
    </row>
    <row r="28" spans="1:3" x14ac:dyDescent="0.25">
      <c r="A28" s="6">
        <v>26</v>
      </c>
      <c r="B28" s="7">
        <v>51.080001831054602</v>
      </c>
      <c r="C28" s="3">
        <f t="shared" si="0"/>
        <v>-1.4576100518559664E-2</v>
      </c>
    </row>
    <row r="29" spans="1:3" x14ac:dyDescent="0.25">
      <c r="A29" s="6">
        <v>27</v>
      </c>
      <c r="B29" s="7">
        <v>52.209999084472599</v>
      </c>
      <c r="C29" s="3">
        <f t="shared" si="0"/>
        <v>2.1880962875841937E-2</v>
      </c>
    </row>
    <row r="30" spans="1:3" x14ac:dyDescent="0.25">
      <c r="A30" s="6">
        <v>28</v>
      </c>
      <c r="B30" s="7">
        <v>50.779998779296797</v>
      </c>
      <c r="C30" s="3">
        <f t="shared" si="0"/>
        <v>-2.7771477649503769E-2</v>
      </c>
    </row>
    <row r="31" spans="1:3" ht="13.2" x14ac:dyDescent="0.25">
      <c r="A31" s="6">
        <v>29</v>
      </c>
      <c r="B31" s="7">
        <v>49.529998779296797</v>
      </c>
      <c r="C31" s="3">
        <f t="shared" si="0"/>
        <v>-2.4924030283065186E-2</v>
      </c>
    </row>
    <row r="32" spans="1:3" ht="13.2" x14ac:dyDescent="0.25">
      <c r="A32" s="6">
        <v>30</v>
      </c>
      <c r="B32" s="7">
        <v>50.639999389648402</v>
      </c>
      <c r="C32" s="3">
        <f t="shared" si="0"/>
        <v>2.2163243828752024E-2</v>
      </c>
    </row>
    <row r="33" spans="1:3" ht="13.2" x14ac:dyDescent="0.25">
      <c r="A33" s="6">
        <v>31</v>
      </c>
      <c r="B33" s="7">
        <v>49.880001068115199</v>
      </c>
      <c r="C33" s="3">
        <f t="shared" si="0"/>
        <v>-1.5121623557631692E-2</v>
      </c>
    </row>
    <row r="34" spans="1:3" ht="13.2" x14ac:dyDescent="0.25">
      <c r="A34" s="6">
        <v>32</v>
      </c>
      <c r="B34" s="7">
        <v>49.450000762939403</v>
      </c>
      <c r="C34" s="3">
        <f t="shared" si="0"/>
        <v>-8.6580687283096813E-3</v>
      </c>
    </row>
    <row r="35" spans="1:3" ht="13.2" x14ac:dyDescent="0.25">
      <c r="A35" s="6">
        <v>33</v>
      </c>
      <c r="B35" s="7">
        <v>50.360000610351499</v>
      </c>
      <c r="C35" s="3">
        <f t="shared" si="0"/>
        <v>1.8235147798691308E-2</v>
      </c>
    </row>
    <row r="36" spans="1:3" ht="13.2" x14ac:dyDescent="0.25">
      <c r="A36" s="6">
        <v>34</v>
      </c>
      <c r="B36" s="7">
        <v>51.340000152587798</v>
      </c>
      <c r="C36" s="3">
        <f t="shared" si="0"/>
        <v>1.9272957119183965E-2</v>
      </c>
    </row>
    <row r="37" spans="1:3" ht="13.2" x14ac:dyDescent="0.25">
      <c r="A37" s="6">
        <v>35</v>
      </c>
      <c r="B37" s="7">
        <v>54.080001831054602</v>
      </c>
      <c r="C37" s="3">
        <f t="shared" si="0"/>
        <v>5.1994287177868297E-2</v>
      </c>
    </row>
    <row r="38" spans="1:3" ht="13.2" x14ac:dyDescent="0.25">
      <c r="A38" s="6">
        <v>36</v>
      </c>
      <c r="B38" s="7">
        <v>54.770000457763601</v>
      </c>
      <c r="C38" s="3">
        <f t="shared" si="0"/>
        <v>1.2678141560589495E-2</v>
      </c>
    </row>
    <row r="39" spans="1:3" ht="13.2" x14ac:dyDescent="0.25">
      <c r="A39" s="6">
        <v>37</v>
      </c>
      <c r="B39" s="7">
        <v>54.770000457763601</v>
      </c>
      <c r="C39" s="3">
        <f t="shared" si="0"/>
        <v>0</v>
      </c>
    </row>
    <row r="40" spans="1:3" ht="13.2" x14ac:dyDescent="0.25">
      <c r="A40" s="6">
        <v>38</v>
      </c>
      <c r="B40" s="7">
        <v>57.069999694824197</v>
      </c>
      <c r="C40" s="3">
        <f t="shared" si="0"/>
        <v>4.1135972047666454E-2</v>
      </c>
    </row>
    <row r="41" spans="1:3" ht="13.2" x14ac:dyDescent="0.25">
      <c r="A41" s="6">
        <v>39</v>
      </c>
      <c r="B41" s="7">
        <v>56.450000762939403</v>
      </c>
      <c r="C41" s="3">
        <f t="shared" si="0"/>
        <v>-1.0923275090238587E-2</v>
      </c>
    </row>
    <row r="42" spans="1:3" ht="13.2" x14ac:dyDescent="0.25">
      <c r="A42" s="6">
        <v>40</v>
      </c>
      <c r="B42" s="7">
        <v>55.939998626708899</v>
      </c>
      <c r="C42" s="3">
        <f t="shared" si="0"/>
        <v>-9.0756408865285323E-3</v>
      </c>
    </row>
    <row r="43" spans="1:3" ht="13.2" x14ac:dyDescent="0.25">
      <c r="A43" s="6">
        <v>41</v>
      </c>
      <c r="B43" s="7">
        <v>54.299999237060497</v>
      </c>
      <c r="C43" s="3">
        <f t="shared" si="0"/>
        <v>-2.9755450335016684E-2</v>
      </c>
    </row>
    <row r="44" spans="1:3" ht="13.2" x14ac:dyDescent="0.25">
      <c r="A44" s="6">
        <v>42</v>
      </c>
      <c r="B44" s="7">
        <v>53.400001525878899</v>
      </c>
      <c r="C44" s="3">
        <f t="shared" si="0"/>
        <v>-1.6713438348778448E-2</v>
      </c>
    </row>
    <row r="45" spans="1:3" ht="13.2" x14ac:dyDescent="0.25">
      <c r="A45" s="6">
        <v>43</v>
      </c>
      <c r="B45" s="7">
        <v>54.209999084472599</v>
      </c>
      <c r="C45" s="3">
        <f t="shared" si="0"/>
        <v>1.5054601843053139E-2</v>
      </c>
    </row>
    <row r="46" spans="1:3" ht="13.2" x14ac:dyDescent="0.25">
      <c r="A46" s="6">
        <v>44</v>
      </c>
      <c r="B46" s="7">
        <v>53.779998779296797</v>
      </c>
      <c r="C46" s="3">
        <f t="shared" si="0"/>
        <v>-7.9637482410834237E-3</v>
      </c>
    </row>
    <row r="47" spans="1:3" ht="13.2" x14ac:dyDescent="0.25">
      <c r="A47" s="6">
        <v>45</v>
      </c>
      <c r="B47" s="7">
        <v>51.889999389648402</v>
      </c>
      <c r="C47" s="3">
        <f t="shared" si="0"/>
        <v>-3.5775546525394358E-2</v>
      </c>
    </row>
    <row r="48" spans="1:3" ht="13.2" x14ac:dyDescent="0.25">
      <c r="A48" s="6">
        <v>46</v>
      </c>
      <c r="B48" s="7">
        <v>51.889999389648402</v>
      </c>
      <c r="C48" s="3">
        <f t="shared" si="0"/>
        <v>0</v>
      </c>
    </row>
    <row r="49" spans="1:3" ht="13.2" x14ac:dyDescent="0.25">
      <c r="A49" s="6">
        <v>47</v>
      </c>
      <c r="B49" s="7">
        <v>53.970001220703097</v>
      </c>
      <c r="C49" s="3">
        <f t="shared" si="0"/>
        <v>3.9302277631494222E-2</v>
      </c>
    </row>
    <row r="50" spans="1:3" ht="13.2" x14ac:dyDescent="0.25">
      <c r="A50" s="6">
        <v>48</v>
      </c>
      <c r="B50" s="7">
        <v>54.099998474121001</v>
      </c>
      <c r="C50" s="3">
        <f t="shared" si="0"/>
        <v>2.4057983989183478E-3</v>
      </c>
    </row>
    <row r="51" spans="1:3" ht="13.2" x14ac:dyDescent="0.25">
      <c r="A51" s="6">
        <v>49</v>
      </c>
      <c r="B51" s="7">
        <v>52.825000762939403</v>
      </c>
      <c r="C51" s="3">
        <f t="shared" si="0"/>
        <v>-2.3849579702756234E-2</v>
      </c>
    </row>
    <row r="52" spans="1:3" ht="13.2" x14ac:dyDescent="0.25">
      <c r="A52" s="6">
        <v>50</v>
      </c>
      <c r="B52" s="7">
        <v>52.939998626708899</v>
      </c>
      <c r="C52" s="3">
        <f t="shared" si="0"/>
        <v>2.1745929135436686E-3</v>
      </c>
    </row>
    <row r="53" spans="1:3" ht="13.2" x14ac:dyDescent="0.25">
      <c r="A53" s="6">
        <v>51</v>
      </c>
      <c r="B53" s="7">
        <v>54.360000610351499</v>
      </c>
      <c r="C53" s="3">
        <f t="shared" si="0"/>
        <v>2.6469429652459908E-2</v>
      </c>
    </row>
    <row r="54" spans="1:3" ht="13.2" x14ac:dyDescent="0.25">
      <c r="A54" s="6">
        <v>52</v>
      </c>
      <c r="B54" s="7">
        <v>54.299999237060497</v>
      </c>
      <c r="C54" s="3">
        <f t="shared" si="0"/>
        <v>-1.1043876214569966E-3</v>
      </c>
    </row>
    <row r="55" spans="1:3" ht="13.2" x14ac:dyDescent="0.25">
      <c r="A55" s="6">
        <v>53</v>
      </c>
      <c r="B55" s="7">
        <v>55.430000305175703</v>
      </c>
      <c r="C55" s="3">
        <f t="shared" si="0"/>
        <v>2.0596756047880232E-2</v>
      </c>
    </row>
    <row r="56" spans="1:3" ht="13.2" x14ac:dyDescent="0.25">
      <c r="A56" s="6">
        <v>54</v>
      </c>
      <c r="B56" s="7">
        <v>56.919998168945298</v>
      </c>
      <c r="C56" s="3">
        <f t="shared" si="0"/>
        <v>2.6525772115416502E-2</v>
      </c>
    </row>
    <row r="57" spans="1:3" ht="13.2" x14ac:dyDescent="0.25">
      <c r="A57" s="6">
        <v>55</v>
      </c>
      <c r="B57" s="7">
        <v>56.840000152587798</v>
      </c>
      <c r="C57" s="3">
        <f t="shared" si="0"/>
        <v>-1.4064351393208126E-3</v>
      </c>
    </row>
    <row r="58" spans="1:3" ht="13.2" x14ac:dyDescent="0.25">
      <c r="A58" s="6">
        <v>56</v>
      </c>
      <c r="B58" s="7">
        <v>54.970001220703097</v>
      </c>
      <c r="C58" s="3">
        <f t="shared" si="0"/>
        <v>-3.3452701834131029E-2</v>
      </c>
    </row>
    <row r="59" spans="1:3" ht="13.2" x14ac:dyDescent="0.25">
      <c r="A59" s="6">
        <v>57</v>
      </c>
      <c r="B59" s="7">
        <v>56.720001220703097</v>
      </c>
      <c r="C59" s="3">
        <f t="shared" si="0"/>
        <v>3.1339299666152398E-2</v>
      </c>
    </row>
    <row r="60" spans="1:3" ht="13.2" x14ac:dyDescent="0.25">
      <c r="A60" s="6">
        <v>58</v>
      </c>
      <c r="B60" s="7">
        <v>58.700000762939403</v>
      </c>
      <c r="C60" s="3">
        <f t="shared" si="0"/>
        <v>3.4312836085879303E-2</v>
      </c>
    </row>
    <row r="61" spans="1:3" ht="13.2" x14ac:dyDescent="0.25">
      <c r="A61" s="6">
        <v>59</v>
      </c>
      <c r="B61" s="7">
        <v>58.020000457763601</v>
      </c>
      <c r="C61" s="3">
        <f t="shared" si="0"/>
        <v>-1.1651953248301558E-2</v>
      </c>
    </row>
    <row r="62" spans="1:3" ht="13.2" x14ac:dyDescent="0.25">
      <c r="A62" s="6">
        <v>60</v>
      </c>
      <c r="B62" s="7">
        <v>57.220001220703097</v>
      </c>
      <c r="C62" s="3">
        <f t="shared" si="0"/>
        <v>-1.3884277627545304E-2</v>
      </c>
    </row>
    <row r="63" spans="1:3" ht="13.2" x14ac:dyDescent="0.25">
      <c r="A63" s="6">
        <v>61</v>
      </c>
      <c r="B63" s="7">
        <v>56.939998626708899</v>
      </c>
      <c r="C63" s="3">
        <f t="shared" si="0"/>
        <v>-4.9054512237906422E-3</v>
      </c>
    </row>
    <row r="64" spans="1:3" ht="13.2" x14ac:dyDescent="0.25">
      <c r="A64" s="6">
        <v>62</v>
      </c>
      <c r="B64" s="7">
        <v>53.880001068115199</v>
      </c>
      <c r="C64" s="3">
        <f t="shared" si="0"/>
        <v>-5.5238686365549926E-2</v>
      </c>
    </row>
    <row r="65" spans="1:3" ht="13.2" x14ac:dyDescent="0.25">
      <c r="A65" s="6">
        <v>63</v>
      </c>
      <c r="B65" s="7">
        <v>52.689998626708899</v>
      </c>
      <c r="C65" s="3">
        <f t="shared" si="0"/>
        <v>-2.2333713208533678E-2</v>
      </c>
    </row>
    <row r="66" spans="1:3" ht="13.2" x14ac:dyDescent="0.25">
      <c r="A66" s="6">
        <v>64</v>
      </c>
      <c r="B66" s="7">
        <v>51.220001220703097</v>
      </c>
      <c r="C66" s="3">
        <f t="shared" si="0"/>
        <v>-2.8295553553667075E-2</v>
      </c>
    </row>
    <row r="67" spans="1:3" ht="13.2" x14ac:dyDescent="0.25">
      <c r="A67" s="6">
        <v>65</v>
      </c>
      <c r="B67" s="7">
        <v>51.950000762939403</v>
      </c>
      <c r="C67" s="3">
        <f t="shared" si="0"/>
        <v>1.4151627627342475E-2</v>
      </c>
    </row>
    <row r="68" spans="1:3" ht="13.2" x14ac:dyDescent="0.25">
      <c r="A68" s="6">
        <v>66</v>
      </c>
      <c r="B68" s="7">
        <v>53.25</v>
      </c>
      <c r="C68" s="3">
        <f t="shared" si="0"/>
        <v>2.471607235826544E-2</v>
      </c>
    </row>
    <row r="69" spans="1:3" ht="13.2" x14ac:dyDescent="0.25">
      <c r="A69" s="6">
        <v>67</v>
      </c>
      <c r="B69" s="7">
        <v>51.810001373291001</v>
      </c>
      <c r="C69" s="3">
        <f t="shared" si="0"/>
        <v>-2.7414597256545631E-2</v>
      </c>
    </row>
    <row r="70" spans="1:3" ht="13.2" x14ac:dyDescent="0.25">
      <c r="A70" s="6">
        <v>68</v>
      </c>
      <c r="B70" s="7">
        <v>50.215000152587798</v>
      </c>
      <c r="C70" s="3">
        <f t="shared" si="0"/>
        <v>-3.1269417448996854E-2</v>
      </c>
    </row>
    <row r="71" spans="1:3" ht="13.2" x14ac:dyDescent="0.25">
      <c r="A71" s="6">
        <v>69</v>
      </c>
      <c r="B71" s="7">
        <v>54.080001831054602</v>
      </c>
      <c r="C71" s="3">
        <f t="shared" si="0"/>
        <v>7.4150675708974392E-2</v>
      </c>
    </row>
    <row r="72" spans="1:3" ht="13.2" x14ac:dyDescent="0.25">
      <c r="A72" s="6">
        <v>70</v>
      </c>
      <c r="B72" s="7">
        <v>53.330001831054602</v>
      </c>
      <c r="C72" s="3">
        <f t="shared" si="0"/>
        <v>-1.3965406646036323E-2</v>
      </c>
    </row>
    <row r="73" spans="1:3" ht="13.2" x14ac:dyDescent="0.25">
      <c r="A73" s="6">
        <v>71</v>
      </c>
      <c r="B73" s="7">
        <v>52.400001525878899</v>
      </c>
      <c r="C73" s="3">
        <f t="shared" si="0"/>
        <v>-1.7592438500107624E-2</v>
      </c>
    </row>
    <row r="74" spans="1:3" ht="13.2" x14ac:dyDescent="0.25">
      <c r="A74" s="6">
        <v>72</v>
      </c>
      <c r="B74" s="7">
        <v>51.840000152587798</v>
      </c>
      <c r="C74" s="3">
        <f t="shared" si="0"/>
        <v>-1.0744565459365654E-2</v>
      </c>
    </row>
    <row r="75" spans="1:3" ht="13.2" x14ac:dyDescent="0.25">
      <c r="A75" s="6">
        <v>73</v>
      </c>
      <c r="B75" s="7">
        <v>52.075000762939403</v>
      </c>
      <c r="C75" s="3">
        <f t="shared" si="0"/>
        <v>4.5229468103595832E-3</v>
      </c>
    </row>
    <row r="76" spans="1:3" ht="13.2" x14ac:dyDescent="0.25">
      <c r="A76" s="6">
        <v>74</v>
      </c>
      <c r="B76" s="7">
        <v>52.509998321533203</v>
      </c>
      <c r="C76" s="3">
        <f t="shared" si="0"/>
        <v>8.3185938872434445E-3</v>
      </c>
    </row>
    <row r="77" spans="1:3" ht="13.2" x14ac:dyDescent="0.25">
      <c r="A77" s="6">
        <v>75</v>
      </c>
      <c r="B77" s="7">
        <v>51.389999389648402</v>
      </c>
      <c r="C77" s="3">
        <f t="shared" si="0"/>
        <v>-2.1560006557777064E-2</v>
      </c>
    </row>
    <row r="78" spans="1:3" ht="13.2" x14ac:dyDescent="0.25">
      <c r="A78" s="6">
        <v>76</v>
      </c>
      <c r="B78" s="7">
        <v>51.490001678466797</v>
      </c>
      <c r="C78" s="3">
        <f t="shared" si="0"/>
        <v>1.9440575286845648E-3</v>
      </c>
    </row>
    <row r="79" spans="1:3" ht="13.2" x14ac:dyDescent="0.25">
      <c r="A79" s="6">
        <v>77</v>
      </c>
      <c r="B79" s="7">
        <v>52.130001068115199</v>
      </c>
      <c r="C79" s="3">
        <f t="shared" si="0"/>
        <v>1.2352972613500162E-2</v>
      </c>
    </row>
    <row r="80" spans="1:3" ht="13.2" x14ac:dyDescent="0.25">
      <c r="A80" s="6">
        <v>78</v>
      </c>
      <c r="B80" s="7">
        <v>52.310001373291001</v>
      </c>
      <c r="C80" s="3">
        <f t="shared" si="0"/>
        <v>3.4469643659862373E-3</v>
      </c>
    </row>
    <row r="81" spans="1:3" ht="13.2" x14ac:dyDescent="0.25">
      <c r="A81" s="6">
        <v>79</v>
      </c>
      <c r="B81" s="7">
        <v>52.389999389648402</v>
      </c>
      <c r="C81" s="3">
        <f t="shared" si="0"/>
        <v>1.5281381345198916E-3</v>
      </c>
    </row>
    <row r="82" spans="1:3" ht="13.2" x14ac:dyDescent="0.25">
      <c r="A82" s="6">
        <v>80</v>
      </c>
      <c r="B82" s="7">
        <v>51.159999847412102</v>
      </c>
      <c r="C82" s="3">
        <f t="shared" si="0"/>
        <v>-2.3757748041894226E-2</v>
      </c>
    </row>
    <row r="83" spans="1:3" ht="13.2" x14ac:dyDescent="0.25">
      <c r="A83" s="6">
        <v>81</v>
      </c>
      <c r="B83" s="7">
        <v>50.299999237060497</v>
      </c>
      <c r="C83" s="3">
        <f t="shared" si="0"/>
        <v>-1.695291179016941E-2</v>
      </c>
    </row>
    <row r="84" spans="1:3" ht="13.2" x14ac:dyDescent="0.25">
      <c r="A84" s="6">
        <v>82</v>
      </c>
      <c r="B84" s="7">
        <v>49.939998626708899</v>
      </c>
      <c r="C84" s="3">
        <f t="shared" si="0"/>
        <v>-7.1828045851038847E-3</v>
      </c>
    </row>
    <row r="85" spans="1:3" ht="13.2" x14ac:dyDescent="0.25">
      <c r="A85" s="6">
        <v>83</v>
      </c>
      <c r="B85" s="7">
        <v>49.119998931884702</v>
      </c>
      <c r="C85" s="3">
        <f t="shared" si="0"/>
        <v>-1.6555995258937674E-2</v>
      </c>
    </row>
    <row r="86" spans="1:3" ht="13.2" x14ac:dyDescent="0.25">
      <c r="A86" s="6">
        <v>84</v>
      </c>
      <c r="B86" s="7">
        <v>47.610000610351499</v>
      </c>
      <c r="C86" s="3">
        <f t="shared" si="0"/>
        <v>-3.122342606762394E-2</v>
      </c>
    </row>
    <row r="87" spans="1:3" ht="13.2" x14ac:dyDescent="0.25">
      <c r="A87" s="6">
        <v>85</v>
      </c>
      <c r="B87" s="7">
        <v>45.7299995422363</v>
      </c>
      <c r="C87" s="3">
        <f t="shared" si="0"/>
        <v>-4.0288308366420743E-2</v>
      </c>
    </row>
    <row r="88" spans="1:3" ht="13.2" x14ac:dyDescent="0.25">
      <c r="A88" s="6">
        <v>86</v>
      </c>
      <c r="B88" s="7">
        <v>44.810001373291001</v>
      </c>
      <c r="C88" s="3">
        <f t="shared" si="0"/>
        <v>-2.0323168214796423E-2</v>
      </c>
    </row>
    <row r="89" spans="1:3" ht="13.2" x14ac:dyDescent="0.25">
      <c r="A89" s="6">
        <v>87</v>
      </c>
      <c r="B89" s="7">
        <v>46.419998168945298</v>
      </c>
      <c r="C89" s="3">
        <f t="shared" si="0"/>
        <v>3.5299001955879428E-2</v>
      </c>
    </row>
    <row r="90" spans="1:3" ht="13.2" x14ac:dyDescent="0.25">
      <c r="A90" s="6">
        <v>88</v>
      </c>
      <c r="B90" s="7">
        <v>47.310001373291001</v>
      </c>
      <c r="C90" s="3">
        <f t="shared" si="0"/>
        <v>1.8991357269649102E-2</v>
      </c>
    </row>
    <row r="91" spans="1:3" ht="13.2" x14ac:dyDescent="0.25">
      <c r="A91" s="6">
        <v>89</v>
      </c>
      <c r="B91" s="7">
        <v>49.380001068115199</v>
      </c>
      <c r="C91" s="3">
        <f t="shared" si="0"/>
        <v>4.2823786876999774E-2</v>
      </c>
    </row>
    <row r="92" spans="1:3" ht="13.2" x14ac:dyDescent="0.25">
      <c r="A92" s="6">
        <v>90</v>
      </c>
      <c r="B92" s="7">
        <v>49.560001373291001</v>
      </c>
      <c r="C92" s="3">
        <f t="shared" si="0"/>
        <v>3.63857892305073E-3</v>
      </c>
    </row>
    <row r="93" spans="1:3" ht="13.2" x14ac:dyDescent="0.25">
      <c r="A93" s="6">
        <v>91</v>
      </c>
      <c r="B93" s="7">
        <v>48.959999084472599</v>
      </c>
      <c r="C93" s="3">
        <f t="shared" si="0"/>
        <v>-1.2180464966033464E-2</v>
      </c>
    </row>
    <row r="94" spans="1:3" ht="13.2" x14ac:dyDescent="0.25">
      <c r="A94" s="6">
        <v>92</v>
      </c>
      <c r="B94" s="7">
        <v>48.099998474121001</v>
      </c>
      <c r="C94" s="3">
        <f t="shared" si="0"/>
        <v>-1.7721474115913995E-2</v>
      </c>
    </row>
    <row r="95" spans="1:3" ht="13.2" x14ac:dyDescent="0.25">
      <c r="A95" s="6">
        <v>93</v>
      </c>
      <c r="B95" s="7">
        <v>43.959999084472599</v>
      </c>
      <c r="C95" s="3">
        <f t="shared" si="0"/>
        <v>-9.0002036679612499E-2</v>
      </c>
    </row>
    <row r="96" spans="1:3" ht="13.2" x14ac:dyDescent="0.25">
      <c r="A96" s="6">
        <v>94</v>
      </c>
      <c r="B96" s="7">
        <v>45.509998321533203</v>
      </c>
      <c r="C96" s="3">
        <f t="shared" si="0"/>
        <v>3.4651936438229072E-2</v>
      </c>
    </row>
    <row r="97" spans="1:3" ht="13.2" x14ac:dyDescent="0.25">
      <c r="A97" s="6">
        <v>95</v>
      </c>
      <c r="B97" s="7">
        <v>44.990001678466797</v>
      </c>
      <c r="C97" s="3">
        <f t="shared" si="0"/>
        <v>-1.1491764986642545E-2</v>
      </c>
    </row>
    <row r="98" spans="1:3" ht="13.2" x14ac:dyDescent="0.25">
      <c r="A98" s="6">
        <v>96</v>
      </c>
      <c r="B98" s="7">
        <v>44.060001373291001</v>
      </c>
      <c r="C98" s="3">
        <f t="shared" si="0"/>
        <v>-2.0887907617779981E-2</v>
      </c>
    </row>
    <row r="99" spans="1:3" ht="13.2" x14ac:dyDescent="0.25">
      <c r="A99" s="6">
        <v>97</v>
      </c>
      <c r="B99" s="7">
        <v>43.200000762939403</v>
      </c>
      <c r="C99" s="3">
        <f t="shared" si="0"/>
        <v>-1.9711859632154126E-2</v>
      </c>
    </row>
    <row r="100" spans="1:3" ht="13.2" x14ac:dyDescent="0.25">
      <c r="A100" s="6">
        <v>98</v>
      </c>
      <c r="B100" s="7">
        <v>42.090000152587798</v>
      </c>
      <c r="C100" s="3">
        <f t="shared" si="0"/>
        <v>-2.6030326502945157E-2</v>
      </c>
    </row>
    <row r="101" spans="1:3" ht="13.2" x14ac:dyDescent="0.25">
      <c r="A101" s="6">
        <v>99</v>
      </c>
      <c r="B101" s="7">
        <v>40.889999389648402</v>
      </c>
      <c r="C101" s="3">
        <f t="shared" si="0"/>
        <v>-2.8924666957874288E-2</v>
      </c>
    </row>
    <row r="102" spans="1:3" ht="13.2" x14ac:dyDescent="0.25">
      <c r="A102" s="6">
        <v>100</v>
      </c>
      <c r="B102" s="7">
        <v>42.419998168945298</v>
      </c>
      <c r="C102" s="3">
        <f t="shared" si="0"/>
        <v>3.673438652176448E-2</v>
      </c>
    </row>
    <row r="103" spans="1:3" ht="13.2" x14ac:dyDescent="0.25">
      <c r="A103" s="6">
        <v>101</v>
      </c>
      <c r="B103" s="7">
        <v>40.020000457763601</v>
      </c>
      <c r="C103" s="3">
        <f t="shared" si="0"/>
        <v>-5.8240565377685773E-2</v>
      </c>
    </row>
    <row r="104" spans="1:3" ht="13.2" x14ac:dyDescent="0.25">
      <c r="A104" s="6">
        <v>102</v>
      </c>
      <c r="B104" s="7">
        <v>37.509998321533203</v>
      </c>
      <c r="C104" s="3">
        <f t="shared" si="0"/>
        <v>-6.4771821247345207E-2</v>
      </c>
    </row>
    <row r="105" spans="1:3" ht="13.2" x14ac:dyDescent="0.25">
      <c r="A105" s="6">
        <v>103</v>
      </c>
      <c r="B105" s="7">
        <v>39.650001525878899</v>
      </c>
      <c r="C105" s="3">
        <f t="shared" si="0"/>
        <v>5.5483467217948244E-2</v>
      </c>
    </row>
    <row r="106" spans="1:3" ht="13.2" x14ac:dyDescent="0.25">
      <c r="A106" s="6">
        <v>104</v>
      </c>
      <c r="B106" s="7">
        <v>43.299999237060497</v>
      </c>
      <c r="C106" s="3">
        <f t="shared" si="0"/>
        <v>8.806163082403301E-2</v>
      </c>
    </row>
    <row r="107" spans="1:3" ht="13.2" x14ac:dyDescent="0.25">
      <c r="A107" s="6">
        <v>105</v>
      </c>
      <c r="B107" s="7">
        <v>44.290000915527301</v>
      </c>
      <c r="C107" s="3">
        <f t="shared" si="0"/>
        <v>2.2606321217709308E-2</v>
      </c>
    </row>
    <row r="108" spans="1:3" ht="13.2" x14ac:dyDescent="0.25">
      <c r="A108" s="6">
        <v>106</v>
      </c>
      <c r="B108" s="7">
        <v>40.650001525878899</v>
      </c>
      <c r="C108" s="3">
        <f t="shared" si="0"/>
        <v>-8.5760065075488098E-2</v>
      </c>
    </row>
    <row r="109" spans="1:3" ht="13.2" x14ac:dyDescent="0.25">
      <c r="A109" s="6">
        <v>107</v>
      </c>
      <c r="B109" s="7">
        <v>40.740001678466797</v>
      </c>
      <c r="C109" s="3">
        <f t="shared" si="0"/>
        <v>2.2115784673233589E-3</v>
      </c>
    </row>
    <row r="110" spans="1:3" ht="13.2" x14ac:dyDescent="0.25">
      <c r="A110" s="6">
        <v>108</v>
      </c>
      <c r="B110" s="7">
        <v>43.740001678466797</v>
      </c>
      <c r="C110" s="3">
        <f t="shared" si="0"/>
        <v>7.1052601624208983E-2</v>
      </c>
    </row>
    <row r="111" spans="1:3" ht="13.2" x14ac:dyDescent="0.25">
      <c r="A111" s="6">
        <v>109</v>
      </c>
      <c r="B111" s="7">
        <v>40.970001220703097</v>
      </c>
      <c r="C111" s="3">
        <f t="shared" si="0"/>
        <v>-6.5422932268520723E-2</v>
      </c>
    </row>
    <row r="112" spans="1:3" ht="13.2" x14ac:dyDescent="0.25">
      <c r="A112" s="6">
        <v>110</v>
      </c>
      <c r="B112" s="7">
        <v>40.2299995422363</v>
      </c>
      <c r="C112" s="3">
        <f t="shared" si="0"/>
        <v>-1.8227146770795181E-2</v>
      </c>
    </row>
    <row r="113" spans="1:3" ht="13.2" x14ac:dyDescent="0.25">
      <c r="A113" s="6">
        <v>111</v>
      </c>
      <c r="B113" s="7">
        <v>41.290000915527301</v>
      </c>
      <c r="C113" s="3">
        <f t="shared" si="0"/>
        <v>2.6007387488067076E-2</v>
      </c>
    </row>
    <row r="114" spans="1:3" ht="13.2" x14ac:dyDescent="0.25">
      <c r="A114" s="6">
        <v>112</v>
      </c>
      <c r="B114" s="7">
        <v>43.069999694824197</v>
      </c>
      <c r="C114" s="3">
        <f t="shared" si="0"/>
        <v>4.2206329909343525E-2</v>
      </c>
    </row>
    <row r="115" spans="1:3" ht="13.2" x14ac:dyDescent="0.25">
      <c r="A115" s="6">
        <v>113</v>
      </c>
      <c r="B115" s="7">
        <v>43.270000457763601</v>
      </c>
      <c r="C115" s="3">
        <f t="shared" si="0"/>
        <v>4.6328728355884644E-3</v>
      </c>
    </row>
    <row r="116" spans="1:3" ht="13.2" x14ac:dyDescent="0.25">
      <c r="A116" s="6">
        <v>114</v>
      </c>
      <c r="B116" s="7">
        <v>42.400001525878899</v>
      </c>
      <c r="C116" s="3">
        <f t="shared" si="0"/>
        <v>-2.0311166590409421E-2</v>
      </c>
    </row>
    <row r="117" spans="1:3" ht="13.2" x14ac:dyDescent="0.25">
      <c r="A117" s="6">
        <v>115</v>
      </c>
      <c r="B117" s="7">
        <v>44.669998168945298</v>
      </c>
      <c r="C117" s="3">
        <f t="shared" si="0"/>
        <v>5.21536961477021E-2</v>
      </c>
    </row>
    <row r="118" spans="1:3" ht="13.2" x14ac:dyDescent="0.25">
      <c r="A118" s="6">
        <v>116</v>
      </c>
      <c r="B118" s="7">
        <v>46.220001220703097</v>
      </c>
      <c r="C118" s="3">
        <f t="shared" si="0"/>
        <v>3.411053688362263E-2</v>
      </c>
    </row>
    <row r="119" spans="1:3" ht="13.2" x14ac:dyDescent="0.25">
      <c r="A119" s="6">
        <v>117</v>
      </c>
      <c r="B119" s="7">
        <v>43.990001678466797</v>
      </c>
      <c r="C119" s="3">
        <f t="shared" si="0"/>
        <v>-4.9450257740674013E-2</v>
      </c>
    </row>
    <row r="120" spans="1:3" ht="13.2" x14ac:dyDescent="0.25">
      <c r="A120" s="6">
        <v>118</v>
      </c>
      <c r="B120" s="7">
        <v>44</v>
      </c>
      <c r="C120" s="3">
        <f t="shared" si="0"/>
        <v>2.2726040198899731E-4</v>
      </c>
    </row>
    <row r="121" spans="1:3" ht="13.2" x14ac:dyDescent="0.25">
      <c r="A121" s="6">
        <v>119</v>
      </c>
      <c r="B121" s="7">
        <v>44.659999847412102</v>
      </c>
      <c r="C121" s="3">
        <f t="shared" si="0"/>
        <v>1.4888609077093776E-2</v>
      </c>
    </row>
    <row r="122" spans="1:3" ht="13.2" x14ac:dyDescent="0.25">
      <c r="A122" s="6">
        <v>120</v>
      </c>
      <c r="B122" s="7">
        <v>44.990001678466797</v>
      </c>
      <c r="C122" s="3">
        <f t="shared" si="0"/>
        <v>7.3620371652781428E-3</v>
      </c>
    </row>
    <row r="123" spans="1:3" ht="13.2" x14ac:dyDescent="0.25">
      <c r="A123" s="6">
        <v>121</v>
      </c>
      <c r="B123" s="7">
        <v>44.790000915527301</v>
      </c>
      <c r="C123" s="3">
        <f t="shared" si="0"/>
        <v>-4.4553595009845558E-3</v>
      </c>
    </row>
    <row r="124" spans="1:3" ht="13.2" x14ac:dyDescent="0.25">
      <c r="A124" s="6">
        <v>122</v>
      </c>
      <c r="B124" s="7">
        <v>45.549999237060497</v>
      </c>
      <c r="C124" s="3">
        <f t="shared" si="0"/>
        <v>1.6825686296823805E-2</v>
      </c>
    </row>
    <row r="125" spans="1:3" ht="13.2" x14ac:dyDescent="0.25">
      <c r="A125" s="6">
        <v>123</v>
      </c>
      <c r="B125" s="7">
        <v>47.889999389648402</v>
      </c>
      <c r="C125" s="3">
        <f t="shared" si="0"/>
        <v>5.0096094653180545E-2</v>
      </c>
    </row>
    <row r="126" spans="1:3" ht="13.2" x14ac:dyDescent="0.25">
      <c r="A126" s="6">
        <v>124</v>
      </c>
      <c r="B126" s="7">
        <v>47.220001220703097</v>
      </c>
      <c r="C126" s="3">
        <f t="shared" si="0"/>
        <v>-1.4089144100886386E-2</v>
      </c>
    </row>
    <row r="127" spans="1:3" ht="13.2" x14ac:dyDescent="0.25">
      <c r="A127" s="6">
        <v>125</v>
      </c>
      <c r="B127" s="7">
        <v>48.680000305175703</v>
      </c>
      <c r="C127" s="3">
        <f t="shared" si="0"/>
        <v>3.0450716879576185E-2</v>
      </c>
    </row>
    <row r="128" spans="1:3" ht="13.2" x14ac:dyDescent="0.25">
      <c r="A128" s="6">
        <v>126</v>
      </c>
      <c r="B128" s="7">
        <v>49.990001678466797</v>
      </c>
      <c r="C128" s="3">
        <f t="shared" si="0"/>
        <v>2.655474461318709E-2</v>
      </c>
    </row>
    <row r="129" spans="1:3" ht="13.2" x14ac:dyDescent="0.25">
      <c r="A129" s="6">
        <v>127</v>
      </c>
      <c r="B129" s="7">
        <v>51.930000305175703</v>
      </c>
      <c r="C129" s="3">
        <f t="shared" si="0"/>
        <v>3.807364473137239E-2</v>
      </c>
    </row>
    <row r="130" spans="1:3" ht="13.2" x14ac:dyDescent="0.25">
      <c r="A130" s="6">
        <v>128</v>
      </c>
      <c r="B130" s="7">
        <v>51.400001525878899</v>
      </c>
      <c r="C130" s="3">
        <f t="shared" si="0"/>
        <v>-1.0258461585423109E-2</v>
      </c>
    </row>
    <row r="131" spans="1:3" ht="13.2" x14ac:dyDescent="0.25">
      <c r="A131" s="6">
        <v>129</v>
      </c>
      <c r="B131" s="7">
        <v>50.959999084472599</v>
      </c>
      <c r="C131" s="3">
        <f t="shared" si="0"/>
        <v>-8.5972088491795186E-3</v>
      </c>
    </row>
    <row r="132" spans="1:3" ht="13.2" x14ac:dyDescent="0.25">
      <c r="A132" s="6">
        <v>130</v>
      </c>
      <c r="B132" s="7">
        <v>51.040000915527301</v>
      </c>
      <c r="C132" s="3">
        <f t="shared" si="0"/>
        <v>1.5686636756820616E-3</v>
      </c>
    </row>
    <row r="133" spans="1:3" ht="13.2" x14ac:dyDescent="0.25">
      <c r="A133" s="6">
        <v>131</v>
      </c>
      <c r="B133" s="7">
        <v>51.990001678466797</v>
      </c>
      <c r="C133" s="3">
        <f t="shared" si="0"/>
        <v>1.8441767706058727E-2</v>
      </c>
    </row>
    <row r="134" spans="1:3" ht="13.2" x14ac:dyDescent="0.25">
      <c r="A134" s="6">
        <v>132</v>
      </c>
      <c r="B134" s="7">
        <v>52</v>
      </c>
      <c r="C134" s="3">
        <f t="shared" si="0"/>
        <v>1.9229390138739407E-4</v>
      </c>
    </row>
    <row r="135" spans="1:3" ht="13.2" x14ac:dyDescent="0.25">
      <c r="A135" s="6">
        <v>133</v>
      </c>
      <c r="B135" s="7">
        <v>52.909999847412102</v>
      </c>
      <c r="C135" s="3">
        <f t="shared" si="0"/>
        <v>1.734863545069883E-2</v>
      </c>
    </row>
    <row r="136" spans="1:3" ht="13.2" x14ac:dyDescent="0.25">
      <c r="A136" s="6">
        <v>134</v>
      </c>
      <c r="B136" s="7">
        <v>52.180000305175703</v>
      </c>
      <c r="C136" s="3">
        <f t="shared" si="0"/>
        <v>-1.3893068475025167E-2</v>
      </c>
    </row>
    <row r="137" spans="1:3" ht="13.2" x14ac:dyDescent="0.25">
      <c r="A137" s="6">
        <v>135</v>
      </c>
      <c r="B137" s="7">
        <v>51.779998779296797</v>
      </c>
      <c r="C137" s="3">
        <f t="shared" si="0"/>
        <v>-7.6953348085108484E-3</v>
      </c>
    </row>
    <row r="138" spans="1:3" ht="13.2" x14ac:dyDescent="0.25">
      <c r="A138" s="6">
        <v>136</v>
      </c>
      <c r="B138" s="7">
        <v>48.970001220703097</v>
      </c>
      <c r="C138" s="3">
        <f t="shared" si="0"/>
        <v>-5.5796060106794651E-2</v>
      </c>
    </row>
    <row r="139" spans="1:3" ht="13.2" x14ac:dyDescent="0.25">
      <c r="A139" s="6">
        <v>137</v>
      </c>
      <c r="B139" s="7">
        <v>48.520000457763601</v>
      </c>
      <c r="C139" s="3">
        <f t="shared" si="0"/>
        <v>-9.2317971314120374E-3</v>
      </c>
    </row>
    <row r="140" spans="1:3" ht="13.2" x14ac:dyDescent="0.25">
      <c r="A140" s="6">
        <v>138</v>
      </c>
      <c r="B140" s="7">
        <v>48.380001068115199</v>
      </c>
      <c r="C140" s="3">
        <f t="shared" si="0"/>
        <v>-2.8895662508838182E-3</v>
      </c>
    </row>
    <row r="141" spans="1:3" ht="13.2" x14ac:dyDescent="0.25">
      <c r="A141" s="6">
        <v>139</v>
      </c>
      <c r="B141" s="7">
        <v>50.400001525878899</v>
      </c>
      <c r="C141" s="3">
        <f t="shared" si="0"/>
        <v>4.0904678093197672E-2</v>
      </c>
    </row>
    <row r="142" spans="1:3" ht="13.2" x14ac:dyDescent="0.25">
      <c r="A142" s="6">
        <v>140</v>
      </c>
      <c r="B142" s="7">
        <v>49.7299995422363</v>
      </c>
      <c r="C142" s="3">
        <f t="shared" si="0"/>
        <v>-1.3382841831031238E-2</v>
      </c>
    </row>
    <row r="143" spans="1:3" ht="13.2" x14ac:dyDescent="0.25">
      <c r="A143" s="6">
        <v>141</v>
      </c>
      <c r="B143" s="7">
        <v>50.650001525878899</v>
      </c>
      <c r="C143" s="3">
        <f t="shared" si="0"/>
        <v>1.8330897298966409E-2</v>
      </c>
    </row>
    <row r="144" spans="1:3" ht="13.2" x14ac:dyDescent="0.25">
      <c r="A144" s="6">
        <v>142</v>
      </c>
      <c r="B144" s="7">
        <v>50.680000305175703</v>
      </c>
      <c r="C144" s="3">
        <f t="shared" si="0"/>
        <v>5.9210065392572718E-4</v>
      </c>
    </row>
    <row r="145" spans="1:3" ht="13.2" x14ac:dyDescent="0.25">
      <c r="A145" s="6">
        <v>143</v>
      </c>
      <c r="B145" s="7">
        <v>50.509998321533203</v>
      </c>
      <c r="C145" s="3">
        <f t="shared" si="0"/>
        <v>-3.3600582249836476E-3</v>
      </c>
    </row>
    <row r="146" spans="1:3" ht="13.2" x14ac:dyDescent="0.25">
      <c r="A146" s="6">
        <v>144</v>
      </c>
      <c r="B146" s="7">
        <v>49.790000915527301</v>
      </c>
      <c r="C146" s="3">
        <f t="shared" si="0"/>
        <v>-1.4357124207708821E-2</v>
      </c>
    </row>
    <row r="147" spans="1:3" ht="13.2" x14ac:dyDescent="0.25">
      <c r="A147" s="6">
        <v>145</v>
      </c>
      <c r="B147" s="7">
        <v>49</v>
      </c>
      <c r="C147" s="3">
        <f t="shared" si="0"/>
        <v>-1.5993880931239299E-2</v>
      </c>
    </row>
    <row r="148" spans="1:3" ht="13.2" x14ac:dyDescent="0.25">
      <c r="A148" s="6">
        <v>146</v>
      </c>
      <c r="B148" s="7">
        <v>49.5</v>
      </c>
      <c r="C148" s="3">
        <f t="shared" si="0"/>
        <v>1.0152371464017908E-2</v>
      </c>
    </row>
    <row r="149" spans="1:3" ht="13.2" x14ac:dyDescent="0.25">
      <c r="A149" s="6">
        <v>147</v>
      </c>
      <c r="B149" s="7">
        <v>49.130001068115199</v>
      </c>
      <c r="C149" s="3">
        <f t="shared" si="0"/>
        <v>-7.5028016534977324E-3</v>
      </c>
    </row>
    <row r="150" spans="1:3" ht="13.2" x14ac:dyDescent="0.25">
      <c r="A150" s="6">
        <v>148</v>
      </c>
      <c r="B150" s="7">
        <v>47.4799995422363</v>
      </c>
      <c r="C150" s="3">
        <f t="shared" si="0"/>
        <v>-3.4161307820869583E-2</v>
      </c>
    </row>
    <row r="151" spans="1:3" ht="13.2" x14ac:dyDescent="0.25">
      <c r="A151" s="6">
        <v>149</v>
      </c>
      <c r="B151" s="7">
        <v>49.840000152587798</v>
      </c>
      <c r="C151" s="3">
        <f t="shared" si="0"/>
        <v>4.8509317440473321E-2</v>
      </c>
    </row>
    <row r="152" spans="1:3" ht="13.2" x14ac:dyDescent="0.25">
      <c r="A152" s="6">
        <v>150</v>
      </c>
      <c r="B152" s="7">
        <v>51.209999084472599</v>
      </c>
      <c r="C152" s="3">
        <f t="shared" si="0"/>
        <v>2.711693005580541E-2</v>
      </c>
    </row>
    <row r="153" spans="1:3" ht="13.2" x14ac:dyDescent="0.25">
      <c r="A153" s="6">
        <v>151</v>
      </c>
      <c r="B153" s="7">
        <v>50.790000915527301</v>
      </c>
      <c r="C153" s="3">
        <f t="shared" si="0"/>
        <v>-8.2353047576631637E-3</v>
      </c>
    </row>
    <row r="154" spans="1:3" ht="13.2" x14ac:dyDescent="0.25">
      <c r="A154" s="6">
        <v>152</v>
      </c>
      <c r="B154" s="7">
        <v>50.529998779296797</v>
      </c>
      <c r="C154" s="3">
        <f t="shared" si="0"/>
        <v>-5.1323076930652632E-3</v>
      </c>
    </row>
    <row r="155" spans="1:3" ht="13.2" x14ac:dyDescent="0.25">
      <c r="A155" s="6">
        <v>153</v>
      </c>
      <c r="B155" s="7">
        <v>52.689998626708899</v>
      </c>
      <c r="C155" s="3">
        <f t="shared" si="0"/>
        <v>4.1858463011766295E-2</v>
      </c>
    </row>
    <row r="156" spans="1:3" ht="13.2" x14ac:dyDescent="0.25">
      <c r="A156" s="6">
        <v>154</v>
      </c>
      <c r="B156" s="7">
        <v>53.470001220703097</v>
      </c>
      <c r="C156" s="3">
        <f t="shared" si="0"/>
        <v>1.469511363272827E-2</v>
      </c>
    </row>
    <row r="157" spans="1:3" ht="13.2" x14ac:dyDescent="0.25">
      <c r="A157" s="6">
        <v>155</v>
      </c>
      <c r="B157" s="7">
        <v>52.869998931884702</v>
      </c>
      <c r="C157" s="3">
        <f t="shared" si="0"/>
        <v>-1.1284721745635846E-2</v>
      </c>
    </row>
    <row r="158" spans="1:3" ht="13.2" x14ac:dyDescent="0.25">
      <c r="A158" s="6">
        <v>156</v>
      </c>
      <c r="B158" s="7">
        <v>52.830001831054602</v>
      </c>
      <c r="C158" s="3">
        <f t="shared" si="0"/>
        <v>-7.5680420909059231E-4</v>
      </c>
    </row>
    <row r="159" spans="1:3" ht="13.2" x14ac:dyDescent="0.25">
      <c r="A159" s="6">
        <v>157</v>
      </c>
      <c r="B159" s="7">
        <v>52.139999389648402</v>
      </c>
      <c r="C159" s="3">
        <f t="shared" si="0"/>
        <v>-1.314684903625446E-2</v>
      </c>
    </row>
    <row r="160" spans="1:3" ht="13.2" x14ac:dyDescent="0.25">
      <c r="A160" s="6">
        <v>158</v>
      </c>
      <c r="B160" s="7">
        <v>53.209999084472599</v>
      </c>
      <c r="C160" s="3">
        <f t="shared" si="0"/>
        <v>2.0313934603009294E-2</v>
      </c>
    </row>
    <row r="161" spans="1:3" ht="13.2" x14ac:dyDescent="0.25">
      <c r="A161" s="6">
        <v>159</v>
      </c>
      <c r="B161" s="7">
        <v>50.529998779296797</v>
      </c>
      <c r="C161" s="3">
        <f t="shared" si="0"/>
        <v>-5.1679136256522727E-2</v>
      </c>
    </row>
    <row r="162" spans="1:3" ht="13.2" x14ac:dyDescent="0.25">
      <c r="A162" s="6">
        <v>160</v>
      </c>
      <c r="B162" s="7">
        <v>52.189998626708899</v>
      </c>
      <c r="C162" s="3">
        <f t="shared" si="0"/>
        <v>3.2323684196194531E-2</v>
      </c>
    </row>
    <row r="163" spans="1:3" ht="13.2" x14ac:dyDescent="0.25">
      <c r="A163" s="6">
        <v>161</v>
      </c>
      <c r="B163" s="7">
        <v>51.439998626708899</v>
      </c>
      <c r="C163" s="3">
        <f t="shared" si="0"/>
        <v>-1.4474826109608296E-2</v>
      </c>
    </row>
    <row r="164" spans="1:3" ht="13.2" x14ac:dyDescent="0.25">
      <c r="A164" s="6">
        <v>162</v>
      </c>
      <c r="B164" s="7">
        <v>50.240001678466797</v>
      </c>
      <c r="C164" s="3">
        <f t="shared" si="0"/>
        <v>-2.3604497663498203E-2</v>
      </c>
    </row>
    <row r="165" spans="1:3" ht="13.2" x14ac:dyDescent="0.25">
      <c r="A165" s="6">
        <v>163</v>
      </c>
      <c r="B165" s="7">
        <v>53.2299995422363</v>
      </c>
      <c r="C165" s="3">
        <f t="shared" si="0"/>
        <v>5.7810583016019157E-2</v>
      </c>
    </row>
    <row r="166" spans="1:3" ht="13.2" x14ac:dyDescent="0.25">
      <c r="A166" s="6">
        <v>164</v>
      </c>
      <c r="B166" s="7">
        <v>52.740001678466797</v>
      </c>
      <c r="C166" s="3">
        <f t="shared" si="0"/>
        <v>-9.247925834485549E-3</v>
      </c>
    </row>
    <row r="167" spans="1:3" ht="13.2" x14ac:dyDescent="0.25">
      <c r="A167" s="6">
        <v>165</v>
      </c>
      <c r="B167" s="7">
        <v>52.900001525878899</v>
      </c>
      <c r="C167" s="3">
        <f t="shared" si="0"/>
        <v>3.0291549583957422E-3</v>
      </c>
    </row>
    <row r="168" spans="1:3" ht="13.2" x14ac:dyDescent="0.25">
      <c r="A168" s="6">
        <v>166</v>
      </c>
      <c r="B168" s="7">
        <v>52.610000610351499</v>
      </c>
      <c r="C168" s="3">
        <f t="shared" si="0"/>
        <v>-5.4971403646940564E-3</v>
      </c>
    </row>
    <row r="169" spans="1:3" ht="13.2" x14ac:dyDescent="0.25">
      <c r="A169" s="6">
        <v>167</v>
      </c>
      <c r="B169" s="7">
        <v>52.569999694824197</v>
      </c>
      <c r="C169" s="3">
        <f t="shared" si="0"/>
        <v>-7.6061831792644571E-4</v>
      </c>
    </row>
    <row r="170" spans="1:3" ht="13.2" x14ac:dyDescent="0.25">
      <c r="A170" s="6">
        <v>168</v>
      </c>
      <c r="B170" s="7">
        <v>52.450000762939403</v>
      </c>
      <c r="C170" s="3">
        <f t="shared" si="0"/>
        <v>-2.2852596378859116E-3</v>
      </c>
    </row>
    <row r="171" spans="1:3" ht="13.2" x14ac:dyDescent="0.25">
      <c r="A171" s="6">
        <v>169</v>
      </c>
      <c r="B171" s="7">
        <v>52.830001831054602</v>
      </c>
      <c r="C171" s="3">
        <f t="shared" si="0"/>
        <v>7.2188964472568486E-3</v>
      </c>
    </row>
    <row r="172" spans="1:3" ht="13.2" x14ac:dyDescent="0.25">
      <c r="A172" s="6">
        <v>170</v>
      </c>
      <c r="B172" s="7">
        <v>53.430000305175703</v>
      </c>
      <c r="C172" s="3">
        <f t="shared" si="0"/>
        <v>1.1293145845776374E-2</v>
      </c>
    </row>
    <row r="173" spans="1:3" ht="13.2" x14ac:dyDescent="0.25">
      <c r="A173" s="6">
        <v>171</v>
      </c>
      <c r="B173" s="7">
        <v>53.150001525878899</v>
      </c>
      <c r="C173" s="3">
        <f t="shared" si="0"/>
        <v>-5.2542581844992071E-3</v>
      </c>
    </row>
    <row r="174" spans="1:3" ht="13.2" x14ac:dyDescent="0.25">
      <c r="A174" s="6">
        <v>172</v>
      </c>
      <c r="B174" s="7">
        <v>54.630001068115199</v>
      </c>
      <c r="C174" s="3">
        <f t="shared" si="0"/>
        <v>2.7465068462559965E-2</v>
      </c>
    </row>
    <row r="175" spans="1:3" ht="13.2" x14ac:dyDescent="0.25">
      <c r="A175" s="6">
        <v>173</v>
      </c>
      <c r="B175" s="7">
        <v>54.159999847412102</v>
      </c>
      <c r="C175" s="3">
        <f t="shared" si="0"/>
        <v>-8.6405761727673495E-3</v>
      </c>
    </row>
    <row r="176" spans="1:3" ht="13.2" x14ac:dyDescent="0.25">
      <c r="A176" s="6">
        <v>174</v>
      </c>
      <c r="B176" s="7">
        <v>54.689998626708899</v>
      </c>
      <c r="C176" s="3">
        <f t="shared" si="0"/>
        <v>9.7382264615547449E-3</v>
      </c>
    </row>
    <row r="177" spans="1:3" ht="13.2" x14ac:dyDescent="0.25">
      <c r="A177" s="6">
        <v>175</v>
      </c>
      <c r="B177" s="7">
        <v>55.060001373291001</v>
      </c>
      <c r="C177" s="3">
        <f t="shared" si="0"/>
        <v>6.7426724079589521E-3</v>
      </c>
    </row>
    <row r="178" spans="1:3" ht="13.2" x14ac:dyDescent="0.25">
      <c r="A178" s="6">
        <v>176</v>
      </c>
      <c r="B178" s="7">
        <v>55.409999847412102</v>
      </c>
      <c r="C178" s="3">
        <f t="shared" si="0"/>
        <v>6.3365554692821251E-3</v>
      </c>
    </row>
    <row r="179" spans="1:3" ht="13.2" x14ac:dyDescent="0.25">
      <c r="A179" s="6">
        <v>177</v>
      </c>
      <c r="B179" s="7">
        <v>55.569999694824197</v>
      </c>
      <c r="C179" s="3">
        <f t="shared" si="0"/>
        <v>2.8834016746321712E-3</v>
      </c>
    </row>
    <row r="180" spans="1:3" ht="13.2" x14ac:dyDescent="0.25">
      <c r="A180" s="6">
        <v>178</v>
      </c>
      <c r="B180" s="7">
        <v>54.659999847412102</v>
      </c>
      <c r="C180" s="3">
        <f t="shared" si="0"/>
        <v>-1.6511304091753817E-2</v>
      </c>
    </row>
    <row r="181" spans="1:3" ht="13.2" x14ac:dyDescent="0.25">
      <c r="A181" s="6">
        <v>179</v>
      </c>
      <c r="B181" s="7">
        <v>57.119998931884702</v>
      </c>
      <c r="C181" s="3">
        <f t="shared" si="0"/>
        <v>4.4022121623491825E-2</v>
      </c>
    </row>
    <row r="182" spans="1:3" ht="13.2" x14ac:dyDescent="0.25">
      <c r="A182" s="6">
        <v>180</v>
      </c>
      <c r="B182" s="7">
        <v>55.880001068115199</v>
      </c>
      <c r="C182" s="3">
        <f t="shared" si="0"/>
        <v>-2.194774582862519E-2</v>
      </c>
    </row>
    <row r="183" spans="1:3" ht="13.2" x14ac:dyDescent="0.25">
      <c r="A183" s="6">
        <v>181</v>
      </c>
      <c r="B183" s="7">
        <v>55.900001525878899</v>
      </c>
      <c r="C183" s="3">
        <f t="shared" si="0"/>
        <v>3.5785395442839156E-4</v>
      </c>
    </row>
    <row r="184" spans="1:3" ht="13.2" x14ac:dyDescent="0.25">
      <c r="A184" s="6">
        <v>182</v>
      </c>
      <c r="B184" s="7">
        <v>55.090000152587798</v>
      </c>
      <c r="C184" s="3">
        <f t="shared" si="0"/>
        <v>-1.4596193203218068E-2</v>
      </c>
    </row>
    <row r="185" spans="1:3" ht="13.2" x14ac:dyDescent="0.25">
      <c r="A185" s="6">
        <v>183</v>
      </c>
      <c r="B185" s="7">
        <v>54.540000915527301</v>
      </c>
      <c r="C185" s="3">
        <f t="shared" si="0"/>
        <v>-1.0033820050628195E-2</v>
      </c>
    </row>
    <row r="186" spans="1:3" ht="13.2" x14ac:dyDescent="0.25">
      <c r="A186" s="6">
        <v>184</v>
      </c>
      <c r="B186" s="7">
        <v>54.740001678466797</v>
      </c>
      <c r="C186" s="3">
        <f t="shared" si="0"/>
        <v>3.6603400712727115E-3</v>
      </c>
    </row>
    <row r="187" spans="1:3" ht="13.2" x14ac:dyDescent="0.25">
      <c r="A187" s="6">
        <v>185</v>
      </c>
      <c r="B187" s="7">
        <v>54.319999694824197</v>
      </c>
      <c r="C187" s="3">
        <f t="shared" si="0"/>
        <v>-7.7022566427313545E-3</v>
      </c>
    </row>
    <row r="188" spans="1:3" ht="13.2" x14ac:dyDescent="0.25">
      <c r="A188" s="6">
        <v>186</v>
      </c>
      <c r="B188" s="7">
        <v>57.080001831054602</v>
      </c>
      <c r="C188" s="3">
        <f t="shared" si="0"/>
        <v>4.9561347055047895E-2</v>
      </c>
    </row>
    <row r="189" spans="1:3" ht="13.2" x14ac:dyDescent="0.25">
      <c r="A189" s="6">
        <v>187</v>
      </c>
      <c r="B189" s="7">
        <v>58.020000457763601</v>
      </c>
      <c r="C189" s="3">
        <f t="shared" si="0"/>
        <v>1.6333961895635858E-2</v>
      </c>
    </row>
    <row r="190" spans="1:3" ht="13.2" x14ac:dyDescent="0.25">
      <c r="A190" s="6">
        <v>188</v>
      </c>
      <c r="B190" s="7">
        <v>58.9799995422363</v>
      </c>
      <c r="C190" s="3">
        <f t="shared" si="0"/>
        <v>1.6410609042779238E-2</v>
      </c>
    </row>
    <row r="191" spans="1:3" ht="13.2" x14ac:dyDescent="0.25">
      <c r="A191" s="6">
        <v>189</v>
      </c>
      <c r="B191" s="7">
        <v>59.470001220703097</v>
      </c>
      <c r="C191" s="3">
        <f t="shared" si="0"/>
        <v>8.2736086190775531E-3</v>
      </c>
    </row>
    <row r="192" spans="1:3" ht="13.2" x14ac:dyDescent="0.25">
      <c r="A192" s="6">
        <v>190</v>
      </c>
      <c r="B192" s="7">
        <v>61.4799995422363</v>
      </c>
      <c r="C192" s="3">
        <f t="shared" si="0"/>
        <v>3.3239906979791484E-2</v>
      </c>
    </row>
    <row r="193" spans="1:3" ht="13.2" x14ac:dyDescent="0.25">
      <c r="A193" s="6">
        <v>191</v>
      </c>
      <c r="B193" s="7">
        <v>59.75</v>
      </c>
      <c r="C193" s="3">
        <f t="shared" si="0"/>
        <v>-2.8542720413041515E-2</v>
      </c>
    </row>
    <row r="194" spans="1:3" ht="13.2" x14ac:dyDescent="0.25">
      <c r="A194" s="6">
        <v>192</v>
      </c>
      <c r="B194" s="7">
        <v>56.720001220703097</v>
      </c>
      <c r="C194" s="3">
        <f t="shared" si="0"/>
        <v>-5.2042287066184419E-2</v>
      </c>
    </row>
    <row r="195" spans="1:3" ht="13.2" x14ac:dyDescent="0.25">
      <c r="A195" s="6">
        <v>193</v>
      </c>
      <c r="B195" s="7">
        <v>56.209999084472599</v>
      </c>
      <c r="C195" s="3">
        <f t="shared" si="0"/>
        <v>-9.0322430190770703E-3</v>
      </c>
    </row>
    <row r="196" spans="1:3" ht="13.2" x14ac:dyDescent="0.25">
      <c r="A196" s="6">
        <v>194</v>
      </c>
      <c r="B196" s="7">
        <v>57.009998321533203</v>
      </c>
      <c r="C196" s="3">
        <f t="shared" si="0"/>
        <v>1.4132000875510963E-2</v>
      </c>
    </row>
    <row r="197" spans="1:3" ht="13.2" x14ac:dyDescent="0.25">
      <c r="A197" s="6">
        <v>195</v>
      </c>
      <c r="B197" s="7">
        <v>57.9799995422363</v>
      </c>
      <c r="C197" s="3">
        <f t="shared" si="0"/>
        <v>1.6871453996439915E-2</v>
      </c>
    </row>
    <row r="198" spans="1:3" ht="13.2" x14ac:dyDescent="0.25">
      <c r="A198" s="6">
        <v>196</v>
      </c>
      <c r="B198" s="7">
        <v>61.619998931884702</v>
      </c>
      <c r="C198" s="3">
        <f t="shared" si="0"/>
        <v>6.0888360236306158E-2</v>
      </c>
    </row>
    <row r="199" spans="1:3" ht="13.2" x14ac:dyDescent="0.25">
      <c r="A199" s="6">
        <v>197</v>
      </c>
      <c r="B199" s="7">
        <v>61.779998779296797</v>
      </c>
      <c r="C199" s="3">
        <f t="shared" si="0"/>
        <v>2.5931918969464649E-3</v>
      </c>
    </row>
    <row r="200" spans="1:3" ht="13.2" x14ac:dyDescent="0.25">
      <c r="A200" s="6">
        <v>198</v>
      </c>
      <c r="B200" s="7">
        <v>59.360000610351499</v>
      </c>
      <c r="C200" s="3">
        <f t="shared" si="0"/>
        <v>-3.9959058590235227E-2</v>
      </c>
    </row>
    <row r="201" spans="1:3" ht="13.2" x14ac:dyDescent="0.25">
      <c r="A201" s="6">
        <v>199</v>
      </c>
      <c r="B201" s="7">
        <v>59.069999694824197</v>
      </c>
      <c r="C201" s="3">
        <f t="shared" si="0"/>
        <v>-4.8974329885245948E-3</v>
      </c>
    </row>
    <row r="202" spans="1:3" ht="13.2" x14ac:dyDescent="0.25">
      <c r="A202" s="6">
        <v>200</v>
      </c>
      <c r="B202" s="7">
        <v>58.569999694824197</v>
      </c>
      <c r="C202" s="3">
        <f t="shared" si="0"/>
        <v>-8.5005612615569621E-3</v>
      </c>
    </row>
    <row r="203" spans="1:3" ht="13.2" x14ac:dyDescent="0.25">
      <c r="A203" s="6">
        <v>201</v>
      </c>
      <c r="B203" s="7">
        <v>58.299999237060497</v>
      </c>
      <c r="C203" s="3">
        <f t="shared" si="0"/>
        <v>-4.6205346212394418E-3</v>
      </c>
    </row>
    <row r="204" spans="1:3" ht="13.2" x14ac:dyDescent="0.25">
      <c r="A204" s="6">
        <v>202</v>
      </c>
      <c r="B204" s="7">
        <v>58.819999694824197</v>
      </c>
      <c r="C204" s="3">
        <f t="shared" si="0"/>
        <v>8.8798476675432478E-3</v>
      </c>
    </row>
    <row r="205" spans="1:3" ht="13.2" x14ac:dyDescent="0.25">
      <c r="A205" s="6">
        <v>203</v>
      </c>
      <c r="B205" s="7">
        <v>59.25</v>
      </c>
      <c r="C205" s="3">
        <f t="shared" si="0"/>
        <v>7.2838520776914578E-3</v>
      </c>
    </row>
    <row r="206" spans="1:3" ht="13.2" x14ac:dyDescent="0.25">
      <c r="A206" s="6">
        <v>204</v>
      </c>
      <c r="B206" s="7">
        <v>58.770000457763601</v>
      </c>
      <c r="C206" s="3">
        <f t="shared" si="0"/>
        <v>-8.1342516016122222E-3</v>
      </c>
    </row>
    <row r="207" spans="1:3" ht="13.2" x14ac:dyDescent="0.25">
      <c r="A207" s="6">
        <v>205</v>
      </c>
      <c r="B207" s="7">
        <v>59</v>
      </c>
      <c r="C207" s="3">
        <f t="shared" si="0"/>
        <v>3.9059154920911849E-3</v>
      </c>
    </row>
    <row r="208" spans="1:3" ht="13.2" x14ac:dyDescent="0.25">
      <c r="A208" s="6">
        <v>206</v>
      </c>
      <c r="B208" s="7">
        <v>61.200000762939403</v>
      </c>
      <c r="C208" s="3">
        <f t="shared" si="0"/>
        <v>3.6609758078891087E-2</v>
      </c>
    </row>
    <row r="209" spans="1:3" ht="13.2" x14ac:dyDescent="0.25">
      <c r="A209" s="6">
        <v>207</v>
      </c>
      <c r="B209" s="7">
        <v>59.819999694824197</v>
      </c>
      <c r="C209" s="3">
        <f t="shared" si="0"/>
        <v>-2.2807153884376624E-2</v>
      </c>
    </row>
    <row r="210" spans="1:3" ht="13.2" x14ac:dyDescent="0.25">
      <c r="A210" s="6">
        <v>208</v>
      </c>
      <c r="B210" s="7">
        <v>58.419998168945298</v>
      </c>
      <c r="C210" s="3">
        <f t="shared" si="0"/>
        <v>-2.3681782483581913E-2</v>
      </c>
    </row>
    <row r="211" spans="1:3" ht="13.2" x14ac:dyDescent="0.25">
      <c r="A211" s="6">
        <v>209</v>
      </c>
      <c r="B211" s="7">
        <v>58.819999694824197</v>
      </c>
      <c r="C211" s="3">
        <f t="shared" si="0"/>
        <v>6.8236623208972223E-3</v>
      </c>
    </row>
    <row r="212" spans="1:3" ht="13.2" x14ac:dyDescent="0.25">
      <c r="A212" s="6">
        <v>210</v>
      </c>
      <c r="B212" s="7">
        <v>58.540000915527301</v>
      </c>
      <c r="C212" s="3">
        <f t="shared" si="0"/>
        <v>-4.7716310344636135E-3</v>
      </c>
    </row>
    <row r="213" spans="1:3" ht="13.2" x14ac:dyDescent="0.25">
      <c r="A213" s="6">
        <v>211</v>
      </c>
      <c r="B213" s="7">
        <v>59</v>
      </c>
      <c r="C213" s="3">
        <f t="shared" si="0"/>
        <v>7.8271470026340609E-3</v>
      </c>
    </row>
    <row r="214" spans="1:3" ht="13.2" x14ac:dyDescent="0.25">
      <c r="A214" s="6">
        <v>212</v>
      </c>
      <c r="B214" s="7">
        <v>57.520000457763601</v>
      </c>
      <c r="C214" s="3">
        <f t="shared" si="0"/>
        <v>-2.5404722534590276E-2</v>
      </c>
    </row>
    <row r="215" spans="1:3" ht="13.2" x14ac:dyDescent="0.25">
      <c r="A215" s="6">
        <v>213</v>
      </c>
      <c r="B215" s="7">
        <v>58.75</v>
      </c>
      <c r="C215" s="3">
        <f t="shared" si="0"/>
        <v>2.1158431653139128E-2</v>
      </c>
    </row>
    <row r="216" spans="1:3" ht="13.2" x14ac:dyDescent="0.25">
      <c r="A216" s="6">
        <v>214</v>
      </c>
      <c r="B216" s="7">
        <v>58.400001525878899</v>
      </c>
      <c r="C216" s="3">
        <f t="shared" si="0"/>
        <v>-5.9752370620239689E-3</v>
      </c>
    </row>
    <row r="217" spans="1:3" ht="13.2" x14ac:dyDescent="0.25">
      <c r="A217" s="6">
        <v>215</v>
      </c>
      <c r="B217" s="7">
        <v>60.200000762939403</v>
      </c>
      <c r="C217" s="3">
        <f t="shared" si="0"/>
        <v>3.0356449025942828E-2</v>
      </c>
    </row>
    <row r="218" spans="1:3" ht="13.2" x14ac:dyDescent="0.25">
      <c r="A218" s="6">
        <v>216</v>
      </c>
      <c r="B218" s="7">
        <v>60.419998168945298</v>
      </c>
      <c r="C218" s="3">
        <f t="shared" si="0"/>
        <v>3.6477806648979507E-3</v>
      </c>
    </row>
    <row r="219" spans="1:3" ht="13.2" x14ac:dyDescent="0.25">
      <c r="A219" s="6">
        <v>217</v>
      </c>
      <c r="B219" s="7">
        <v>59.009998321533203</v>
      </c>
      <c r="C219" s="3">
        <f t="shared" si="0"/>
        <v>-2.3613253027776959E-2</v>
      </c>
    </row>
    <row r="220" spans="1:3" ht="13.2" x14ac:dyDescent="0.25">
      <c r="A220" s="6">
        <v>218</v>
      </c>
      <c r="B220" s="7">
        <v>59.4799995422363</v>
      </c>
      <c r="C220" s="3">
        <f t="shared" si="0"/>
        <v>7.9332212705516998E-3</v>
      </c>
    </row>
    <row r="221" spans="1:3" ht="13.2" x14ac:dyDescent="0.25">
      <c r="A221" s="6">
        <v>219</v>
      </c>
      <c r="B221" s="7">
        <v>59.389999389648402</v>
      </c>
      <c r="C221" s="3">
        <f t="shared" si="0"/>
        <v>-1.5142621451005606E-3</v>
      </c>
    </row>
    <row r="222" spans="1:3" ht="13.2" x14ac:dyDescent="0.25">
      <c r="A222" s="6">
        <v>220</v>
      </c>
      <c r="B222" s="7">
        <v>57.630001068115199</v>
      </c>
      <c r="C222" s="3">
        <f t="shared" si="0"/>
        <v>-3.0082567768170889E-2</v>
      </c>
    </row>
    <row r="223" spans="1:3" ht="13.2" x14ac:dyDescent="0.25">
      <c r="A223" s="6">
        <v>221</v>
      </c>
      <c r="B223" s="7">
        <v>58.540000915527301</v>
      </c>
      <c r="C223" s="3">
        <f t="shared" si="0"/>
        <v>1.5667012920497141E-2</v>
      </c>
    </row>
    <row r="224" spans="1:3" ht="13.2" x14ac:dyDescent="0.25">
      <c r="A224" s="6">
        <v>222</v>
      </c>
      <c r="B224" s="7">
        <v>58.619998931884702</v>
      </c>
      <c r="C224" s="3">
        <f t="shared" si="0"/>
        <v>1.36562015865606E-3</v>
      </c>
    </row>
    <row r="225" spans="1:3" ht="13.2" x14ac:dyDescent="0.25">
      <c r="A225" s="6">
        <v>223</v>
      </c>
      <c r="B225" s="7">
        <v>59.419998168945298</v>
      </c>
      <c r="C225" s="3">
        <f t="shared" si="0"/>
        <v>1.3554922157258493E-2</v>
      </c>
    </row>
    <row r="226" spans="1:3" ht="13.2" x14ac:dyDescent="0.25">
      <c r="A226" s="6">
        <v>224</v>
      </c>
      <c r="B226" s="7">
        <v>58.689998626708899</v>
      </c>
      <c r="C226" s="3">
        <f t="shared" si="0"/>
        <v>-1.2361508047821686E-2</v>
      </c>
    </row>
    <row r="227" spans="1:3" ht="13.2" x14ac:dyDescent="0.25">
      <c r="A227" s="6">
        <v>225</v>
      </c>
      <c r="B227" s="7">
        <v>58.290000915527301</v>
      </c>
      <c r="C227" s="3">
        <f t="shared" si="0"/>
        <v>-6.8387634072985806E-3</v>
      </c>
    </row>
    <row r="228" spans="1:3" ht="13.2" x14ac:dyDescent="0.25">
      <c r="A228" s="6">
        <v>226</v>
      </c>
      <c r="B228" s="7">
        <v>58.159999847412102</v>
      </c>
      <c r="C228" s="3">
        <f t="shared" si="0"/>
        <v>-2.2327371622040981E-3</v>
      </c>
    </row>
    <row r="229" spans="1:3" ht="13.2" x14ac:dyDescent="0.25">
      <c r="A229" s="6">
        <v>227</v>
      </c>
      <c r="B229" s="7">
        <v>56.290000915527301</v>
      </c>
      <c r="C229" s="3">
        <f t="shared" si="0"/>
        <v>-3.2680914861265474E-2</v>
      </c>
    </row>
    <row r="230" spans="1:3" ht="13.2" x14ac:dyDescent="0.25">
      <c r="A230" s="6">
        <v>228</v>
      </c>
      <c r="B230" s="7">
        <v>55.139999389648402</v>
      </c>
      <c r="C230" s="3">
        <f t="shared" si="0"/>
        <v>-2.0641521213885294E-2</v>
      </c>
    </row>
    <row r="231" spans="1:3" ht="13.2" x14ac:dyDescent="0.25">
      <c r="A231" s="6">
        <v>229</v>
      </c>
      <c r="B231" s="7">
        <v>55.919998168945298</v>
      </c>
      <c r="C231" s="3">
        <f t="shared" si="0"/>
        <v>1.4046670654846785E-2</v>
      </c>
    </row>
    <row r="232" spans="1:3" ht="13.2" x14ac:dyDescent="0.25">
      <c r="A232" s="6">
        <v>230</v>
      </c>
      <c r="B232" s="7">
        <v>54.369998931884702</v>
      </c>
      <c r="C232" s="3">
        <f t="shared" si="0"/>
        <v>-2.81095536688486E-2</v>
      </c>
    </row>
    <row r="233" spans="1:3" ht="13.2" x14ac:dyDescent="0.25">
      <c r="A233" s="6">
        <v>231</v>
      </c>
      <c r="B233" s="7">
        <v>55.020000457763601</v>
      </c>
      <c r="C233" s="3">
        <f t="shared" si="0"/>
        <v>1.1884252303854592E-2</v>
      </c>
    </row>
    <row r="234" spans="1:3" ht="13.2" x14ac:dyDescent="0.25">
      <c r="A234" s="6">
        <v>232</v>
      </c>
      <c r="B234" s="7">
        <v>55.040000915527301</v>
      </c>
      <c r="C234" s="3">
        <f t="shared" si="0"/>
        <v>3.6344644256404196E-4</v>
      </c>
    </row>
    <row r="235" spans="1:3" ht="13.2" x14ac:dyDescent="0.25">
      <c r="A235" s="6">
        <v>233</v>
      </c>
      <c r="B235" s="7">
        <v>55.049999237060497</v>
      </c>
      <c r="C235" s="3">
        <f t="shared" si="0"/>
        <v>1.8163905071902909E-4</v>
      </c>
    </row>
    <row r="236" spans="1:3" ht="13.2" x14ac:dyDescent="0.25">
      <c r="A236" s="6">
        <v>234</v>
      </c>
      <c r="B236" s="7">
        <v>54.9799995422363</v>
      </c>
      <c r="C236" s="3">
        <f t="shared" si="0"/>
        <v>-1.2723748985650481E-3</v>
      </c>
    </row>
    <row r="237" spans="1:3" ht="13.2" x14ac:dyDescent="0.25">
      <c r="A237" s="6">
        <v>235</v>
      </c>
      <c r="B237" s="7">
        <v>56.25</v>
      </c>
      <c r="C237" s="3">
        <f t="shared" si="0"/>
        <v>2.2836566673433902E-2</v>
      </c>
    </row>
    <row r="238" spans="1:3" ht="13.2" x14ac:dyDescent="0.25">
      <c r="A238" s="6">
        <v>236</v>
      </c>
      <c r="B238" s="7">
        <v>54.209999084472599</v>
      </c>
      <c r="C238" s="3">
        <f t="shared" si="0"/>
        <v>-3.6940664700816278E-2</v>
      </c>
    </row>
    <row r="239" spans="1:3" ht="13.2" x14ac:dyDescent="0.25">
      <c r="A239" s="6">
        <v>237</v>
      </c>
      <c r="B239" s="7">
        <v>54.340000152587798</v>
      </c>
      <c r="C239" s="3">
        <f t="shared" si="0"/>
        <v>2.3952304225084301E-3</v>
      </c>
    </row>
    <row r="240" spans="1:3" ht="13.2" x14ac:dyDescent="0.25">
      <c r="A240" s="6">
        <v>238</v>
      </c>
      <c r="B240" s="7">
        <v>54.580001831054602</v>
      </c>
      <c r="C240" s="3">
        <f t="shared" si="0"/>
        <v>4.4069420220574917E-3</v>
      </c>
    </row>
    <row r="241" spans="1:3" ht="13.2" x14ac:dyDescent="0.25">
      <c r="A241" s="6">
        <v>239</v>
      </c>
      <c r="B241" s="7">
        <v>55.069999694824197</v>
      </c>
      <c r="C241" s="3">
        <f t="shared" si="0"/>
        <v>8.9375489045128882E-3</v>
      </c>
    </row>
    <row r="242" spans="1:3" ht="13.2" x14ac:dyDescent="0.25">
      <c r="A242" s="6">
        <v>240</v>
      </c>
      <c r="B242" s="7">
        <v>57.25</v>
      </c>
      <c r="C242" s="3">
        <f t="shared" si="0"/>
        <v>3.8822544701556994E-2</v>
      </c>
    </row>
    <row r="243" spans="1:3" ht="13.2" x14ac:dyDescent="0.25">
      <c r="A243" s="6">
        <v>241</v>
      </c>
      <c r="B243" s="7">
        <v>58.959999084472599</v>
      </c>
      <c r="C243" s="3">
        <f t="shared" si="0"/>
        <v>2.94315899187911E-2</v>
      </c>
    </row>
    <row r="244" spans="1:3" ht="13.2" x14ac:dyDescent="0.25">
      <c r="A244" s="6">
        <v>242</v>
      </c>
      <c r="B244" s="7">
        <v>58.959999084472599</v>
      </c>
      <c r="C244" s="3">
        <f t="shared" si="0"/>
        <v>0</v>
      </c>
    </row>
    <row r="245" spans="1:3" ht="13.2" x14ac:dyDescent="0.25">
      <c r="A245" s="6">
        <v>243</v>
      </c>
      <c r="B245" s="7">
        <v>58</v>
      </c>
      <c r="C245" s="3">
        <f t="shared" si="0"/>
        <v>-1.6416221806720706E-2</v>
      </c>
    </row>
    <row r="246" spans="1:3" ht="13.2" x14ac:dyDescent="0.25">
      <c r="A246" s="6">
        <v>244</v>
      </c>
      <c r="B246" s="7">
        <v>58.900001525878899</v>
      </c>
      <c r="C246" s="3">
        <f t="shared" si="0"/>
        <v>1.5398106017384493E-2</v>
      </c>
    </row>
    <row r="247" spans="1:3" ht="13.2" x14ac:dyDescent="0.25">
      <c r="A247" s="6">
        <v>245</v>
      </c>
      <c r="B247" s="7">
        <v>58.569999694824197</v>
      </c>
      <c r="C247" s="3">
        <f t="shared" si="0"/>
        <v>-5.618501672558643E-3</v>
      </c>
    </row>
    <row r="248" spans="1:3" ht="13.2" x14ac:dyDescent="0.25">
      <c r="A248" s="6">
        <v>246</v>
      </c>
      <c r="B248" s="7">
        <v>58.569999694824197</v>
      </c>
      <c r="C248" s="3">
        <f t="shared" si="0"/>
        <v>0</v>
      </c>
    </row>
    <row r="249" spans="1:3" ht="13.2" x14ac:dyDescent="0.25">
      <c r="A249" s="6">
        <v>247</v>
      </c>
      <c r="B249" s="7">
        <v>58.700000762939403</v>
      </c>
      <c r="C249" s="3">
        <f t="shared" si="0"/>
        <v>2.2171249400695218E-3</v>
      </c>
    </row>
    <row r="250" spans="1:3" ht="13.2" x14ac:dyDescent="0.25">
      <c r="A250" s="6">
        <v>248</v>
      </c>
      <c r="B250" s="7">
        <v>58.700000762939403</v>
      </c>
      <c r="C250" s="3">
        <f t="shared" si="0"/>
        <v>0</v>
      </c>
    </row>
    <row r="251" spans="1:3" ht="13.2" x14ac:dyDescent="0.25">
      <c r="A251" s="6">
        <v>249</v>
      </c>
      <c r="B251" s="7">
        <v>60.090000152587798</v>
      </c>
      <c r="C251" s="3">
        <f t="shared" si="0"/>
        <v>2.3403701053842783E-2</v>
      </c>
    </row>
    <row r="252" spans="1:3" ht="13.2" x14ac:dyDescent="0.25">
      <c r="A252" s="6">
        <v>250</v>
      </c>
      <c r="B252" s="7">
        <v>61.790000915527301</v>
      </c>
      <c r="C252" s="3">
        <f t="shared" si="0"/>
        <v>2.789811300448572E-2</v>
      </c>
    </row>
    <row r="253" spans="1:3" ht="13.2" x14ac:dyDescent="0.25">
      <c r="A253" s="6">
        <v>251</v>
      </c>
      <c r="B253" s="7">
        <v>61.880001068115199</v>
      </c>
      <c r="C253" s="3">
        <f t="shared" si="0"/>
        <v>1.4554890762950242E-3</v>
      </c>
    </row>
    <row r="254" spans="1:3" ht="13.2" x14ac:dyDescent="0.25">
      <c r="A254" s="6">
        <v>252</v>
      </c>
      <c r="B254" s="7">
        <v>62.959999084472599</v>
      </c>
      <c r="C254" s="3">
        <f t="shared" si="0"/>
        <v>1.7302546601795841E-2</v>
      </c>
    </row>
    <row r="255" spans="1:3" ht="13.2" x14ac:dyDescent="0.25">
      <c r="A255" s="6">
        <v>253</v>
      </c>
      <c r="B255" s="7">
        <v>61.25</v>
      </c>
      <c r="C255" s="3">
        <f t="shared" si="0"/>
        <v>-2.7535740142897717E-2</v>
      </c>
    </row>
    <row r="256" spans="1:3" ht="13.2" x14ac:dyDescent="0.25">
      <c r="A256" s="6">
        <v>254</v>
      </c>
      <c r="B256" s="7">
        <v>62.689998626708899</v>
      </c>
      <c r="C256" s="3">
        <f t="shared" si="0"/>
        <v>2.3238073954977317E-2</v>
      </c>
    </row>
    <row r="257" spans="1:3" ht="13.2" x14ac:dyDescent="0.25">
      <c r="A257" s="6">
        <v>255</v>
      </c>
      <c r="B257" s="7">
        <v>61.200000762939403</v>
      </c>
      <c r="C257" s="3">
        <f t="shared" si="0"/>
        <v>-2.4054721395203274E-2</v>
      </c>
    </row>
    <row r="258" spans="1:3" ht="13.2" x14ac:dyDescent="0.25">
      <c r="A258" s="6">
        <v>256</v>
      </c>
      <c r="B258" s="7">
        <v>60.590000152587798</v>
      </c>
      <c r="C258" s="3">
        <f t="shared" ref="C258:C512" si="1">LN(B258/B257)</f>
        <v>-1.0017336509346705E-2</v>
      </c>
    </row>
    <row r="259" spans="1:3" ht="13.2" x14ac:dyDescent="0.25">
      <c r="A259" s="6">
        <v>257</v>
      </c>
      <c r="B259" s="7">
        <v>60.25</v>
      </c>
      <c r="C259" s="3">
        <f t="shared" si="1"/>
        <v>-5.6272931044993417E-3</v>
      </c>
    </row>
    <row r="260" spans="1:3" ht="13.2" x14ac:dyDescent="0.25">
      <c r="A260" s="6">
        <v>258</v>
      </c>
      <c r="B260" s="7">
        <v>61.680000305175703</v>
      </c>
      <c r="C260" s="3">
        <f t="shared" si="1"/>
        <v>2.3457161832035132E-2</v>
      </c>
    </row>
    <row r="261" spans="1:3" ht="13.2" x14ac:dyDescent="0.25">
      <c r="A261" s="6">
        <v>259</v>
      </c>
      <c r="B261" s="7">
        <v>61.110000610351499</v>
      </c>
      <c r="C261" s="3">
        <f t="shared" si="1"/>
        <v>-9.2842053082237835E-3</v>
      </c>
    </row>
    <row r="262" spans="1:3" ht="13.2" x14ac:dyDescent="0.25">
      <c r="A262" s="6">
        <v>260</v>
      </c>
      <c r="B262" s="7">
        <v>62.040000915527301</v>
      </c>
      <c r="C262" s="3">
        <f t="shared" si="1"/>
        <v>1.510382417081097E-2</v>
      </c>
    </row>
    <row r="263" spans="1:3" ht="13.2" x14ac:dyDescent="0.25">
      <c r="A263" s="6">
        <v>261</v>
      </c>
      <c r="B263" s="7">
        <v>62.419998168945298</v>
      </c>
      <c r="C263" s="3">
        <f t="shared" si="1"/>
        <v>6.1063544428229628E-3</v>
      </c>
    </row>
    <row r="264" spans="1:3" ht="13.2" x14ac:dyDescent="0.25">
      <c r="A264" s="6">
        <v>262</v>
      </c>
      <c r="B264" s="7">
        <v>63.430000305175703</v>
      </c>
      <c r="C264" s="3">
        <f t="shared" si="1"/>
        <v>1.6051232948816326E-2</v>
      </c>
    </row>
    <row r="265" spans="1:3" ht="13.2" x14ac:dyDescent="0.25">
      <c r="A265" s="6">
        <v>263</v>
      </c>
      <c r="B265" s="7">
        <v>64.370002746582003</v>
      </c>
      <c r="C265" s="3">
        <f t="shared" si="1"/>
        <v>1.4710788276163065E-2</v>
      </c>
    </row>
    <row r="266" spans="1:3" ht="13.2" x14ac:dyDescent="0.25">
      <c r="A266" s="6">
        <v>264</v>
      </c>
      <c r="B266" s="7">
        <v>63.990001678466797</v>
      </c>
      <c r="C266" s="3">
        <f t="shared" si="1"/>
        <v>-5.9208813516784262E-3</v>
      </c>
    </row>
    <row r="267" spans="1:3" ht="13.2" x14ac:dyDescent="0.25">
      <c r="A267" s="6">
        <v>265</v>
      </c>
      <c r="B267" s="7">
        <v>64.019996643066406</v>
      </c>
      <c r="C267" s="3">
        <f t="shared" si="1"/>
        <v>4.6863472450373457E-4</v>
      </c>
    </row>
    <row r="268" spans="1:3" ht="13.2" x14ac:dyDescent="0.25">
      <c r="A268" s="6">
        <v>266</v>
      </c>
      <c r="B268" s="7">
        <v>65.190002441406193</v>
      </c>
      <c r="C268" s="3">
        <f t="shared" si="1"/>
        <v>1.8110638281057044E-2</v>
      </c>
    </row>
    <row r="269" spans="1:3" ht="13.2" x14ac:dyDescent="0.25">
      <c r="A269" s="6">
        <v>267</v>
      </c>
      <c r="B269" s="7">
        <v>67.180000305175696</v>
      </c>
      <c r="C269" s="3">
        <f t="shared" si="1"/>
        <v>3.0069468339732178E-2</v>
      </c>
    </row>
    <row r="270" spans="1:3" ht="13.2" x14ac:dyDescent="0.25">
      <c r="A270" s="6">
        <v>268</v>
      </c>
      <c r="B270" s="7">
        <v>67.160003662109304</v>
      </c>
      <c r="C270" s="3">
        <f t="shared" si="1"/>
        <v>-2.9770198933367584E-4</v>
      </c>
    </row>
    <row r="271" spans="1:3" ht="13.2" x14ac:dyDescent="0.25">
      <c r="A271" s="6">
        <v>269</v>
      </c>
      <c r="B271" s="7">
        <v>65.839996337890597</v>
      </c>
      <c r="C271" s="3">
        <f t="shared" si="1"/>
        <v>-1.9850385990002852E-2</v>
      </c>
    </row>
    <row r="272" spans="1:3" ht="13.2" x14ac:dyDescent="0.25">
      <c r="A272" s="6">
        <v>270</v>
      </c>
      <c r="B272" s="7">
        <v>66.400001525878906</v>
      </c>
      <c r="C272" s="3">
        <f t="shared" si="1"/>
        <v>8.4695787150249006E-3</v>
      </c>
    </row>
    <row r="273" spans="1:3" ht="13.2" x14ac:dyDescent="0.25">
      <c r="A273" s="6">
        <v>271</v>
      </c>
      <c r="B273" s="7">
        <v>67.879997253417898</v>
      </c>
      <c r="C273" s="3">
        <f t="shared" si="1"/>
        <v>2.2044320441215438E-2</v>
      </c>
    </row>
    <row r="274" spans="1:3" ht="13.2" x14ac:dyDescent="0.25">
      <c r="A274" s="6">
        <v>272</v>
      </c>
      <c r="B274" s="7">
        <v>69.730003356933594</v>
      </c>
      <c r="C274" s="3">
        <f t="shared" si="1"/>
        <v>2.6889289471095111E-2</v>
      </c>
    </row>
    <row r="275" spans="1:3" ht="13.2" x14ac:dyDescent="0.25">
      <c r="A275" s="6">
        <v>273</v>
      </c>
      <c r="B275" s="7">
        <v>71.110000610351506</v>
      </c>
      <c r="C275" s="3">
        <f t="shared" si="1"/>
        <v>1.959729310382614E-2</v>
      </c>
    </row>
    <row r="276" spans="1:3" ht="13.2" x14ac:dyDescent="0.25">
      <c r="A276" s="6">
        <v>274</v>
      </c>
      <c r="B276" s="7">
        <v>73.629997253417898</v>
      </c>
      <c r="C276" s="3">
        <f t="shared" si="1"/>
        <v>3.4824531599509219E-2</v>
      </c>
    </row>
    <row r="277" spans="1:3" ht="13.2" x14ac:dyDescent="0.25">
      <c r="A277" s="6">
        <v>275</v>
      </c>
      <c r="B277" s="7">
        <v>71.319999694824205</v>
      </c>
      <c r="C277" s="3">
        <f t="shared" si="1"/>
        <v>-3.1875725362163487E-2</v>
      </c>
    </row>
    <row r="278" spans="1:3" ht="13.2" x14ac:dyDescent="0.25">
      <c r="A278" s="6">
        <v>276</v>
      </c>
      <c r="B278" s="7">
        <v>73.339996337890597</v>
      </c>
      <c r="C278" s="3">
        <f t="shared" si="1"/>
        <v>2.7929323993888078E-2</v>
      </c>
    </row>
    <row r="279" spans="1:3" ht="13.2" x14ac:dyDescent="0.25">
      <c r="A279" s="6">
        <v>277</v>
      </c>
      <c r="B279" s="7">
        <v>75.010002136230398</v>
      </c>
      <c r="C279" s="3">
        <f t="shared" si="1"/>
        <v>2.2515353750956656E-2</v>
      </c>
    </row>
    <row r="280" spans="1:3" ht="13.2" x14ac:dyDescent="0.25">
      <c r="A280" s="6">
        <v>278</v>
      </c>
      <c r="B280" s="7">
        <v>78.779998779296804</v>
      </c>
      <c r="C280" s="3">
        <f t="shared" si="1"/>
        <v>4.9037675586850384E-2</v>
      </c>
    </row>
    <row r="281" spans="1:3" ht="13.2" x14ac:dyDescent="0.25">
      <c r="A281" s="6">
        <v>279</v>
      </c>
      <c r="B281" s="7">
        <v>81.129997253417898</v>
      </c>
      <c r="C281" s="3">
        <f t="shared" si="1"/>
        <v>2.9393630505216085E-2</v>
      </c>
    </row>
    <row r="282" spans="1:3" ht="13.2" x14ac:dyDescent="0.25">
      <c r="A282" s="6">
        <v>280</v>
      </c>
      <c r="B282" s="7">
        <v>80.279998779296804</v>
      </c>
      <c r="C282" s="3">
        <f t="shared" si="1"/>
        <v>-1.0532263830319003E-2</v>
      </c>
    </row>
    <row r="283" spans="1:3" ht="13.2" x14ac:dyDescent="0.25">
      <c r="A283" s="6">
        <v>281</v>
      </c>
      <c r="B283" s="7">
        <v>78.589996337890597</v>
      </c>
      <c r="C283" s="3">
        <f t="shared" si="1"/>
        <v>-2.127609044213552E-2</v>
      </c>
    </row>
    <row r="284" spans="1:3" ht="13.2" x14ac:dyDescent="0.25">
      <c r="A284" s="6">
        <v>282</v>
      </c>
      <c r="B284" s="7">
        <v>78.360000610351506</v>
      </c>
      <c r="C284" s="3">
        <f t="shared" si="1"/>
        <v>-2.9308174150216326E-3</v>
      </c>
    </row>
    <row r="285" spans="1:3" ht="13.2" x14ac:dyDescent="0.25">
      <c r="A285" s="6">
        <v>283</v>
      </c>
      <c r="B285" s="7">
        <v>76.819999694824205</v>
      </c>
      <c r="C285" s="3">
        <f t="shared" si="1"/>
        <v>-1.9848581920259661E-2</v>
      </c>
    </row>
    <row r="286" spans="1:3" ht="13.2" x14ac:dyDescent="0.25">
      <c r="A286" s="6">
        <v>284</v>
      </c>
      <c r="B286" s="7">
        <v>78.180000305175696</v>
      </c>
      <c r="C286" s="3">
        <f t="shared" si="1"/>
        <v>1.7548845323159593E-2</v>
      </c>
    </row>
    <row r="287" spans="1:3" ht="13.2" x14ac:dyDescent="0.25">
      <c r="A287" s="6">
        <v>285</v>
      </c>
      <c r="B287" s="7">
        <v>78.470001220703097</v>
      </c>
      <c r="C287" s="3">
        <f t="shared" si="1"/>
        <v>3.7025374273751965E-3</v>
      </c>
    </row>
    <row r="288" spans="1:3" ht="13.2" x14ac:dyDescent="0.25">
      <c r="A288" s="6">
        <v>286</v>
      </c>
      <c r="B288" s="7">
        <v>77.769996643066406</v>
      </c>
      <c r="C288" s="3">
        <f t="shared" si="1"/>
        <v>-8.9606921537249504E-3</v>
      </c>
    </row>
    <row r="289" spans="1:3" ht="13.2" x14ac:dyDescent="0.25">
      <c r="A289" s="6">
        <v>287</v>
      </c>
      <c r="B289" s="7">
        <v>81.080001831054602</v>
      </c>
      <c r="C289" s="3">
        <f t="shared" si="1"/>
        <v>4.1680634625147102E-2</v>
      </c>
    </row>
    <row r="290" spans="1:3" ht="13.2" x14ac:dyDescent="0.25">
      <c r="A290" s="6">
        <v>288</v>
      </c>
      <c r="B290" s="7">
        <v>80.360000610351506</v>
      </c>
      <c r="C290" s="3">
        <f t="shared" si="1"/>
        <v>-8.9197966251579643E-3</v>
      </c>
    </row>
    <row r="291" spans="1:3" ht="13.2" x14ac:dyDescent="0.25">
      <c r="A291" s="6">
        <v>289</v>
      </c>
      <c r="B291" s="7">
        <v>82.470001220703097</v>
      </c>
      <c r="C291" s="3">
        <f t="shared" si="1"/>
        <v>2.5918058105098601E-2</v>
      </c>
    </row>
    <row r="292" spans="1:3" ht="13.2" x14ac:dyDescent="0.25">
      <c r="A292" s="6">
        <v>290</v>
      </c>
      <c r="B292" s="7">
        <v>83.430000305175696</v>
      </c>
      <c r="C292" s="3">
        <f t="shared" si="1"/>
        <v>1.1573354924800744E-2</v>
      </c>
    </row>
    <row r="293" spans="1:3" ht="13.2" x14ac:dyDescent="0.25">
      <c r="A293" s="6">
        <v>291</v>
      </c>
      <c r="B293" s="7">
        <v>83.849998474121094</v>
      </c>
      <c r="C293" s="3">
        <f t="shared" si="1"/>
        <v>5.0215094996482034E-3</v>
      </c>
    </row>
    <row r="294" spans="1:3" ht="13.2" x14ac:dyDescent="0.25">
      <c r="A294" s="6">
        <v>292</v>
      </c>
      <c r="B294" s="7">
        <v>80.370002746582003</v>
      </c>
      <c r="C294" s="3">
        <f t="shared" si="1"/>
        <v>-4.2388463672650901E-2</v>
      </c>
    </row>
    <row r="295" spans="1:3" ht="13.2" x14ac:dyDescent="0.25">
      <c r="A295" s="6">
        <v>293</v>
      </c>
      <c r="B295" s="7">
        <v>83.419998168945298</v>
      </c>
      <c r="C295" s="3">
        <f t="shared" si="1"/>
        <v>3.7247060420124614E-2</v>
      </c>
    </row>
    <row r="296" spans="1:3" ht="13.2" x14ac:dyDescent="0.25">
      <c r="A296" s="6">
        <v>294</v>
      </c>
      <c r="B296" s="7">
        <v>82.260002136230398</v>
      </c>
      <c r="C296" s="3">
        <f t="shared" si="1"/>
        <v>-1.4003078047443961E-2</v>
      </c>
    </row>
    <row r="297" spans="1:3" ht="13.2" x14ac:dyDescent="0.25">
      <c r="A297" s="6">
        <v>295</v>
      </c>
      <c r="B297" s="7">
        <v>85.139999389648395</v>
      </c>
      <c r="C297" s="3">
        <f t="shared" si="1"/>
        <v>3.4411964459680276E-2</v>
      </c>
    </row>
    <row r="298" spans="1:3" ht="13.2" x14ac:dyDescent="0.25">
      <c r="A298" s="6">
        <v>296</v>
      </c>
      <c r="B298" s="7">
        <v>86.639999389648395</v>
      </c>
      <c r="C298" s="3">
        <f t="shared" si="1"/>
        <v>1.7464642416842376E-2</v>
      </c>
    </row>
    <row r="299" spans="1:3" ht="13.2" x14ac:dyDescent="0.25">
      <c r="A299" s="6">
        <v>297</v>
      </c>
      <c r="B299" s="7">
        <v>86.300003051757798</v>
      </c>
      <c r="C299" s="3">
        <f t="shared" si="1"/>
        <v>-3.9319621964681367E-3</v>
      </c>
    </row>
    <row r="300" spans="1:3" ht="13.2" x14ac:dyDescent="0.25">
      <c r="A300" s="6">
        <v>298</v>
      </c>
      <c r="B300" s="7">
        <v>84.120002746582003</v>
      </c>
      <c r="C300" s="3">
        <f t="shared" si="1"/>
        <v>-2.5585249966321607E-2</v>
      </c>
    </row>
    <row r="301" spans="1:3" ht="13.2" x14ac:dyDescent="0.25">
      <c r="A301" s="6">
        <v>299</v>
      </c>
      <c r="B301" s="7">
        <v>88.709999084472599</v>
      </c>
      <c r="C301" s="3">
        <f t="shared" si="1"/>
        <v>5.3128228726782988E-2</v>
      </c>
    </row>
    <row r="302" spans="1:3" ht="13.2" x14ac:dyDescent="0.25">
      <c r="A302" s="6">
        <v>300</v>
      </c>
      <c r="B302" s="7">
        <v>90.860000610351506</v>
      </c>
      <c r="C302" s="3">
        <f t="shared" si="1"/>
        <v>2.3947254836708818E-2</v>
      </c>
    </row>
    <row r="303" spans="1:3" ht="13.2" x14ac:dyDescent="0.25">
      <c r="A303" s="6">
        <v>301</v>
      </c>
      <c r="B303" s="7">
        <v>91.540000915527301</v>
      </c>
      <c r="C303" s="3">
        <f t="shared" si="1"/>
        <v>7.4561781781354751E-3</v>
      </c>
    </row>
    <row r="304" spans="1:3" ht="13.2" x14ac:dyDescent="0.25">
      <c r="A304" s="6">
        <v>302</v>
      </c>
      <c r="B304" s="7">
        <v>92.610000610351506</v>
      </c>
      <c r="C304" s="3">
        <f t="shared" si="1"/>
        <v>1.162108854584829E-2</v>
      </c>
    </row>
    <row r="305" spans="1:3" ht="13.2" x14ac:dyDescent="0.25">
      <c r="A305" s="6">
        <v>303</v>
      </c>
      <c r="B305" s="7">
        <v>97.230003356933594</v>
      </c>
      <c r="C305" s="3">
        <f t="shared" si="1"/>
        <v>4.8682206574528014E-2</v>
      </c>
    </row>
    <row r="306" spans="1:3" ht="13.2" x14ac:dyDescent="0.25">
      <c r="A306" s="6">
        <v>304</v>
      </c>
      <c r="B306" s="7">
        <v>93.260002136230398</v>
      </c>
      <c r="C306" s="3">
        <f t="shared" si="1"/>
        <v>-4.1688026060907796E-2</v>
      </c>
    </row>
    <row r="307" spans="1:3" ht="13.2" x14ac:dyDescent="0.25">
      <c r="A307" s="6">
        <v>305</v>
      </c>
      <c r="B307" s="7">
        <v>92.489997863769503</v>
      </c>
      <c r="C307" s="3">
        <f t="shared" si="1"/>
        <v>-8.2908068170674115E-3</v>
      </c>
    </row>
    <row r="308" spans="1:3" ht="13.2" x14ac:dyDescent="0.25">
      <c r="A308" s="6">
        <v>306</v>
      </c>
      <c r="B308" s="7">
        <v>91.019996643066406</v>
      </c>
      <c r="C308" s="3">
        <f t="shared" si="1"/>
        <v>-1.6021281762066915E-2</v>
      </c>
    </row>
    <row r="309" spans="1:3" ht="13.2" x14ac:dyDescent="0.25">
      <c r="A309" s="6">
        <v>307</v>
      </c>
      <c r="B309" s="7">
        <v>91.010002136230398</v>
      </c>
      <c r="C309" s="3">
        <f t="shared" si="1"/>
        <v>-1.0981164547689072E-4</v>
      </c>
    </row>
    <row r="310" spans="1:3" ht="13.2" x14ac:dyDescent="0.25">
      <c r="A310" s="6">
        <v>308</v>
      </c>
      <c r="B310" s="7">
        <v>88.199996948242102</v>
      </c>
      <c r="C310" s="3">
        <f t="shared" si="1"/>
        <v>-3.1362485649428645E-2</v>
      </c>
    </row>
    <row r="311" spans="1:3" ht="13.2" x14ac:dyDescent="0.25">
      <c r="A311" s="6">
        <v>309</v>
      </c>
      <c r="B311" s="7">
        <v>91.389999389648395</v>
      </c>
      <c r="C311" s="3">
        <f t="shared" si="1"/>
        <v>3.552912819325682E-2</v>
      </c>
    </row>
    <row r="312" spans="1:3" ht="13.2" x14ac:dyDescent="0.25">
      <c r="A312" s="6">
        <v>310</v>
      </c>
      <c r="B312" s="7">
        <v>89.129997253417898</v>
      </c>
      <c r="C312" s="3">
        <f t="shared" si="1"/>
        <v>-2.5040109278408322E-2</v>
      </c>
    </row>
    <row r="313" spans="1:3" ht="13.2" x14ac:dyDescent="0.25">
      <c r="A313" s="6">
        <v>311</v>
      </c>
      <c r="B313" s="7">
        <v>89.599998474121094</v>
      </c>
      <c r="C313" s="3">
        <f t="shared" si="1"/>
        <v>5.259355623822422E-3</v>
      </c>
    </row>
    <row r="314" spans="1:3" ht="13.2" x14ac:dyDescent="0.25">
      <c r="A314" s="6">
        <v>312</v>
      </c>
      <c r="B314" s="7">
        <v>90.290000915527301</v>
      </c>
      <c r="C314" s="3">
        <f t="shared" si="1"/>
        <v>7.6714195082542387E-3</v>
      </c>
    </row>
    <row r="315" spans="1:3" ht="13.2" x14ac:dyDescent="0.25">
      <c r="A315" s="6">
        <v>313</v>
      </c>
      <c r="B315" s="7">
        <v>90.209999084472599</v>
      </c>
      <c r="C315" s="3">
        <f t="shared" si="1"/>
        <v>-8.8644693953921297E-4</v>
      </c>
    </row>
    <row r="316" spans="1:3" ht="13.2" x14ac:dyDescent="0.25">
      <c r="A316" s="6">
        <v>314</v>
      </c>
      <c r="B316" s="7">
        <v>92.269996643066406</v>
      </c>
      <c r="C316" s="3">
        <f t="shared" si="1"/>
        <v>2.2578749689126144E-2</v>
      </c>
    </row>
    <row r="317" spans="1:3" ht="13.2" x14ac:dyDescent="0.25">
      <c r="A317" s="6">
        <v>315</v>
      </c>
      <c r="B317" s="7">
        <v>90.860000610351506</v>
      </c>
      <c r="C317" s="3">
        <f t="shared" si="1"/>
        <v>-1.5399158160076103E-2</v>
      </c>
    </row>
    <row r="318" spans="1:3" ht="13.2" x14ac:dyDescent="0.25">
      <c r="A318" s="6">
        <v>316</v>
      </c>
      <c r="B318" s="7">
        <v>90.75</v>
      </c>
      <c r="C318" s="3">
        <f t="shared" si="1"/>
        <v>-1.2113939037910748E-3</v>
      </c>
    </row>
    <row r="319" spans="1:3" ht="13.2" x14ac:dyDescent="0.25">
      <c r="A319" s="6">
        <v>317</v>
      </c>
      <c r="B319" s="7">
        <v>90.879997253417898</v>
      </c>
      <c r="C319" s="3">
        <f t="shared" si="1"/>
        <v>1.4314516058064758E-3</v>
      </c>
    </row>
    <row r="320" spans="1:3" ht="13.2" x14ac:dyDescent="0.25">
      <c r="A320" s="6">
        <v>318</v>
      </c>
      <c r="B320" s="7">
        <v>87.839996337890597</v>
      </c>
      <c r="C320" s="3">
        <f t="shared" si="1"/>
        <v>-3.4022988680227711E-2</v>
      </c>
    </row>
    <row r="321" spans="1:3" ht="13.2" x14ac:dyDescent="0.25">
      <c r="A321" s="6">
        <v>319</v>
      </c>
      <c r="B321" s="7">
        <v>91.440002441406193</v>
      </c>
      <c r="C321" s="3">
        <f t="shared" si="1"/>
        <v>4.0166110115558921E-2</v>
      </c>
    </row>
    <row r="322" spans="1:3" ht="13.2" x14ac:dyDescent="0.25">
      <c r="A322" s="6">
        <v>320</v>
      </c>
      <c r="B322" s="7">
        <v>91.150001525878906</v>
      </c>
      <c r="C322" s="3">
        <f t="shared" si="1"/>
        <v>-3.1765283211195945E-3</v>
      </c>
    </row>
    <row r="323" spans="1:3" ht="13.2" x14ac:dyDescent="0.25">
      <c r="A323" s="6">
        <v>321</v>
      </c>
      <c r="B323" s="7">
        <v>87.900001525878906</v>
      </c>
      <c r="C323" s="3">
        <f t="shared" si="1"/>
        <v>-3.6306695814587502E-2</v>
      </c>
    </row>
    <row r="324" spans="1:3" ht="13.2" x14ac:dyDescent="0.25">
      <c r="A324" s="6">
        <v>322</v>
      </c>
      <c r="B324" s="7">
        <v>87.470001220703097</v>
      </c>
      <c r="C324" s="3">
        <f t="shared" si="1"/>
        <v>-4.9039306629498841E-3</v>
      </c>
    </row>
    <row r="325" spans="1:3" ht="13.2" x14ac:dyDescent="0.25">
      <c r="A325" s="6">
        <v>323</v>
      </c>
      <c r="B325" s="7">
        <v>89.989997863769503</v>
      </c>
      <c r="C325" s="3">
        <f t="shared" si="1"/>
        <v>2.8402637919884136E-2</v>
      </c>
    </row>
    <row r="326" spans="1:3" ht="13.2" x14ac:dyDescent="0.25">
      <c r="A326" s="6">
        <v>324</v>
      </c>
      <c r="B326" s="7">
        <v>93.160003662109304</v>
      </c>
      <c r="C326" s="3">
        <f t="shared" si="1"/>
        <v>3.4619955018704102E-2</v>
      </c>
    </row>
    <row r="327" spans="1:3" ht="13.2" x14ac:dyDescent="0.25">
      <c r="A327" s="6">
        <v>325</v>
      </c>
      <c r="B327" s="7">
        <v>91.949996948242102</v>
      </c>
      <c r="C327" s="3">
        <f t="shared" si="1"/>
        <v>-1.3073566465018574E-2</v>
      </c>
    </row>
    <row r="328" spans="1:3" ht="13.2" x14ac:dyDescent="0.25">
      <c r="A328" s="6">
        <v>326</v>
      </c>
      <c r="B328" s="7">
        <v>89.970001220703097</v>
      </c>
      <c r="C328" s="3">
        <f t="shared" si="1"/>
        <v>-2.1768622864092726E-2</v>
      </c>
    </row>
    <row r="329" spans="1:3" ht="13.2" x14ac:dyDescent="0.25">
      <c r="A329" s="6">
        <v>327</v>
      </c>
      <c r="B329" s="7">
        <v>88.190002441406193</v>
      </c>
      <c r="C329" s="3">
        <f t="shared" si="1"/>
        <v>-1.998268941334766E-2</v>
      </c>
    </row>
    <row r="330" spans="1:3" ht="13.2" x14ac:dyDescent="0.25">
      <c r="A330" s="6">
        <v>328</v>
      </c>
      <c r="B330" s="7">
        <v>89.440002441406193</v>
      </c>
      <c r="C330" s="3">
        <f t="shared" si="1"/>
        <v>1.4074431119799403E-2</v>
      </c>
    </row>
    <row r="331" spans="1:3" ht="13.2" x14ac:dyDescent="0.25">
      <c r="A331" s="6">
        <v>329</v>
      </c>
      <c r="B331" s="7">
        <v>92.599998474121094</v>
      </c>
      <c r="C331" s="3">
        <f t="shared" si="1"/>
        <v>3.4721088470590078E-2</v>
      </c>
    </row>
    <row r="332" spans="1:3" ht="13.2" x14ac:dyDescent="0.25">
      <c r="A332" s="6">
        <v>330</v>
      </c>
      <c r="B332" s="7">
        <v>96.290000915527301</v>
      </c>
      <c r="C332" s="3">
        <f t="shared" si="1"/>
        <v>3.9075355586253559E-2</v>
      </c>
    </row>
    <row r="333" spans="1:3" ht="13.2" x14ac:dyDescent="0.25">
      <c r="A333" s="6">
        <v>331</v>
      </c>
      <c r="B333" s="7">
        <v>97.980003356933594</v>
      </c>
      <c r="C333" s="3">
        <f t="shared" si="1"/>
        <v>1.7398929711631702E-2</v>
      </c>
    </row>
    <row r="334" spans="1:3" ht="13.2" x14ac:dyDescent="0.25">
      <c r="A334" s="6">
        <v>332</v>
      </c>
      <c r="B334" s="7">
        <v>101.930000305175</v>
      </c>
      <c r="C334" s="3">
        <f t="shared" si="1"/>
        <v>3.9522895702443078E-2</v>
      </c>
    </row>
    <row r="335" spans="1:3" ht="13.2" x14ac:dyDescent="0.25">
      <c r="A335" s="6">
        <v>333</v>
      </c>
      <c r="B335" s="7">
        <v>109.970001220703</v>
      </c>
      <c r="C335" s="3">
        <f t="shared" si="1"/>
        <v>7.5921306248882436E-2</v>
      </c>
    </row>
    <row r="336" spans="1:3" ht="13.2" x14ac:dyDescent="0.25">
      <c r="A336" s="6">
        <v>334</v>
      </c>
      <c r="B336" s="7">
        <v>108.290000915527</v>
      </c>
      <c r="C336" s="3">
        <f t="shared" si="1"/>
        <v>-1.5394790328482049E-2</v>
      </c>
    </row>
    <row r="337" spans="1:3" ht="13.2" x14ac:dyDescent="0.25">
      <c r="A337" s="6">
        <v>335</v>
      </c>
      <c r="B337" s="7">
        <v>104.27999877929599</v>
      </c>
      <c r="C337" s="3">
        <f t="shared" si="1"/>
        <v>-3.7733244735409663E-2</v>
      </c>
    </row>
    <row r="338" spans="1:3" ht="13.2" x14ac:dyDescent="0.25">
      <c r="A338" s="6">
        <v>336</v>
      </c>
      <c r="B338" s="7">
        <v>99.75</v>
      </c>
      <c r="C338" s="3">
        <f t="shared" si="1"/>
        <v>-4.4412521589305712E-2</v>
      </c>
    </row>
    <row r="339" spans="1:3" ht="13.2" x14ac:dyDescent="0.25">
      <c r="A339" s="6">
        <v>337</v>
      </c>
      <c r="B339" s="7">
        <v>99.330001831054602</v>
      </c>
      <c r="C339" s="3">
        <f t="shared" si="1"/>
        <v>-4.2193971086542728E-3</v>
      </c>
    </row>
    <row r="340" spans="1:3" ht="13.2" x14ac:dyDescent="0.25">
      <c r="A340" s="6">
        <v>338</v>
      </c>
      <c r="B340" s="7">
        <v>99.389999389648395</v>
      </c>
      <c r="C340" s="3">
        <f t="shared" si="1"/>
        <v>6.0384017761956957E-4</v>
      </c>
    </row>
    <row r="341" spans="1:3" ht="13.2" x14ac:dyDescent="0.25">
      <c r="A341" s="6">
        <v>339</v>
      </c>
      <c r="B341" s="7">
        <v>105.76999664306599</v>
      </c>
      <c r="C341" s="3">
        <f t="shared" si="1"/>
        <v>6.221539476296855E-2</v>
      </c>
    </row>
    <row r="342" spans="1:3" ht="13.2" x14ac:dyDescent="0.25">
      <c r="A342" s="6">
        <v>340</v>
      </c>
      <c r="B342" s="7">
        <v>103.959999084472</v>
      </c>
      <c r="C342" s="3">
        <f t="shared" si="1"/>
        <v>-1.7260692635158153E-2</v>
      </c>
    </row>
    <row r="343" spans="1:3" ht="13.2" x14ac:dyDescent="0.25">
      <c r="A343" s="6">
        <v>341</v>
      </c>
      <c r="B343" s="7">
        <v>100.550003051757</v>
      </c>
      <c r="C343" s="3">
        <f t="shared" si="1"/>
        <v>-3.3351054397446483E-2</v>
      </c>
    </row>
    <row r="344" spans="1:3" ht="13.2" x14ac:dyDescent="0.25">
      <c r="A344" s="6">
        <v>342</v>
      </c>
      <c r="B344" s="7">
        <v>100.199996948242</v>
      </c>
      <c r="C344" s="3">
        <f t="shared" si="1"/>
        <v>-3.4869883752047673E-3</v>
      </c>
    </row>
    <row r="345" spans="1:3" ht="13.2" x14ac:dyDescent="0.25">
      <c r="A345" s="6">
        <v>343</v>
      </c>
      <c r="B345" s="7">
        <v>104.970001220703</v>
      </c>
      <c r="C345" s="3">
        <f t="shared" si="1"/>
        <v>4.6506448482674344E-2</v>
      </c>
    </row>
    <row r="346" spans="1:3" ht="13.2" x14ac:dyDescent="0.25">
      <c r="A346" s="6">
        <v>344</v>
      </c>
      <c r="B346" s="7">
        <v>105.59999847412099</v>
      </c>
      <c r="C346" s="3">
        <f t="shared" si="1"/>
        <v>5.9837501457775761E-3</v>
      </c>
    </row>
    <row r="347" spans="1:3" ht="13.2" x14ac:dyDescent="0.25">
      <c r="A347" s="6">
        <v>345</v>
      </c>
      <c r="B347" s="7">
        <v>106.01999664306599</v>
      </c>
      <c r="C347" s="3">
        <f t="shared" si="1"/>
        <v>3.9693670738956905E-3</v>
      </c>
    </row>
    <row r="348" spans="1:3" ht="13.2" x14ac:dyDescent="0.25">
      <c r="A348" s="6">
        <v>346</v>
      </c>
      <c r="B348" s="7">
        <v>106.669998168945</v>
      </c>
      <c r="C348" s="3">
        <f t="shared" si="1"/>
        <v>6.1122155753421132E-3</v>
      </c>
    </row>
    <row r="349" spans="1:3" ht="13.2" x14ac:dyDescent="0.25">
      <c r="A349" s="6">
        <v>347</v>
      </c>
      <c r="B349" s="7">
        <v>107.75</v>
      </c>
      <c r="C349" s="3">
        <f t="shared" si="1"/>
        <v>1.0073789512070159E-2</v>
      </c>
    </row>
    <row r="350" spans="1:3" ht="13.2" x14ac:dyDescent="0.25">
      <c r="A350" s="6">
        <v>348</v>
      </c>
      <c r="B350" s="7">
        <v>104.48999786376901</v>
      </c>
      <c r="C350" s="3">
        <f t="shared" si="1"/>
        <v>-3.0722376382196079E-2</v>
      </c>
    </row>
    <row r="351" spans="1:3" ht="13.2" x14ac:dyDescent="0.25">
      <c r="A351" s="6">
        <v>349</v>
      </c>
      <c r="B351" s="7">
        <v>104.26000213623</v>
      </c>
      <c r="C351" s="3">
        <f t="shared" si="1"/>
        <v>-2.203552772251973E-3</v>
      </c>
    </row>
    <row r="352" spans="1:3" ht="13.2" x14ac:dyDescent="0.25">
      <c r="A352" s="6">
        <v>350</v>
      </c>
      <c r="B352" s="7">
        <v>103.73999786376901</v>
      </c>
      <c r="C352" s="3">
        <f t="shared" si="1"/>
        <v>-5.0000514983182046E-3</v>
      </c>
    </row>
    <row r="353" spans="1:3" ht="13.2" x14ac:dyDescent="0.25">
      <c r="A353" s="6">
        <v>351</v>
      </c>
      <c r="B353" s="7">
        <v>102.129997253417</v>
      </c>
      <c r="C353" s="3">
        <f t="shared" si="1"/>
        <v>-1.564126363409258E-2</v>
      </c>
    </row>
    <row r="354" spans="1:3" ht="13.2" x14ac:dyDescent="0.25">
      <c r="A354" s="6">
        <v>352</v>
      </c>
      <c r="B354" s="7">
        <v>101.809997558593</v>
      </c>
      <c r="C354" s="3">
        <f t="shared" si="1"/>
        <v>-3.1381775579257189E-3</v>
      </c>
    </row>
    <row r="355" spans="1:3" ht="13.2" x14ac:dyDescent="0.25">
      <c r="A355" s="6">
        <v>353</v>
      </c>
      <c r="B355" s="7">
        <v>101.699996948242</v>
      </c>
      <c r="C355" s="3">
        <f t="shared" si="1"/>
        <v>-1.081034092012051E-3</v>
      </c>
    </row>
    <row r="356" spans="1:3" ht="13.2" x14ac:dyDescent="0.25">
      <c r="A356" s="6">
        <v>354</v>
      </c>
      <c r="B356" s="7">
        <v>100.01999664306599</v>
      </c>
      <c r="C356" s="3">
        <f t="shared" si="1"/>
        <v>-1.6657140618931039E-2</v>
      </c>
    </row>
    <row r="357" spans="1:3" ht="13.2" x14ac:dyDescent="0.25">
      <c r="A357" s="6">
        <v>355</v>
      </c>
      <c r="B357" s="7">
        <v>100.58000183105401</v>
      </c>
      <c r="C357" s="3">
        <f t="shared" si="1"/>
        <v>5.5833165206403464E-3</v>
      </c>
    </row>
    <row r="358" spans="1:3" ht="13.2" x14ac:dyDescent="0.25">
      <c r="A358" s="6">
        <v>356</v>
      </c>
      <c r="B358" s="7">
        <v>102.400001525878</v>
      </c>
      <c r="C358" s="3">
        <f t="shared" si="1"/>
        <v>1.793327855778978E-2</v>
      </c>
    </row>
    <row r="359" spans="1:3" ht="13.2" x14ac:dyDescent="0.25">
      <c r="A359" s="6">
        <v>357</v>
      </c>
      <c r="B359" s="7">
        <v>103.83999633789</v>
      </c>
      <c r="C359" s="3">
        <f t="shared" si="1"/>
        <v>1.3964490182366762E-2</v>
      </c>
    </row>
    <row r="360" spans="1:3" ht="13.2" x14ac:dyDescent="0.25">
      <c r="A360" s="6">
        <v>358</v>
      </c>
      <c r="B360" s="7">
        <v>103.98999786376901</v>
      </c>
      <c r="C360" s="3">
        <f t="shared" si="1"/>
        <v>1.443502440556906E-3</v>
      </c>
    </row>
    <row r="361" spans="1:3" ht="13.2" x14ac:dyDescent="0.25">
      <c r="A361" s="6">
        <v>359</v>
      </c>
      <c r="B361" s="7">
        <v>107.459999084472</v>
      </c>
      <c r="C361" s="3">
        <f t="shared" si="1"/>
        <v>3.2823956651482494E-2</v>
      </c>
    </row>
    <row r="362" spans="1:3" ht="13.2" x14ac:dyDescent="0.25">
      <c r="A362" s="6">
        <v>360</v>
      </c>
      <c r="B362" s="7">
        <v>106.66000366210901</v>
      </c>
      <c r="C362" s="3">
        <f t="shared" si="1"/>
        <v>-7.4724372740922924E-3</v>
      </c>
    </row>
    <row r="363" spans="1:3" ht="13.2" x14ac:dyDescent="0.25">
      <c r="A363" s="6">
        <v>361</v>
      </c>
      <c r="B363" s="7">
        <v>105.680000305175</v>
      </c>
      <c r="C363" s="3">
        <f t="shared" si="1"/>
        <v>-9.2305764050763829E-3</v>
      </c>
    </row>
    <row r="364" spans="1:3" ht="13.2" x14ac:dyDescent="0.25">
      <c r="A364" s="6">
        <v>362</v>
      </c>
      <c r="B364" s="7">
        <v>105.290000915527</v>
      </c>
      <c r="C364" s="3">
        <f t="shared" si="1"/>
        <v>-3.6972065378397829E-3</v>
      </c>
    </row>
    <row r="365" spans="1:3" ht="13.2" x14ac:dyDescent="0.25">
      <c r="A365" s="6">
        <v>363</v>
      </c>
      <c r="B365" s="7">
        <v>103.180000305175</v>
      </c>
      <c r="C365" s="3">
        <f t="shared" si="1"/>
        <v>-2.0243417789757995E-2</v>
      </c>
    </row>
    <row r="366" spans="1:3" ht="13.2" x14ac:dyDescent="0.25">
      <c r="A366" s="6">
        <v>364</v>
      </c>
      <c r="B366" s="7">
        <v>101.56999969482401</v>
      </c>
      <c r="C366" s="3">
        <f t="shared" si="1"/>
        <v>-1.5726825827377316E-2</v>
      </c>
    </row>
    <row r="367" spans="1:3" ht="13.2" x14ac:dyDescent="0.25">
      <c r="A367" s="6">
        <v>365</v>
      </c>
      <c r="B367" s="7">
        <v>100.980003356933</v>
      </c>
      <c r="C367" s="3">
        <f t="shared" si="1"/>
        <v>-5.8257022725095396E-3</v>
      </c>
    </row>
    <row r="368" spans="1:3" ht="13.2" x14ac:dyDescent="0.25">
      <c r="A368" s="6">
        <v>366</v>
      </c>
      <c r="B368" s="7">
        <v>101.06999969482401</v>
      </c>
      <c r="C368" s="3">
        <f t="shared" si="1"/>
        <v>8.9083239280706881E-4</v>
      </c>
    </row>
    <row r="369" spans="1:3" ht="13.2" x14ac:dyDescent="0.25">
      <c r="A369" s="6">
        <v>367</v>
      </c>
      <c r="B369" s="7">
        <v>102.139999389648</v>
      </c>
      <c r="C369" s="3">
        <f t="shared" si="1"/>
        <v>1.0531072176737247E-2</v>
      </c>
    </row>
    <row r="370" spans="1:3" ht="13.2" x14ac:dyDescent="0.25">
      <c r="A370" s="6">
        <v>368</v>
      </c>
      <c r="B370" s="7">
        <v>105.180000305175</v>
      </c>
      <c r="C370" s="3">
        <f t="shared" si="1"/>
        <v>2.9328755818796313E-2</v>
      </c>
    </row>
    <row r="371" spans="1:3" ht="13.2" x14ac:dyDescent="0.25">
      <c r="A371" s="6">
        <v>369</v>
      </c>
      <c r="B371" s="7">
        <v>103.669998168945</v>
      </c>
      <c r="C371" s="3">
        <f t="shared" si="1"/>
        <v>-1.4460411389974295E-2</v>
      </c>
    </row>
    <row r="372" spans="1:3" ht="13.2" x14ac:dyDescent="0.25">
      <c r="A372" s="6">
        <v>370</v>
      </c>
      <c r="B372" s="7">
        <v>102.379997253417</v>
      </c>
      <c r="C372" s="3">
        <f t="shared" si="1"/>
        <v>-1.2521405470580968E-2</v>
      </c>
    </row>
    <row r="373" spans="1:3" ht="13.2" x14ac:dyDescent="0.25">
      <c r="A373" s="6">
        <v>371</v>
      </c>
      <c r="B373" s="7">
        <v>102.290000915527</v>
      </c>
      <c r="C373" s="3">
        <f t="shared" si="1"/>
        <v>-8.7942878287362023E-4</v>
      </c>
    </row>
    <row r="374" spans="1:3" ht="13.2" x14ac:dyDescent="0.25">
      <c r="A374" s="6">
        <v>372</v>
      </c>
      <c r="B374" s="7">
        <v>104.34999847412099</v>
      </c>
      <c r="C374" s="3">
        <f t="shared" si="1"/>
        <v>1.9938693481283267E-2</v>
      </c>
    </row>
    <row r="375" spans="1:3" ht="13.2" x14ac:dyDescent="0.25">
      <c r="A375" s="6">
        <v>373</v>
      </c>
      <c r="B375" s="7">
        <v>102.300003051757</v>
      </c>
      <c r="C375" s="3">
        <f t="shared" si="1"/>
        <v>-1.984091611148003E-2</v>
      </c>
    </row>
    <row r="376" spans="1:3" ht="13.2" x14ac:dyDescent="0.25">
      <c r="A376" s="6">
        <v>374</v>
      </c>
      <c r="B376" s="7">
        <v>101.809997558593</v>
      </c>
      <c r="C376" s="3">
        <f t="shared" si="1"/>
        <v>-4.8013956499544496E-3</v>
      </c>
    </row>
    <row r="377" spans="1:3" ht="13.2" x14ac:dyDescent="0.25">
      <c r="A377" s="6">
        <v>375</v>
      </c>
      <c r="B377" s="7">
        <v>102.11000061035099</v>
      </c>
      <c r="C377" s="3">
        <f t="shared" si="1"/>
        <v>2.9423624057609739E-3</v>
      </c>
    </row>
    <row r="378" spans="1:3" ht="13.2" x14ac:dyDescent="0.25">
      <c r="A378" s="6">
        <v>376</v>
      </c>
      <c r="B378" s="7">
        <v>100.699996948242</v>
      </c>
      <c r="C378" s="3">
        <f t="shared" si="1"/>
        <v>-1.3904900125759399E-2</v>
      </c>
    </row>
    <row r="379" spans="1:3" ht="13.2" x14ac:dyDescent="0.25">
      <c r="A379" s="6">
        <v>377</v>
      </c>
      <c r="B379" s="7">
        <v>97.550003051757798</v>
      </c>
      <c r="C379" s="3">
        <f t="shared" si="1"/>
        <v>-3.1780671065917691E-2</v>
      </c>
    </row>
    <row r="380" spans="1:3" ht="13.2" x14ac:dyDescent="0.25">
      <c r="A380" s="6">
        <v>378</v>
      </c>
      <c r="B380" s="7">
        <v>94.769996643066406</v>
      </c>
      <c r="C380" s="3">
        <f t="shared" si="1"/>
        <v>-2.8912230292955088E-2</v>
      </c>
    </row>
    <row r="381" spans="1:3" ht="13.2" x14ac:dyDescent="0.25">
      <c r="A381" s="6">
        <v>379</v>
      </c>
      <c r="B381" s="7">
        <v>91.569999694824205</v>
      </c>
      <c r="C381" s="3">
        <f t="shared" si="1"/>
        <v>-3.4349164273265738E-2</v>
      </c>
    </row>
    <row r="382" spans="1:3" ht="13.2" x14ac:dyDescent="0.25">
      <c r="A382" s="6">
        <v>380</v>
      </c>
      <c r="B382" s="7">
        <v>90.930000305175696</v>
      </c>
      <c r="C382" s="3">
        <f t="shared" si="1"/>
        <v>-7.0137206929535966E-3</v>
      </c>
    </row>
    <row r="383" spans="1:3" ht="13.2" x14ac:dyDescent="0.25">
      <c r="A383" s="6">
        <v>381</v>
      </c>
      <c r="B383" s="7">
        <v>89.75</v>
      </c>
      <c r="C383" s="3">
        <f t="shared" si="1"/>
        <v>-1.3061955725593904E-2</v>
      </c>
    </row>
    <row r="384" spans="1:3" ht="13.2" x14ac:dyDescent="0.25">
      <c r="A384" s="6">
        <v>382</v>
      </c>
      <c r="B384" s="7">
        <v>93.519996643066406</v>
      </c>
      <c r="C384" s="3">
        <f t="shared" si="1"/>
        <v>4.1147253900069222E-2</v>
      </c>
    </row>
    <row r="385" spans="1:3" ht="13.2" x14ac:dyDescent="0.25">
      <c r="A385" s="6">
        <v>383</v>
      </c>
      <c r="B385" s="7">
        <v>96.620002746582003</v>
      </c>
      <c r="C385" s="3">
        <f t="shared" si="1"/>
        <v>3.2610506284443341E-2</v>
      </c>
    </row>
    <row r="386" spans="1:3" ht="13.2" x14ac:dyDescent="0.25">
      <c r="A386" s="6">
        <v>384</v>
      </c>
      <c r="B386" s="7">
        <v>100.209999084472</v>
      </c>
      <c r="C386" s="3">
        <f t="shared" si="1"/>
        <v>3.6482187381242502E-2</v>
      </c>
    </row>
    <row r="387" spans="1:3" ht="13.2" x14ac:dyDescent="0.25">
      <c r="A387" s="6">
        <v>385</v>
      </c>
      <c r="B387" s="7">
        <v>108.930000305175</v>
      </c>
      <c r="C387" s="3">
        <f t="shared" si="1"/>
        <v>8.3437501961780638E-2</v>
      </c>
    </row>
    <row r="388" spans="1:3" ht="13.2" x14ac:dyDescent="0.25">
      <c r="A388" s="6">
        <v>386</v>
      </c>
      <c r="B388" s="7">
        <v>109.800003051757</v>
      </c>
      <c r="C388" s="3">
        <f t="shared" si="1"/>
        <v>7.9550799732855358E-3</v>
      </c>
    </row>
    <row r="389" spans="1:3" ht="13.2" x14ac:dyDescent="0.25">
      <c r="A389" s="6">
        <v>387</v>
      </c>
      <c r="B389" s="7">
        <v>104.56999969482401</v>
      </c>
      <c r="C389" s="3">
        <f t="shared" si="1"/>
        <v>-4.8803856177101618E-2</v>
      </c>
    </row>
    <row r="390" spans="1:3" ht="13.2" x14ac:dyDescent="0.25">
      <c r="A390" s="6">
        <v>388</v>
      </c>
      <c r="B390" s="7">
        <v>103.61000061035099</v>
      </c>
      <c r="C390" s="3">
        <f t="shared" si="1"/>
        <v>-9.2228445375971656E-3</v>
      </c>
    </row>
    <row r="391" spans="1:3" ht="13.2" x14ac:dyDescent="0.25">
      <c r="A391" s="6">
        <v>389</v>
      </c>
      <c r="B391" s="7">
        <v>100.58000183105401</v>
      </c>
      <c r="C391" s="3">
        <f t="shared" si="1"/>
        <v>-2.9680407205740729E-2</v>
      </c>
    </row>
    <row r="392" spans="1:3" ht="13.2" x14ac:dyDescent="0.25">
      <c r="A392" s="6">
        <v>390</v>
      </c>
      <c r="B392" s="7">
        <v>100.33000183105401</v>
      </c>
      <c r="C392" s="3">
        <f t="shared" si="1"/>
        <v>-2.4886777609346407E-3</v>
      </c>
    </row>
    <row r="393" spans="1:3" ht="13.2" x14ac:dyDescent="0.25">
      <c r="A393" s="6">
        <v>391</v>
      </c>
      <c r="B393" s="7">
        <v>101.540000915527</v>
      </c>
      <c r="C393" s="3">
        <f t="shared" si="1"/>
        <v>1.1988047347830086E-2</v>
      </c>
    </row>
    <row r="394" spans="1:3" ht="13.2" x14ac:dyDescent="0.25">
      <c r="A394" s="6">
        <v>392</v>
      </c>
      <c r="B394" s="7">
        <v>97.949996948242102</v>
      </c>
      <c r="C394" s="3">
        <f t="shared" si="1"/>
        <v>-3.5995705301398936E-2</v>
      </c>
    </row>
    <row r="395" spans="1:3" ht="13.2" x14ac:dyDescent="0.25">
      <c r="A395" s="6">
        <v>393</v>
      </c>
      <c r="B395" s="7">
        <v>94.790000915527301</v>
      </c>
      <c r="C395" s="3">
        <f t="shared" si="1"/>
        <v>-3.2793185110836488E-2</v>
      </c>
    </row>
    <row r="396" spans="1:3" ht="13.2" x14ac:dyDescent="0.25">
      <c r="A396" s="6">
        <v>394</v>
      </c>
      <c r="B396" s="7">
        <v>95.779998779296804</v>
      </c>
      <c r="C396" s="3">
        <f t="shared" si="1"/>
        <v>1.0389954046167939E-2</v>
      </c>
    </row>
    <row r="397" spans="1:3" ht="13.2" x14ac:dyDescent="0.25">
      <c r="A397" s="6">
        <v>395</v>
      </c>
      <c r="B397" s="7">
        <v>94.050003051757798</v>
      </c>
      <c r="C397" s="3">
        <f t="shared" si="1"/>
        <v>-1.8227293974310246E-2</v>
      </c>
    </row>
    <row r="398" spans="1:3" ht="13.2" x14ac:dyDescent="0.25">
      <c r="A398" s="6">
        <v>396</v>
      </c>
      <c r="B398" s="7">
        <v>91</v>
      </c>
      <c r="C398" s="3">
        <f t="shared" si="1"/>
        <v>-3.2967081678437656E-2</v>
      </c>
    </row>
    <row r="399" spans="1:3" ht="13.2" x14ac:dyDescent="0.25">
      <c r="A399" s="6">
        <v>397</v>
      </c>
      <c r="B399" s="7">
        <v>91.650001525878906</v>
      </c>
      <c r="C399" s="3">
        <f t="shared" si="1"/>
        <v>7.1174844178427173E-3</v>
      </c>
    </row>
    <row r="400" spans="1:3" ht="13.2" x14ac:dyDescent="0.25">
      <c r="A400" s="6">
        <v>398</v>
      </c>
      <c r="B400" s="7">
        <v>92.849998474121094</v>
      </c>
      <c r="C400" s="3">
        <f t="shared" si="1"/>
        <v>1.3008280430215773E-2</v>
      </c>
    </row>
    <row r="401" spans="1:3" ht="13.2" x14ac:dyDescent="0.25">
      <c r="A401" s="6">
        <v>399</v>
      </c>
      <c r="B401" s="7">
        <v>95.589996337890597</v>
      </c>
      <c r="C401" s="3">
        <f t="shared" si="1"/>
        <v>2.9082902400170939E-2</v>
      </c>
    </row>
    <row r="402" spans="1:3" ht="13.2" x14ac:dyDescent="0.25">
      <c r="A402" s="6">
        <v>400</v>
      </c>
      <c r="B402" s="7">
        <v>97.139999389648395</v>
      </c>
      <c r="C402" s="3">
        <f t="shared" si="1"/>
        <v>1.6085056869303366E-2</v>
      </c>
    </row>
    <row r="403" spans="1:3" ht="13.2" x14ac:dyDescent="0.25">
      <c r="A403" s="6">
        <v>401</v>
      </c>
      <c r="B403" s="7">
        <v>96.860000610351506</v>
      </c>
      <c r="C403" s="3">
        <f t="shared" si="1"/>
        <v>-2.8865873579213765E-3</v>
      </c>
    </row>
    <row r="404" spans="1:3" ht="13.2" x14ac:dyDescent="0.25">
      <c r="A404" s="6">
        <v>402</v>
      </c>
      <c r="B404" s="7">
        <v>98.010002136230398</v>
      </c>
      <c r="C404" s="3">
        <f t="shared" si="1"/>
        <v>1.1802892800672173E-2</v>
      </c>
    </row>
    <row r="405" spans="1:3" ht="13.2" x14ac:dyDescent="0.25">
      <c r="A405" s="6">
        <v>403</v>
      </c>
      <c r="B405" s="7">
        <v>97.680000305175696</v>
      </c>
      <c r="C405" s="3">
        <f t="shared" si="1"/>
        <v>-3.3727031504449385E-3</v>
      </c>
    </row>
    <row r="406" spans="1:3" ht="13.2" x14ac:dyDescent="0.25">
      <c r="A406" s="6">
        <v>404</v>
      </c>
      <c r="B406" s="7">
        <v>99.690002441406193</v>
      </c>
      <c r="C406" s="3">
        <f t="shared" si="1"/>
        <v>2.0368562597904642E-2</v>
      </c>
    </row>
    <row r="407" spans="1:3" ht="13.2" x14ac:dyDescent="0.25">
      <c r="A407" s="6">
        <v>405</v>
      </c>
      <c r="B407" s="7">
        <v>92.879997253417898</v>
      </c>
      <c r="C407" s="3">
        <f t="shared" si="1"/>
        <v>-7.0757087706254898E-2</v>
      </c>
    </row>
    <row r="408" spans="1:3" ht="13.2" x14ac:dyDescent="0.25">
      <c r="A408" s="6">
        <v>406</v>
      </c>
      <c r="B408" s="7">
        <v>90.940002441406193</v>
      </c>
      <c r="C408" s="3">
        <f t="shared" si="1"/>
        <v>-2.1108332575133743E-2</v>
      </c>
    </row>
    <row r="409" spans="1:3" ht="13.2" x14ac:dyDescent="0.25">
      <c r="A409" s="6">
        <v>407</v>
      </c>
      <c r="B409" s="7">
        <v>92.169998168945298</v>
      </c>
      <c r="C409" s="3">
        <f t="shared" si="1"/>
        <v>1.3434702896308675E-2</v>
      </c>
    </row>
    <row r="410" spans="1:3" ht="13.2" x14ac:dyDescent="0.25">
      <c r="A410" s="6">
        <v>408</v>
      </c>
      <c r="B410" s="7">
        <v>91.660003662109304</v>
      </c>
      <c r="C410" s="3">
        <f t="shared" si="1"/>
        <v>-5.5485591053469905E-3</v>
      </c>
    </row>
    <row r="411" spans="1:3" ht="13.2" x14ac:dyDescent="0.25">
      <c r="A411" s="6">
        <v>409</v>
      </c>
      <c r="B411" s="7">
        <v>93.349998474121094</v>
      </c>
      <c r="C411" s="3">
        <f t="shared" si="1"/>
        <v>1.8269734607781567E-2</v>
      </c>
    </row>
    <row r="412" spans="1:3" ht="13.2" x14ac:dyDescent="0.25">
      <c r="A412" s="6">
        <v>410</v>
      </c>
      <c r="B412" s="7">
        <v>92.930000305175696</v>
      </c>
      <c r="C412" s="3">
        <f t="shared" si="1"/>
        <v>-4.5093287887689442E-3</v>
      </c>
    </row>
    <row r="413" spans="1:3" ht="13.2" x14ac:dyDescent="0.25">
      <c r="A413" s="6">
        <v>411</v>
      </c>
      <c r="B413" s="7">
        <v>91.410003662109304</v>
      </c>
      <c r="C413" s="3">
        <f t="shared" si="1"/>
        <v>-1.6491603124994102E-2</v>
      </c>
    </row>
    <row r="414" spans="1:3" ht="13.2" x14ac:dyDescent="0.25">
      <c r="A414" s="6">
        <v>412</v>
      </c>
      <c r="B414" s="7">
        <v>88.339996337890597</v>
      </c>
      <c r="C414" s="3">
        <f t="shared" si="1"/>
        <v>-3.4161957014518872E-2</v>
      </c>
    </row>
    <row r="415" spans="1:3" ht="13.2" x14ac:dyDescent="0.25">
      <c r="A415" s="6">
        <v>413</v>
      </c>
      <c r="B415" s="7">
        <v>86.639999389648395</v>
      </c>
      <c r="C415" s="3">
        <f t="shared" si="1"/>
        <v>-1.943136906561688E-2</v>
      </c>
    </row>
    <row r="416" spans="1:3" ht="13.2" x14ac:dyDescent="0.25">
      <c r="A416" s="6">
        <v>414</v>
      </c>
      <c r="B416" s="7">
        <v>89.849998474121094</v>
      </c>
      <c r="C416" s="3">
        <f t="shared" si="1"/>
        <v>3.6380000599004515E-2</v>
      </c>
    </row>
    <row r="417" spans="1:3" ht="13.2" x14ac:dyDescent="0.25">
      <c r="A417" s="6">
        <v>415</v>
      </c>
      <c r="B417" s="7">
        <v>87.949996948242102</v>
      </c>
      <c r="C417" s="3">
        <f t="shared" si="1"/>
        <v>-2.1373159762269275E-2</v>
      </c>
    </row>
    <row r="418" spans="1:3" ht="13.2" x14ac:dyDescent="0.25">
      <c r="A418" s="6">
        <v>416</v>
      </c>
      <c r="B418" s="7">
        <v>90.919998168945298</v>
      </c>
      <c r="C418" s="3">
        <f t="shared" si="1"/>
        <v>3.3211542360372978E-2</v>
      </c>
    </row>
    <row r="419" spans="1:3" ht="13.2" x14ac:dyDescent="0.25">
      <c r="A419" s="6">
        <v>417</v>
      </c>
      <c r="B419" s="7">
        <v>91.680000305175696</v>
      </c>
      <c r="C419" s="3">
        <f t="shared" si="1"/>
        <v>8.3242774499775098E-3</v>
      </c>
    </row>
    <row r="420" spans="1:3" ht="13.2" x14ac:dyDescent="0.25">
      <c r="A420" s="6">
        <v>418</v>
      </c>
      <c r="B420" s="7">
        <v>91.870002746582003</v>
      </c>
      <c r="C420" s="3">
        <f t="shared" si="1"/>
        <v>2.0703078846371096E-3</v>
      </c>
    </row>
    <row r="421" spans="1:3" ht="13.2" x14ac:dyDescent="0.25">
      <c r="A421" s="6">
        <v>419</v>
      </c>
      <c r="B421" s="7">
        <v>92.040000915527301</v>
      </c>
      <c r="C421" s="3">
        <f t="shared" si="1"/>
        <v>1.8487109344521382E-3</v>
      </c>
    </row>
    <row r="422" spans="1:3" ht="13.2" x14ac:dyDescent="0.25">
      <c r="A422" s="6">
        <v>420</v>
      </c>
      <c r="B422" s="7">
        <v>92.309997558593693</v>
      </c>
      <c r="C422" s="3">
        <f t="shared" si="1"/>
        <v>2.9291764399286321E-3</v>
      </c>
    </row>
    <row r="423" spans="1:3" ht="13.2" x14ac:dyDescent="0.25">
      <c r="A423" s="6">
        <v>421</v>
      </c>
      <c r="B423" s="7">
        <v>93.839996337890597</v>
      </c>
      <c r="C423" s="3">
        <f t="shared" si="1"/>
        <v>1.6438713766030427E-2</v>
      </c>
    </row>
    <row r="424" spans="1:3" ht="13.2" x14ac:dyDescent="0.25">
      <c r="A424" s="6">
        <v>422</v>
      </c>
      <c r="B424" s="7">
        <v>93.760002136230398</v>
      </c>
      <c r="C424" s="3">
        <f t="shared" si="1"/>
        <v>-8.5281670745348127E-4</v>
      </c>
    </row>
    <row r="425" spans="1:3" ht="13.2" x14ac:dyDescent="0.25">
      <c r="A425" s="6">
        <v>423</v>
      </c>
      <c r="B425" s="7">
        <v>93.949996948242102</v>
      </c>
      <c r="C425" s="3">
        <f t="shared" si="1"/>
        <v>2.0243447639566739E-3</v>
      </c>
    </row>
    <row r="426" spans="1:3" ht="13.2" x14ac:dyDescent="0.25">
      <c r="A426" s="6">
        <v>424</v>
      </c>
      <c r="B426" s="7">
        <v>94.800003051757798</v>
      </c>
      <c r="C426" s="3">
        <f t="shared" si="1"/>
        <v>9.0067480758273498E-3</v>
      </c>
    </row>
    <row r="427" spans="1:3" ht="13.2" x14ac:dyDescent="0.25">
      <c r="A427" s="6">
        <v>425</v>
      </c>
      <c r="B427" s="7">
        <v>95.080001831054602</v>
      </c>
      <c r="C427" s="3">
        <f t="shared" si="1"/>
        <v>2.9492202975211711E-3</v>
      </c>
    </row>
    <row r="428" spans="1:3" ht="13.2" x14ac:dyDescent="0.25">
      <c r="A428" s="6">
        <v>426</v>
      </c>
      <c r="B428" s="7">
        <v>93.849998474121094</v>
      </c>
      <c r="C428" s="3">
        <f t="shared" si="1"/>
        <v>-1.3020914976216021E-2</v>
      </c>
    </row>
    <row r="429" spans="1:3" ht="13.2" x14ac:dyDescent="0.25">
      <c r="A429" s="6">
        <v>427</v>
      </c>
      <c r="B429" s="7">
        <v>93.730003356933594</v>
      </c>
      <c r="C429" s="3">
        <f t="shared" si="1"/>
        <v>-1.2794022004926893E-3</v>
      </c>
    </row>
    <row r="430" spans="1:3" ht="13.2" x14ac:dyDescent="0.25">
      <c r="A430" s="6">
        <v>428</v>
      </c>
      <c r="B430" s="7">
        <v>92.209999084472599</v>
      </c>
      <c r="C430" s="3">
        <f t="shared" si="1"/>
        <v>-1.6349769950997618E-2</v>
      </c>
    </row>
    <row r="431" spans="1:3" ht="13.2" x14ac:dyDescent="0.25">
      <c r="A431" s="6">
        <v>429</v>
      </c>
      <c r="B431" s="7">
        <v>91.730003356933594</v>
      </c>
      <c r="C431" s="3">
        <f t="shared" si="1"/>
        <v>-5.2190585049554806E-3</v>
      </c>
    </row>
    <row r="432" spans="1:3" ht="13.2" x14ac:dyDescent="0.25">
      <c r="A432" s="6">
        <v>430</v>
      </c>
      <c r="B432" s="7">
        <v>91.639999389648395</v>
      </c>
      <c r="C432" s="3">
        <f t="shared" si="1"/>
        <v>-9.8166519239682292E-4</v>
      </c>
    </row>
    <row r="433" spans="1:3" ht="13.2" x14ac:dyDescent="0.25">
      <c r="A433" s="6">
        <v>431</v>
      </c>
      <c r="B433" s="7">
        <v>90.589996337890597</v>
      </c>
      <c r="C433" s="3">
        <f t="shared" si="1"/>
        <v>-1.1524059668875935E-2</v>
      </c>
    </row>
    <row r="434" spans="1:3" ht="13.2" x14ac:dyDescent="0.25">
      <c r="A434" s="6">
        <v>432</v>
      </c>
      <c r="B434" s="7">
        <v>88.489997863769503</v>
      </c>
      <c r="C434" s="3">
        <f t="shared" si="1"/>
        <v>-2.3454264117767014E-2</v>
      </c>
    </row>
    <row r="435" spans="1:3" ht="13.2" x14ac:dyDescent="0.25">
      <c r="A435" s="6">
        <v>433</v>
      </c>
      <c r="B435" s="7">
        <v>94.809997558593693</v>
      </c>
      <c r="C435" s="3">
        <f t="shared" si="1"/>
        <v>6.8985336041019696E-2</v>
      </c>
    </row>
    <row r="436" spans="1:3" ht="13.2" x14ac:dyDescent="0.25">
      <c r="A436" s="6">
        <v>434</v>
      </c>
      <c r="B436" s="7">
        <v>92.660003662109304</v>
      </c>
      <c r="C436" s="3">
        <f t="shared" si="1"/>
        <v>-2.2937943668842636E-2</v>
      </c>
    </row>
    <row r="437" spans="1:3" ht="13.2" x14ac:dyDescent="0.25">
      <c r="A437" s="6">
        <v>435</v>
      </c>
      <c r="B437" s="7">
        <v>90.5</v>
      </c>
      <c r="C437" s="3">
        <f t="shared" si="1"/>
        <v>-2.3587068804629525E-2</v>
      </c>
    </row>
    <row r="438" spans="1:3" ht="13.2" x14ac:dyDescent="0.25">
      <c r="A438" s="6">
        <v>436</v>
      </c>
      <c r="B438" s="7">
        <v>90.419998168945298</v>
      </c>
      <c r="C438" s="3">
        <f t="shared" si="1"/>
        <v>-8.8438908997127183E-4</v>
      </c>
    </row>
    <row r="439" spans="1:3" ht="13.2" x14ac:dyDescent="0.25">
      <c r="A439" s="6">
        <v>437</v>
      </c>
      <c r="B439" s="7">
        <v>92.739997863769503</v>
      </c>
      <c r="C439" s="3">
        <f t="shared" si="1"/>
        <v>2.533439431278699E-2</v>
      </c>
    </row>
    <row r="440" spans="1:3" ht="13.2" x14ac:dyDescent="0.25">
      <c r="A440" s="6">
        <v>438</v>
      </c>
      <c r="B440" s="7">
        <v>94.209999084472599</v>
      </c>
      <c r="C440" s="3">
        <f t="shared" si="1"/>
        <v>1.5726467413937222E-2</v>
      </c>
    </row>
    <row r="441" spans="1:3" ht="13.2" x14ac:dyDescent="0.25">
      <c r="A441" s="6">
        <v>439</v>
      </c>
      <c r="B441" s="7">
        <v>94.870002746582003</v>
      </c>
      <c r="C441" s="3">
        <f t="shared" si="1"/>
        <v>6.9812390131582984E-3</v>
      </c>
    </row>
    <row r="442" spans="1:3" ht="13.2" x14ac:dyDescent="0.25">
      <c r="A442" s="6">
        <v>440</v>
      </c>
      <c r="B442" s="7">
        <v>96.839996337890597</v>
      </c>
      <c r="C442" s="3">
        <f t="shared" si="1"/>
        <v>2.0552531897983138E-2</v>
      </c>
    </row>
    <row r="443" spans="1:3" ht="13.2" x14ac:dyDescent="0.25">
      <c r="A443" s="6">
        <v>441</v>
      </c>
      <c r="B443" s="7">
        <v>98.370002746582003</v>
      </c>
      <c r="C443" s="3">
        <f t="shared" si="1"/>
        <v>1.5675813191822648E-2</v>
      </c>
    </row>
    <row r="444" spans="1:3" ht="13.2" x14ac:dyDescent="0.25">
      <c r="A444" s="6">
        <v>442</v>
      </c>
      <c r="B444" s="7">
        <v>96.360000610351506</v>
      </c>
      <c r="C444" s="3">
        <f t="shared" si="1"/>
        <v>-2.0644723364851392E-2</v>
      </c>
    </row>
    <row r="445" spans="1:3" ht="13.2" x14ac:dyDescent="0.25">
      <c r="A445" s="6">
        <v>443</v>
      </c>
      <c r="B445" s="7">
        <v>97.050003051757798</v>
      </c>
      <c r="C445" s="3">
        <f t="shared" si="1"/>
        <v>7.135156979484478E-3</v>
      </c>
    </row>
    <row r="446" spans="1:3" ht="13.2" x14ac:dyDescent="0.25">
      <c r="A446" s="6">
        <v>444</v>
      </c>
      <c r="B446" s="7">
        <v>91.209999084472599</v>
      </c>
      <c r="C446" s="3">
        <f t="shared" si="1"/>
        <v>-6.2061810905740478E-2</v>
      </c>
    </row>
    <row r="447" spans="1:3" ht="13.2" x14ac:dyDescent="0.25">
      <c r="A447" s="6">
        <v>445</v>
      </c>
      <c r="B447" s="7">
        <v>91.260002136230398</v>
      </c>
      <c r="C447" s="3">
        <f t="shared" si="1"/>
        <v>5.4806875294502292E-4</v>
      </c>
    </row>
    <row r="448" spans="1:3" ht="13.2" x14ac:dyDescent="0.25">
      <c r="A448" s="6">
        <v>446</v>
      </c>
      <c r="B448" s="7">
        <v>93.099998474121094</v>
      </c>
      <c r="C448" s="3">
        <f t="shared" si="1"/>
        <v>1.9961568985909468E-2</v>
      </c>
    </row>
    <row r="449" spans="1:3" ht="13.2" x14ac:dyDescent="0.25">
      <c r="A449" s="6">
        <v>447</v>
      </c>
      <c r="B449" s="7">
        <v>94.279998779296804</v>
      </c>
      <c r="C449" s="3">
        <f t="shared" si="1"/>
        <v>1.2594897226949061E-2</v>
      </c>
    </row>
    <row r="450" spans="1:3" ht="13.2" x14ac:dyDescent="0.25">
      <c r="A450" s="6">
        <v>448</v>
      </c>
      <c r="B450" s="7">
        <v>95.029998779296804</v>
      </c>
      <c r="C450" s="3">
        <f t="shared" si="1"/>
        <v>7.9235532574793432E-3</v>
      </c>
    </row>
    <row r="451" spans="1:3" ht="13.2" x14ac:dyDescent="0.25">
      <c r="A451" s="6">
        <v>449</v>
      </c>
      <c r="B451" s="7">
        <v>94.800003051757798</v>
      </c>
      <c r="C451" s="3">
        <f t="shared" si="1"/>
        <v>-2.4231769252594016E-3</v>
      </c>
    </row>
    <row r="452" spans="1:3" ht="13.2" x14ac:dyDescent="0.25">
      <c r="A452" s="6">
        <v>450</v>
      </c>
      <c r="B452" s="7">
        <v>93.75</v>
      </c>
      <c r="C452" s="3">
        <f t="shared" si="1"/>
        <v>-1.1137776601993315E-2</v>
      </c>
    </row>
    <row r="453" spans="1:3" ht="13.2" x14ac:dyDescent="0.25">
      <c r="A453" s="6">
        <v>451</v>
      </c>
      <c r="B453" s="7">
        <v>93.800003051757798</v>
      </c>
      <c r="C453" s="3">
        <f t="shared" si="1"/>
        <v>5.3322369638960027E-4</v>
      </c>
    </row>
    <row r="454" spans="1:3" ht="13.2" x14ac:dyDescent="0.25">
      <c r="A454" s="6">
        <v>452</v>
      </c>
      <c r="B454" s="7">
        <v>95.569999694824205</v>
      </c>
      <c r="C454" s="3">
        <f t="shared" si="1"/>
        <v>1.8694071537960995E-2</v>
      </c>
    </row>
    <row r="455" spans="1:3" ht="13.2" x14ac:dyDescent="0.25">
      <c r="A455" s="6">
        <v>453</v>
      </c>
      <c r="B455" s="7">
        <v>92.5</v>
      </c>
      <c r="C455" s="3">
        <f t="shared" si="1"/>
        <v>-3.2650315566491291E-2</v>
      </c>
    </row>
    <row r="456" spans="1:3" ht="13.2" x14ac:dyDescent="0.25">
      <c r="A456" s="6">
        <v>454</v>
      </c>
      <c r="B456" s="7">
        <v>93.239997863769503</v>
      </c>
      <c r="C456" s="3">
        <f t="shared" si="1"/>
        <v>7.9681467380816398E-3</v>
      </c>
    </row>
    <row r="457" spans="1:3" ht="13.2" x14ac:dyDescent="0.25">
      <c r="A457" s="6">
        <v>455</v>
      </c>
      <c r="B457" s="7">
        <v>92.129997253417898</v>
      </c>
      <c r="C457" s="3">
        <f t="shared" si="1"/>
        <v>-1.1976197947648511E-2</v>
      </c>
    </row>
    <row r="458" spans="1:3" ht="13.2" x14ac:dyDescent="0.25">
      <c r="A458" s="6">
        <v>456</v>
      </c>
      <c r="B458" s="7">
        <v>90.580001831054602</v>
      </c>
      <c r="C458" s="3">
        <f t="shared" si="1"/>
        <v>-1.6967134965966899E-2</v>
      </c>
    </row>
    <row r="459" spans="1:3" ht="13.2" x14ac:dyDescent="0.25">
      <c r="A459" s="6">
        <v>457</v>
      </c>
      <c r="B459" s="7">
        <v>90.970001220703097</v>
      </c>
      <c r="C459" s="3">
        <f t="shared" si="1"/>
        <v>4.2963369098682194E-3</v>
      </c>
    </row>
    <row r="460" spans="1:3" ht="13.2" x14ac:dyDescent="0.25">
      <c r="A460" s="6">
        <v>458</v>
      </c>
      <c r="B460" s="7">
        <v>86.410003662109304</v>
      </c>
      <c r="C460" s="3">
        <f t="shared" si="1"/>
        <v>-5.1426343018787651E-2</v>
      </c>
    </row>
    <row r="461" spans="1:3" ht="13.2" x14ac:dyDescent="0.25">
      <c r="A461" s="6">
        <v>459</v>
      </c>
      <c r="B461" s="7">
        <v>87.709999084472599</v>
      </c>
      <c r="C461" s="3">
        <f t="shared" si="1"/>
        <v>1.4932455291245249E-2</v>
      </c>
    </row>
    <row r="462" spans="1:3" ht="13.2" x14ac:dyDescent="0.25">
      <c r="A462" s="6">
        <v>460</v>
      </c>
      <c r="B462" s="7">
        <v>88.559997558593693</v>
      </c>
      <c r="C462" s="3">
        <f t="shared" si="1"/>
        <v>9.6443533073877104E-3</v>
      </c>
    </row>
    <row r="463" spans="1:3" ht="13.2" x14ac:dyDescent="0.25">
      <c r="A463" s="6">
        <v>461</v>
      </c>
      <c r="B463" s="7">
        <v>88.209999084472599</v>
      </c>
      <c r="C463" s="3">
        <f t="shared" si="1"/>
        <v>-3.9599359408362044E-3</v>
      </c>
    </row>
    <row r="464" spans="1:3" ht="13.2" x14ac:dyDescent="0.25">
      <c r="A464" s="6">
        <v>462</v>
      </c>
      <c r="B464" s="7">
        <v>90.400001525878906</v>
      </c>
      <c r="C464" s="3">
        <f t="shared" si="1"/>
        <v>2.4523959385599155E-2</v>
      </c>
    </row>
    <row r="465" spans="1:3" ht="13.2" x14ac:dyDescent="0.25">
      <c r="A465" s="6">
        <v>463</v>
      </c>
      <c r="B465" s="7">
        <v>89.089996337890597</v>
      </c>
      <c r="C465" s="3">
        <f t="shared" si="1"/>
        <v>-1.4597230650499582E-2</v>
      </c>
    </row>
    <row r="466" spans="1:3" ht="13.2" x14ac:dyDescent="0.25">
      <c r="A466" s="6">
        <v>464</v>
      </c>
      <c r="B466" s="7">
        <v>90.290000915527301</v>
      </c>
      <c r="C466" s="3">
        <f t="shared" si="1"/>
        <v>1.3379668832418028E-2</v>
      </c>
    </row>
    <row r="467" spans="1:3" ht="13.2" x14ac:dyDescent="0.25">
      <c r="A467" s="6">
        <v>465</v>
      </c>
      <c r="B467" s="7">
        <v>92.739997863769503</v>
      </c>
      <c r="C467" s="3">
        <f t="shared" si="1"/>
        <v>2.6773133469455757E-2</v>
      </c>
    </row>
    <row r="468" spans="1:3" ht="13.2" x14ac:dyDescent="0.25">
      <c r="A468" s="6">
        <v>466</v>
      </c>
      <c r="B468" s="7">
        <v>93.550003051757798</v>
      </c>
      <c r="C468" s="3">
        <f t="shared" si="1"/>
        <v>8.6962294130778564E-3</v>
      </c>
    </row>
    <row r="469" spans="1:3" ht="13.2" x14ac:dyDescent="0.25">
      <c r="A469" s="6">
        <v>467</v>
      </c>
      <c r="B469" s="7">
        <v>90.580001831054602</v>
      </c>
      <c r="C469" s="3">
        <f t="shared" si="1"/>
        <v>-3.2262626998928429E-2</v>
      </c>
    </row>
    <row r="470" spans="1:3" ht="13.2" x14ac:dyDescent="0.25">
      <c r="A470" s="6">
        <v>468</v>
      </c>
      <c r="B470" s="7">
        <v>90.25</v>
      </c>
      <c r="C470" s="3">
        <f t="shared" si="1"/>
        <v>-3.6498611298554119E-3</v>
      </c>
    </row>
    <row r="471" spans="1:3" ht="13.2" x14ac:dyDescent="0.25">
      <c r="A471" s="6">
        <v>469</v>
      </c>
      <c r="B471" s="7">
        <v>91.169998168945298</v>
      </c>
      <c r="C471" s="3">
        <f t="shared" si="1"/>
        <v>1.0142278299860155E-2</v>
      </c>
    </row>
    <row r="472" spans="1:3" ht="13.2" x14ac:dyDescent="0.25">
      <c r="A472" s="6">
        <v>470</v>
      </c>
      <c r="B472" s="7">
        <v>90.839996337890597</v>
      </c>
      <c r="C472" s="3">
        <f t="shared" si="1"/>
        <v>-3.6261985893354443E-3</v>
      </c>
    </row>
    <row r="473" spans="1:3" ht="13.2" x14ac:dyDescent="0.25">
      <c r="A473" s="6">
        <v>471</v>
      </c>
      <c r="B473" s="7">
        <v>88.120002746582003</v>
      </c>
      <c r="C473" s="3">
        <f t="shared" si="1"/>
        <v>-3.0400123820716621E-2</v>
      </c>
    </row>
    <row r="474" spans="1:3" ht="13.2" x14ac:dyDescent="0.25">
      <c r="A474" s="6">
        <v>472</v>
      </c>
      <c r="B474" s="7">
        <v>87.059997558593693</v>
      </c>
      <c r="C474" s="3">
        <f t="shared" si="1"/>
        <v>-1.2102045021448828E-2</v>
      </c>
    </row>
    <row r="475" spans="1:3" ht="13.2" x14ac:dyDescent="0.25">
      <c r="A475" s="6">
        <v>473</v>
      </c>
      <c r="B475" s="7">
        <v>85.889999389648395</v>
      </c>
      <c r="C475" s="3">
        <f t="shared" si="1"/>
        <v>-1.353010740941718E-2</v>
      </c>
    </row>
    <row r="476" spans="1:3" ht="13.2" x14ac:dyDescent="0.25">
      <c r="A476" s="6">
        <v>474</v>
      </c>
      <c r="B476" s="7">
        <v>87.730003356933594</v>
      </c>
      <c r="C476" s="3">
        <f t="shared" si="1"/>
        <v>2.1196553732734161E-2</v>
      </c>
    </row>
    <row r="477" spans="1:3" ht="13.2" x14ac:dyDescent="0.25">
      <c r="A477" s="6">
        <v>475</v>
      </c>
      <c r="B477" s="7">
        <v>86.25</v>
      </c>
      <c r="C477" s="3">
        <f t="shared" si="1"/>
        <v>-1.701389849319734E-2</v>
      </c>
    </row>
    <row r="478" spans="1:3" ht="13.2" x14ac:dyDescent="0.25">
      <c r="A478" s="6">
        <v>476</v>
      </c>
      <c r="B478" s="7">
        <v>87.389999389648395</v>
      </c>
      <c r="C478" s="3">
        <f t="shared" si="1"/>
        <v>1.3130796743756584E-2</v>
      </c>
    </row>
    <row r="479" spans="1:3" ht="13.2" x14ac:dyDescent="0.25">
      <c r="A479" s="6">
        <v>477</v>
      </c>
      <c r="B479" s="7">
        <v>88.910003662109304</v>
      </c>
      <c r="C479" s="3">
        <f t="shared" si="1"/>
        <v>1.7243810666768174E-2</v>
      </c>
    </row>
    <row r="480" spans="1:3" ht="13.2" x14ac:dyDescent="0.25">
      <c r="A480" s="6">
        <v>478</v>
      </c>
      <c r="B480" s="7">
        <v>85.190002441406193</v>
      </c>
      <c r="C480" s="3">
        <f t="shared" si="1"/>
        <v>-4.2740578608879386E-2</v>
      </c>
    </row>
    <row r="481" spans="1:3" ht="13.2" x14ac:dyDescent="0.25">
      <c r="A481" s="6">
        <v>479</v>
      </c>
      <c r="B481" s="7">
        <v>82.180000305175696</v>
      </c>
      <c r="C481" s="3">
        <f t="shared" si="1"/>
        <v>-3.5972117544347745E-2</v>
      </c>
    </row>
    <row r="482" spans="1:3" ht="13.2" x14ac:dyDescent="0.25">
      <c r="A482" s="6">
        <v>480</v>
      </c>
      <c r="B482" s="7">
        <v>83.029998779296804</v>
      </c>
      <c r="C482" s="3">
        <f t="shared" si="1"/>
        <v>1.0290006403218714E-2</v>
      </c>
    </row>
    <row r="483" spans="1:3" ht="13.2" x14ac:dyDescent="0.25">
      <c r="A483" s="6">
        <v>481</v>
      </c>
      <c r="B483" s="7">
        <v>83.019996643066406</v>
      </c>
      <c r="C483" s="3">
        <f t="shared" si="1"/>
        <v>-1.2047138233337667E-4</v>
      </c>
    </row>
    <row r="484" spans="1:3" ht="13.2" x14ac:dyDescent="0.25">
      <c r="A484" s="6">
        <v>482</v>
      </c>
      <c r="B484" s="7">
        <v>83.489997863769503</v>
      </c>
      <c r="C484" s="3">
        <f t="shared" si="1"/>
        <v>5.6453364295933816E-3</v>
      </c>
    </row>
    <row r="485" spans="1:3" ht="13.2" x14ac:dyDescent="0.25">
      <c r="A485" s="6">
        <v>483</v>
      </c>
      <c r="B485" s="7">
        <v>82.129997253417898</v>
      </c>
      <c r="C485" s="3">
        <f t="shared" si="1"/>
        <v>-1.6423514309031426E-2</v>
      </c>
    </row>
    <row r="486" spans="1:3" ht="13.2" x14ac:dyDescent="0.25">
      <c r="A486" s="6">
        <v>484</v>
      </c>
      <c r="B486" s="7">
        <v>82.25</v>
      </c>
      <c r="C486" s="3">
        <f t="shared" si="1"/>
        <v>1.4600653352669307E-3</v>
      </c>
    </row>
    <row r="487" spans="1:3" ht="13.2" x14ac:dyDescent="0.25">
      <c r="A487" s="6">
        <v>485</v>
      </c>
      <c r="B487" s="7">
        <v>80.300003051757798</v>
      </c>
      <c r="C487" s="3">
        <f t="shared" si="1"/>
        <v>-2.3993730688310292E-2</v>
      </c>
    </row>
    <row r="488" spans="1:3" ht="13.2" x14ac:dyDescent="0.25">
      <c r="A488" s="6">
        <v>486</v>
      </c>
      <c r="B488" s="7">
        <v>79.989997863769503</v>
      </c>
      <c r="C488" s="3">
        <f t="shared" si="1"/>
        <v>-3.8680588026603294E-3</v>
      </c>
    </row>
    <row r="489" spans="1:3" ht="13.2" x14ac:dyDescent="0.25">
      <c r="A489" s="6">
        <v>487</v>
      </c>
      <c r="B489" s="7">
        <v>82.389999389648395</v>
      </c>
      <c r="C489" s="3">
        <f t="shared" si="1"/>
        <v>2.9562462764909314E-2</v>
      </c>
    </row>
    <row r="490" spans="1:3" ht="13.2" x14ac:dyDescent="0.25">
      <c r="A490" s="6">
        <v>488</v>
      </c>
      <c r="B490" s="7">
        <v>80.610000610351506</v>
      </c>
      <c r="C490" s="3">
        <f t="shared" si="1"/>
        <v>-2.1841344052250532E-2</v>
      </c>
    </row>
    <row r="491" spans="1:3" ht="13.2" x14ac:dyDescent="0.25">
      <c r="A491" s="6">
        <v>489</v>
      </c>
      <c r="B491" s="7">
        <v>80.279998779296804</v>
      </c>
      <c r="C491" s="3">
        <f t="shared" si="1"/>
        <v>-4.1022101446025585E-3</v>
      </c>
    </row>
    <row r="492" spans="1:3" ht="13.2" x14ac:dyDescent="0.25">
      <c r="A492" s="6">
        <v>490</v>
      </c>
      <c r="B492" s="7">
        <v>80.610000610351506</v>
      </c>
      <c r="C492" s="3">
        <f t="shared" si="1"/>
        <v>4.1022101446027189E-3</v>
      </c>
    </row>
    <row r="493" spans="1:3" ht="13.2" x14ac:dyDescent="0.25">
      <c r="A493" s="6">
        <v>491</v>
      </c>
      <c r="B493" s="7">
        <v>80.809997558593693</v>
      </c>
      <c r="C493" s="3">
        <f t="shared" si="1"/>
        <v>2.4779711665009131E-3</v>
      </c>
    </row>
    <row r="494" spans="1:3" ht="13.2" x14ac:dyDescent="0.25">
      <c r="A494" s="6">
        <v>492</v>
      </c>
      <c r="B494" s="7">
        <v>84.080001831054602</v>
      </c>
      <c r="C494" s="3">
        <f t="shared" si="1"/>
        <v>3.9668058312553801E-2</v>
      </c>
    </row>
    <row r="495" spans="1:3" ht="13.2" x14ac:dyDescent="0.25">
      <c r="A495" s="6">
        <v>493</v>
      </c>
      <c r="B495" s="7">
        <v>84.599998474121094</v>
      </c>
      <c r="C495" s="3">
        <f t="shared" si="1"/>
        <v>6.1655002295597046E-3</v>
      </c>
    </row>
    <row r="496" spans="1:3" ht="13.2" x14ac:dyDescent="0.25">
      <c r="A496" s="6">
        <v>494</v>
      </c>
      <c r="B496" s="7">
        <v>87.440002441406193</v>
      </c>
      <c r="C496" s="3">
        <f t="shared" si="1"/>
        <v>3.301862321342991E-2</v>
      </c>
    </row>
    <row r="497" spans="1:3" ht="13.2" x14ac:dyDescent="0.25">
      <c r="A497" s="6">
        <v>495</v>
      </c>
      <c r="B497" s="7">
        <v>85.239997863769503</v>
      </c>
      <c r="C497" s="3">
        <f t="shared" si="1"/>
        <v>-2.5482089620159461E-2</v>
      </c>
    </row>
    <row r="498" spans="1:3" ht="13.2" x14ac:dyDescent="0.25">
      <c r="A498" s="6">
        <v>496</v>
      </c>
      <c r="B498" s="7">
        <v>86.699996948242102</v>
      </c>
      <c r="C498" s="3">
        <f t="shared" si="1"/>
        <v>1.6983066418388541E-2</v>
      </c>
    </row>
    <row r="499" spans="1:3" ht="13.2" x14ac:dyDescent="0.25">
      <c r="A499" s="6">
        <v>497</v>
      </c>
      <c r="B499" s="7">
        <v>89.470001220703097</v>
      </c>
      <c r="C499" s="3">
        <f t="shared" si="1"/>
        <v>3.1449538615776165E-2</v>
      </c>
    </row>
    <row r="500" spans="1:3" ht="13.2" x14ac:dyDescent="0.25">
      <c r="A500" s="6">
        <v>498</v>
      </c>
      <c r="B500" s="7">
        <v>93.75</v>
      </c>
      <c r="C500" s="3">
        <f t="shared" si="1"/>
        <v>4.67282776473016E-2</v>
      </c>
    </row>
    <row r="501" spans="1:3" ht="13.2" x14ac:dyDescent="0.25">
      <c r="A501" s="6">
        <v>499</v>
      </c>
      <c r="B501" s="7">
        <v>94.519996643066406</v>
      </c>
      <c r="C501" s="3">
        <f t="shared" si="1"/>
        <v>8.1797519525959178E-3</v>
      </c>
    </row>
    <row r="502" spans="1:3" ht="13.2" x14ac:dyDescent="0.25">
      <c r="A502" s="6">
        <v>500</v>
      </c>
      <c r="B502" s="7">
        <v>95.379997253417898</v>
      </c>
      <c r="C502" s="3">
        <f t="shared" si="1"/>
        <v>9.057467270756037E-3</v>
      </c>
    </row>
    <row r="503" spans="1:3" ht="13.2" x14ac:dyDescent="0.25">
      <c r="A503" s="6">
        <v>501</v>
      </c>
      <c r="B503" s="7">
        <v>94.900001525878906</v>
      </c>
      <c r="C503" s="3">
        <f t="shared" si="1"/>
        <v>-5.0451623791817682E-3</v>
      </c>
    </row>
    <row r="504" spans="1:3" ht="13.2" x14ac:dyDescent="0.25">
      <c r="A504" s="6">
        <v>502</v>
      </c>
      <c r="B504" s="7">
        <v>94.940002441406193</v>
      </c>
      <c r="C504" s="3">
        <f t="shared" si="1"/>
        <v>4.2141714373516829E-4</v>
      </c>
    </row>
    <row r="505" spans="1:3" ht="13.2" x14ac:dyDescent="0.25">
      <c r="A505" s="6">
        <v>503</v>
      </c>
      <c r="B505" s="7">
        <v>94.419998168945298</v>
      </c>
      <c r="C505" s="3">
        <f t="shared" si="1"/>
        <v>-5.4922431129422571E-3</v>
      </c>
    </row>
    <row r="506" spans="1:3" ht="13.2" x14ac:dyDescent="0.25">
      <c r="A506" s="6">
        <v>504</v>
      </c>
      <c r="B506" s="7">
        <v>95.430000305175696</v>
      </c>
      <c r="C506" s="3">
        <f t="shared" si="1"/>
        <v>1.0640101901580224E-2</v>
      </c>
    </row>
    <row r="507" spans="1:3" ht="13.2" x14ac:dyDescent="0.25">
      <c r="A507" s="6">
        <v>505</v>
      </c>
      <c r="B507" s="7">
        <v>94.599998474121094</v>
      </c>
      <c r="C507" s="3">
        <f t="shared" si="1"/>
        <v>-8.735537699029192E-3</v>
      </c>
    </row>
    <row r="508" spans="1:3" ht="13.2" x14ac:dyDescent="0.25">
      <c r="A508" s="6">
        <v>506</v>
      </c>
      <c r="B508" s="7">
        <v>92.620002746582003</v>
      </c>
      <c r="C508" s="3">
        <f t="shared" si="1"/>
        <v>-2.1152329221120904E-2</v>
      </c>
    </row>
    <row r="509" spans="1:3" ht="13.2" x14ac:dyDescent="0.25">
      <c r="A509" s="6">
        <v>507</v>
      </c>
      <c r="B509" s="7">
        <v>89.349998474121094</v>
      </c>
      <c r="C509" s="3">
        <f t="shared" si="1"/>
        <v>-3.5943906179024446E-2</v>
      </c>
    </row>
    <row r="510" spans="1:3" ht="13.2" x14ac:dyDescent="0.25">
      <c r="A510" s="6">
        <v>508</v>
      </c>
      <c r="B510" s="7">
        <v>90.319999694824205</v>
      </c>
      <c r="C510" s="3">
        <f t="shared" si="1"/>
        <v>1.0797691934689057E-2</v>
      </c>
    </row>
    <row r="511" spans="1:3" ht="13.2" x14ac:dyDescent="0.25">
      <c r="A511" s="6">
        <v>509</v>
      </c>
      <c r="B511" s="7">
        <v>89.849998474121094</v>
      </c>
      <c r="C511" s="3">
        <f t="shared" si="1"/>
        <v>-5.2173202155243381E-3</v>
      </c>
    </row>
    <row r="512" spans="1:3" ht="13.2" x14ac:dyDescent="0.25">
      <c r="A512" s="6">
        <v>510</v>
      </c>
      <c r="B512" s="7">
        <v>89.180000305175696</v>
      </c>
      <c r="C512" s="3">
        <f t="shared" si="1"/>
        <v>-7.4847936257036417E-3</v>
      </c>
    </row>
    <row r="513" spans="1:3" ht="13.2" x14ac:dyDescent="0.25">
      <c r="A513" s="6">
        <v>511</v>
      </c>
      <c r="B513" s="7">
        <v>88.930000305175696</v>
      </c>
      <c r="C513" s="3">
        <f t="shared" ref="C513:C767" si="2">LN(B513/B512)</f>
        <v>-2.8072557781619661E-3</v>
      </c>
    </row>
    <row r="514" spans="1:3" ht="13.2" x14ac:dyDescent="0.25">
      <c r="A514" s="6">
        <v>512</v>
      </c>
      <c r="B514" s="7">
        <v>88.349998474121094</v>
      </c>
      <c r="C514" s="3">
        <f t="shared" si="2"/>
        <v>-6.5433653483250257E-3</v>
      </c>
    </row>
    <row r="515" spans="1:3" ht="13.2" x14ac:dyDescent="0.25">
      <c r="A515" s="6">
        <v>513</v>
      </c>
      <c r="B515" s="7">
        <v>88.760002136230398</v>
      </c>
      <c r="C515" s="3">
        <f t="shared" si="2"/>
        <v>4.6299406370197268E-3</v>
      </c>
    </row>
    <row r="516" spans="1:3" ht="13.2" x14ac:dyDescent="0.25">
      <c r="A516" s="6">
        <v>514</v>
      </c>
      <c r="B516" s="7">
        <v>88.230003356933594</v>
      </c>
      <c r="C516" s="3">
        <f t="shared" si="2"/>
        <v>-5.9890428503398064E-3</v>
      </c>
    </row>
    <row r="517" spans="1:3" ht="13.2" x14ac:dyDescent="0.25">
      <c r="A517" s="6">
        <v>515</v>
      </c>
      <c r="B517" s="7">
        <v>86.510002136230398</v>
      </c>
      <c r="C517" s="3">
        <f t="shared" si="2"/>
        <v>-1.9687040395809818E-2</v>
      </c>
    </row>
    <row r="518" spans="1:3" ht="13.2" x14ac:dyDescent="0.25">
      <c r="A518" s="6">
        <v>516</v>
      </c>
      <c r="B518" s="7">
        <v>88.050003051757798</v>
      </c>
      <c r="C518" s="3">
        <f t="shared" si="2"/>
        <v>1.7644830715854511E-2</v>
      </c>
    </row>
    <row r="519" spans="1:3" ht="13.2" x14ac:dyDescent="0.25">
      <c r="A519" s="6">
        <v>517</v>
      </c>
      <c r="B519" s="7">
        <v>87.080001831054602</v>
      </c>
      <c r="C519" s="3">
        <f t="shared" si="2"/>
        <v>-1.1077612207971918E-2</v>
      </c>
    </row>
    <row r="520" spans="1:3" ht="13.2" x14ac:dyDescent="0.25">
      <c r="A520" s="6">
        <v>518</v>
      </c>
      <c r="B520" s="7">
        <v>86.680000305175696</v>
      </c>
      <c r="C520" s="3">
        <f t="shared" si="2"/>
        <v>-4.6040772047410122E-3</v>
      </c>
    </row>
    <row r="521" spans="1:3" ht="13.2" x14ac:dyDescent="0.25">
      <c r="A521" s="6">
        <v>519</v>
      </c>
      <c r="B521" s="7">
        <v>87.059997558593693</v>
      </c>
      <c r="C521" s="3">
        <f t="shared" si="2"/>
        <v>4.3743278924747589E-3</v>
      </c>
    </row>
    <row r="522" spans="1:3" ht="13.2" x14ac:dyDescent="0.25">
      <c r="A522" s="6">
        <v>520</v>
      </c>
      <c r="B522" s="7">
        <v>86.180000305175696</v>
      </c>
      <c r="C522" s="3">
        <f t="shared" si="2"/>
        <v>-1.0159372352514649E-2</v>
      </c>
    </row>
    <row r="523" spans="1:3" ht="13.2" x14ac:dyDescent="0.25">
      <c r="A523" s="6">
        <v>521</v>
      </c>
      <c r="B523" s="7">
        <v>88.080001831054602</v>
      </c>
      <c r="C523" s="3">
        <f t="shared" si="2"/>
        <v>2.1807377474129454E-2</v>
      </c>
    </row>
    <row r="524" spans="1:3" ht="13.2" x14ac:dyDescent="0.25">
      <c r="A524" s="6">
        <v>522</v>
      </c>
      <c r="B524" s="7">
        <v>85.660003662109304</v>
      </c>
      <c r="C524" s="3">
        <f t="shared" si="2"/>
        <v>-2.7859498264055666E-2</v>
      </c>
    </row>
    <row r="525" spans="1:3" ht="13.2" x14ac:dyDescent="0.25">
      <c r="A525" s="6">
        <v>523</v>
      </c>
      <c r="B525" s="7">
        <v>88.260002136230398</v>
      </c>
      <c r="C525" s="3">
        <f t="shared" si="2"/>
        <v>2.9901013106326313E-2</v>
      </c>
    </row>
    <row r="526" spans="1:3" ht="13.2" x14ac:dyDescent="0.25">
      <c r="A526" s="6">
        <v>524</v>
      </c>
      <c r="B526" s="7">
        <v>87.349998474121094</v>
      </c>
      <c r="C526" s="3">
        <f t="shared" si="2"/>
        <v>-1.0364008933731678E-2</v>
      </c>
    </row>
    <row r="527" spans="1:3" ht="13.2" x14ac:dyDescent="0.25">
      <c r="A527" s="6">
        <v>525</v>
      </c>
      <c r="B527" s="7">
        <v>86.400001525878906</v>
      </c>
      <c r="C527" s="3">
        <f t="shared" si="2"/>
        <v>-1.0935325640858003E-2</v>
      </c>
    </row>
    <row r="528" spans="1:3" ht="13.2" x14ac:dyDescent="0.25">
      <c r="A528" s="6">
        <v>526</v>
      </c>
      <c r="B528" s="7">
        <v>84.650001525878906</v>
      </c>
      <c r="C528" s="3">
        <f t="shared" si="2"/>
        <v>-2.0462566865760937E-2</v>
      </c>
    </row>
    <row r="529" spans="1:3" ht="13.2" x14ac:dyDescent="0.25">
      <c r="A529" s="6">
        <v>527</v>
      </c>
      <c r="B529" s="7">
        <v>87.779998779296804</v>
      </c>
      <c r="C529" s="3">
        <f t="shared" si="2"/>
        <v>3.6308543748810249E-2</v>
      </c>
    </row>
    <row r="530" spans="1:3" ht="13.2" x14ac:dyDescent="0.25">
      <c r="A530" s="6">
        <v>528</v>
      </c>
      <c r="B530" s="7">
        <v>89.720001220703097</v>
      </c>
      <c r="C530" s="3">
        <f t="shared" si="2"/>
        <v>2.1860052904009507E-2</v>
      </c>
    </row>
    <row r="531" spans="1:3" ht="13.2" x14ac:dyDescent="0.25">
      <c r="A531" s="6">
        <v>529</v>
      </c>
      <c r="B531" s="7">
        <v>90.230003356933594</v>
      </c>
      <c r="C531" s="3">
        <f t="shared" si="2"/>
        <v>5.6682799528893412E-3</v>
      </c>
    </row>
    <row r="532" spans="1:3" ht="13.2" x14ac:dyDescent="0.25">
      <c r="A532" s="6">
        <v>530</v>
      </c>
      <c r="B532" s="7">
        <v>92.260002136230398</v>
      </c>
      <c r="C532" s="3">
        <f t="shared" si="2"/>
        <v>2.224869807353988E-2</v>
      </c>
    </row>
    <row r="533" spans="1:3" ht="13.2" x14ac:dyDescent="0.25">
      <c r="A533" s="6">
        <v>531</v>
      </c>
      <c r="B533" s="7">
        <v>91.25</v>
      </c>
      <c r="C533" s="3">
        <f t="shared" si="2"/>
        <v>-1.1007708821532425E-2</v>
      </c>
    </row>
    <row r="534" spans="1:3" ht="13.2" x14ac:dyDescent="0.25">
      <c r="A534" s="6">
        <v>532</v>
      </c>
      <c r="B534" s="7">
        <v>92.419998168945298</v>
      </c>
      <c r="C534" s="3">
        <f t="shared" si="2"/>
        <v>1.2740393167198386E-2</v>
      </c>
    </row>
    <row r="535" spans="1:3" ht="13.2" x14ac:dyDescent="0.25">
      <c r="A535" s="6">
        <v>533</v>
      </c>
      <c r="B535" s="7">
        <v>93.449996948242102</v>
      </c>
      <c r="C535" s="3">
        <f t="shared" si="2"/>
        <v>1.1083115615186757E-2</v>
      </c>
    </row>
    <row r="536" spans="1:3" ht="13.2" x14ac:dyDescent="0.25">
      <c r="A536" s="6">
        <v>534</v>
      </c>
      <c r="B536" s="7">
        <v>91.720001220703097</v>
      </c>
      <c r="C536" s="3">
        <f t="shared" si="2"/>
        <v>-1.8686029946264799E-2</v>
      </c>
    </row>
    <row r="537" spans="1:3" ht="13.2" x14ac:dyDescent="0.25">
      <c r="A537" s="6">
        <v>535</v>
      </c>
      <c r="B537" s="7">
        <v>92.860000610351506</v>
      </c>
      <c r="C537" s="3">
        <f t="shared" si="2"/>
        <v>1.2352517865868351E-2</v>
      </c>
    </row>
    <row r="538" spans="1:3" ht="13.2" x14ac:dyDescent="0.25">
      <c r="A538" s="6">
        <v>536</v>
      </c>
      <c r="B538" s="7">
        <v>92</v>
      </c>
      <c r="C538" s="3">
        <f t="shared" si="2"/>
        <v>-9.3044121155492401E-3</v>
      </c>
    </row>
    <row r="539" spans="1:3" ht="13.2" x14ac:dyDescent="0.25">
      <c r="A539" s="6">
        <v>537</v>
      </c>
      <c r="B539" s="7">
        <v>89.529998779296804</v>
      </c>
      <c r="C539" s="3">
        <f t="shared" si="2"/>
        <v>-2.721482603754739E-2</v>
      </c>
    </row>
    <row r="540" spans="1:3" ht="13.2" x14ac:dyDescent="0.25">
      <c r="A540" s="6">
        <v>538</v>
      </c>
      <c r="B540" s="7">
        <v>89.760002136230398</v>
      </c>
      <c r="C540" s="3">
        <f t="shared" si="2"/>
        <v>2.5657145622513095E-3</v>
      </c>
    </row>
    <row r="541" spans="1:3" ht="13.2" x14ac:dyDescent="0.25">
      <c r="A541" s="6">
        <v>539</v>
      </c>
      <c r="B541" s="7">
        <v>88.019996643066406</v>
      </c>
      <c r="C541" s="3">
        <f t="shared" si="2"/>
        <v>-1.9575442329104433E-2</v>
      </c>
    </row>
    <row r="542" spans="1:3" ht="13.2" x14ac:dyDescent="0.25">
      <c r="A542" s="6">
        <v>540</v>
      </c>
      <c r="B542" s="7">
        <v>89.319999694824205</v>
      </c>
      <c r="C542" s="3">
        <f t="shared" si="2"/>
        <v>1.466140031066036E-2</v>
      </c>
    </row>
    <row r="543" spans="1:3" ht="13.2" x14ac:dyDescent="0.25">
      <c r="A543" s="6">
        <v>541</v>
      </c>
      <c r="B543" s="7">
        <v>88.559997558593693</v>
      </c>
      <c r="C543" s="3">
        <f t="shared" si="2"/>
        <v>-8.5451627227410721E-3</v>
      </c>
    </row>
    <row r="544" spans="1:3" ht="13.2" x14ac:dyDescent="0.25">
      <c r="A544" s="6">
        <v>542</v>
      </c>
      <c r="B544" s="7">
        <v>85.120002746582003</v>
      </c>
      <c r="C544" s="3">
        <f t="shared" si="2"/>
        <v>-3.9618202972049689E-2</v>
      </c>
    </row>
    <row r="545" spans="1:3" ht="13.2" x14ac:dyDescent="0.25">
      <c r="A545" s="6">
        <v>543</v>
      </c>
      <c r="B545" s="7">
        <v>86.959999084472599</v>
      </c>
      <c r="C545" s="3">
        <f t="shared" si="2"/>
        <v>2.1386174424300384E-2</v>
      </c>
    </row>
    <row r="546" spans="1:3" ht="13.2" x14ac:dyDescent="0.25">
      <c r="A546" s="6">
        <v>544</v>
      </c>
      <c r="B546" s="7">
        <v>87.400001525878906</v>
      </c>
      <c r="C546" s="3">
        <f t="shared" si="2"/>
        <v>5.0470678352484361E-3</v>
      </c>
    </row>
    <row r="547" spans="1:3" ht="13.2" x14ac:dyDescent="0.25">
      <c r="A547" s="6">
        <v>545</v>
      </c>
      <c r="B547" s="7">
        <v>88.470001220703097</v>
      </c>
      <c r="C547" s="3">
        <f t="shared" si="2"/>
        <v>1.2168225173168738E-2</v>
      </c>
    </row>
    <row r="548" spans="1:3" ht="13.2" x14ac:dyDescent="0.25">
      <c r="A548" s="6">
        <v>546</v>
      </c>
      <c r="B548" s="7">
        <v>88.699996948242102</v>
      </c>
      <c r="C548" s="3">
        <f t="shared" si="2"/>
        <v>2.5963296169184131E-3</v>
      </c>
    </row>
    <row r="549" spans="1:3" ht="13.2" x14ac:dyDescent="0.25">
      <c r="A549" s="6">
        <v>547</v>
      </c>
      <c r="B549" s="7">
        <v>90.190002441406193</v>
      </c>
      <c r="C549" s="3">
        <f t="shared" si="2"/>
        <v>1.665872833705969E-2</v>
      </c>
    </row>
    <row r="550" spans="1:3" ht="13.2" x14ac:dyDescent="0.25">
      <c r="A550" s="6">
        <v>548</v>
      </c>
      <c r="B550" s="7">
        <v>90.150001525878906</v>
      </c>
      <c r="C550" s="3">
        <f t="shared" si="2"/>
        <v>-4.4361667187879937E-4</v>
      </c>
    </row>
    <row r="551" spans="1:3" ht="13.2" x14ac:dyDescent="0.25">
      <c r="A551" s="6">
        <v>549</v>
      </c>
      <c r="B551" s="7">
        <v>87.930000305175696</v>
      </c>
      <c r="C551" s="3">
        <f t="shared" si="2"/>
        <v>-2.4933919713749114E-2</v>
      </c>
    </row>
    <row r="552" spans="1:3" ht="13.2" x14ac:dyDescent="0.25">
      <c r="A552" s="6">
        <v>550</v>
      </c>
      <c r="B552" s="7">
        <v>89.019996643066406</v>
      </c>
      <c r="C552" s="3">
        <f t="shared" si="2"/>
        <v>1.2319979016249623E-2</v>
      </c>
    </row>
    <row r="553" spans="1:3" ht="13.2" x14ac:dyDescent="0.25">
      <c r="A553" s="6">
        <v>551</v>
      </c>
      <c r="B553" s="7">
        <v>89.290000915527301</v>
      </c>
      <c r="C553" s="3">
        <f t="shared" si="2"/>
        <v>3.0284839047118929E-3</v>
      </c>
    </row>
    <row r="554" spans="1:3" ht="13.2" x14ac:dyDescent="0.25">
      <c r="A554" s="6">
        <v>552</v>
      </c>
      <c r="B554" s="7">
        <v>89.089996337890597</v>
      </c>
      <c r="C554" s="3">
        <f t="shared" si="2"/>
        <v>-2.2424561557161569E-3</v>
      </c>
    </row>
    <row r="555" spans="1:3" ht="13.2" x14ac:dyDescent="0.25">
      <c r="A555" s="6">
        <v>553</v>
      </c>
      <c r="B555" s="7">
        <v>88.230003356933594</v>
      </c>
      <c r="C555" s="3">
        <f t="shared" si="2"/>
        <v>-9.6999743452796626E-3</v>
      </c>
    </row>
    <row r="556" spans="1:3" ht="13.2" x14ac:dyDescent="0.25">
      <c r="A556" s="6">
        <v>554</v>
      </c>
      <c r="B556" s="7">
        <v>89.540000915527301</v>
      </c>
      <c r="C556" s="3">
        <f t="shared" si="2"/>
        <v>1.4738383756062113E-2</v>
      </c>
    </row>
    <row r="557" spans="1:3" ht="13.2" x14ac:dyDescent="0.25">
      <c r="A557" s="6">
        <v>555</v>
      </c>
      <c r="B557" s="7">
        <v>90.510002136230398</v>
      </c>
      <c r="C557" s="3">
        <f t="shared" si="2"/>
        <v>1.0774902403621953E-2</v>
      </c>
    </row>
    <row r="558" spans="1:3" ht="13.2" x14ac:dyDescent="0.25">
      <c r="A558" s="6">
        <v>556</v>
      </c>
      <c r="B558" s="7">
        <v>90.360000610351506</v>
      </c>
      <c r="C558" s="3">
        <f t="shared" si="2"/>
        <v>-1.6586670867597506E-3</v>
      </c>
    </row>
    <row r="559" spans="1:3" ht="13.2" x14ac:dyDescent="0.25">
      <c r="A559" s="6">
        <v>557</v>
      </c>
      <c r="B559" s="7">
        <v>89.25</v>
      </c>
      <c r="C559" s="3">
        <f t="shared" si="2"/>
        <v>-1.2360277694718792E-2</v>
      </c>
    </row>
    <row r="560" spans="1:3" ht="13.2" x14ac:dyDescent="0.25">
      <c r="A560" s="6">
        <v>558</v>
      </c>
      <c r="B560" s="7">
        <v>89.970001220703097</v>
      </c>
      <c r="C560" s="3">
        <f t="shared" si="2"/>
        <v>8.0348743371692396E-3</v>
      </c>
    </row>
    <row r="561" spans="1:3" ht="13.2" x14ac:dyDescent="0.25">
      <c r="A561" s="6">
        <v>559</v>
      </c>
      <c r="B561" s="7">
        <v>93.980003356933594</v>
      </c>
      <c r="C561" s="3">
        <f t="shared" si="2"/>
        <v>4.3605734397410806E-2</v>
      </c>
    </row>
    <row r="562" spans="1:3" ht="13.2" x14ac:dyDescent="0.25">
      <c r="A562" s="6">
        <v>560</v>
      </c>
      <c r="B562" s="7">
        <v>93.989997863769503</v>
      </c>
      <c r="C562" s="3">
        <f t="shared" si="2"/>
        <v>1.0634150960711309E-4</v>
      </c>
    </row>
    <row r="563" spans="1:3" ht="13.2" x14ac:dyDescent="0.25">
      <c r="A563" s="6">
        <v>561</v>
      </c>
      <c r="B563" s="7">
        <v>93.089996337890597</v>
      </c>
      <c r="C563" s="3">
        <f t="shared" si="2"/>
        <v>-9.6216431149878465E-3</v>
      </c>
    </row>
    <row r="564" spans="1:3" ht="13.2" x14ac:dyDescent="0.25">
      <c r="A564" s="6">
        <v>562</v>
      </c>
      <c r="B564" s="7">
        <v>93.870002746582003</v>
      </c>
      <c r="C564" s="3">
        <f t="shared" si="2"/>
        <v>8.3441478193749842E-3</v>
      </c>
    </row>
    <row r="565" spans="1:3" ht="13.2" x14ac:dyDescent="0.25">
      <c r="A565" s="6">
        <v>563</v>
      </c>
      <c r="B565" s="7">
        <v>93.519996643066406</v>
      </c>
      <c r="C565" s="3">
        <f t="shared" si="2"/>
        <v>-3.7355943398652575E-3</v>
      </c>
    </row>
    <row r="566" spans="1:3" ht="13.2" x14ac:dyDescent="0.25">
      <c r="A566" s="6">
        <v>564</v>
      </c>
      <c r="B566" s="7">
        <v>95.339996337890597</v>
      </c>
      <c r="C566" s="3">
        <f t="shared" si="2"/>
        <v>1.9274130097172503E-2</v>
      </c>
    </row>
    <row r="567" spans="1:3" ht="13.2" x14ac:dyDescent="0.25">
      <c r="A567" s="6">
        <v>565</v>
      </c>
      <c r="B567" s="7">
        <v>93.660003662109304</v>
      </c>
      <c r="C567" s="3">
        <f t="shared" si="2"/>
        <v>-1.7778168510199706E-2</v>
      </c>
    </row>
    <row r="568" spans="1:3" ht="13.2" x14ac:dyDescent="0.25">
      <c r="A568" s="6">
        <v>566</v>
      </c>
      <c r="B568" s="7">
        <v>90.25</v>
      </c>
      <c r="C568" s="3">
        <f t="shared" si="2"/>
        <v>-3.7087645642439861E-2</v>
      </c>
    </row>
    <row r="569" spans="1:3" ht="13.2" x14ac:dyDescent="0.25">
      <c r="A569" s="6">
        <v>567</v>
      </c>
      <c r="B569" s="7">
        <v>86.830001831054602</v>
      </c>
      <c r="C569" s="3">
        <f t="shared" si="2"/>
        <v>-3.8631392052626022E-2</v>
      </c>
    </row>
    <row r="570" spans="1:3" ht="13.2" x14ac:dyDescent="0.25">
      <c r="A570" s="6">
        <v>568</v>
      </c>
      <c r="B570" s="7">
        <v>87.889999389648395</v>
      </c>
      <c r="C570" s="3">
        <f t="shared" si="2"/>
        <v>1.2133820471695219E-2</v>
      </c>
    </row>
    <row r="571" spans="1:3" ht="13.2" x14ac:dyDescent="0.25">
      <c r="A571" s="6">
        <v>569</v>
      </c>
      <c r="B571" s="7">
        <v>87.879997253417898</v>
      </c>
      <c r="C571" s="3">
        <f t="shared" si="2"/>
        <v>-1.1380936942963023E-4</v>
      </c>
    </row>
    <row r="572" spans="1:3" ht="13.2" x14ac:dyDescent="0.25">
      <c r="A572" s="6">
        <v>570</v>
      </c>
      <c r="B572" s="7">
        <v>85.529998779296804</v>
      </c>
      <c r="C572" s="3">
        <f t="shared" si="2"/>
        <v>-2.7105038942162259E-2</v>
      </c>
    </row>
    <row r="573" spans="1:3" ht="13.2" x14ac:dyDescent="0.25">
      <c r="A573" s="6">
        <v>571</v>
      </c>
      <c r="B573" s="7">
        <v>86.550003051757798</v>
      </c>
      <c r="C573" s="3">
        <f t="shared" si="2"/>
        <v>1.1855139561805485E-2</v>
      </c>
    </row>
    <row r="574" spans="1:3" ht="13.2" x14ac:dyDescent="0.25">
      <c r="A574" s="6">
        <v>572</v>
      </c>
      <c r="B574" s="7">
        <v>88.589996337890597</v>
      </c>
      <c r="C574" s="3">
        <f t="shared" si="2"/>
        <v>2.3296626203938124E-2</v>
      </c>
    </row>
    <row r="575" spans="1:3" ht="13.2" x14ac:dyDescent="0.25">
      <c r="A575" s="6">
        <v>573</v>
      </c>
      <c r="B575" s="7">
        <v>89.830001831054602</v>
      </c>
      <c r="C575" s="3">
        <f t="shared" si="2"/>
        <v>1.3900072538457198E-2</v>
      </c>
    </row>
    <row r="576" spans="1:3" ht="13.2" x14ac:dyDescent="0.25">
      <c r="A576" s="6">
        <v>574</v>
      </c>
      <c r="B576" s="7">
        <v>90.139999389648395</v>
      </c>
      <c r="C576" s="3">
        <f t="shared" si="2"/>
        <v>3.4449948666822384E-3</v>
      </c>
    </row>
    <row r="577" spans="1:3" ht="13.2" x14ac:dyDescent="0.25">
      <c r="A577" s="6">
        <v>575</v>
      </c>
      <c r="B577" s="7">
        <v>87.279998779296804</v>
      </c>
      <c r="C577" s="3">
        <f t="shared" si="2"/>
        <v>-3.2242682952593887E-2</v>
      </c>
    </row>
    <row r="578" spans="1:3" ht="13.2" x14ac:dyDescent="0.25">
      <c r="A578" s="6">
        <v>576</v>
      </c>
      <c r="B578" s="7">
        <v>88.870002746582003</v>
      </c>
      <c r="C578" s="3">
        <f t="shared" si="2"/>
        <v>1.8053331117241649E-2</v>
      </c>
    </row>
    <row r="579" spans="1:3" ht="13.2" x14ac:dyDescent="0.25">
      <c r="A579" s="6">
        <v>577</v>
      </c>
      <c r="B579" s="7">
        <v>91.190002441406193</v>
      </c>
      <c r="C579" s="3">
        <f t="shared" si="2"/>
        <v>2.5770610062315871E-2</v>
      </c>
    </row>
    <row r="580" spans="1:3" ht="13.2" x14ac:dyDescent="0.25">
      <c r="A580" s="6">
        <v>578</v>
      </c>
      <c r="B580" s="7">
        <v>93.510002136230398</v>
      </c>
      <c r="C580" s="3">
        <f t="shared" si="2"/>
        <v>2.5123136573981703E-2</v>
      </c>
    </row>
    <row r="581" spans="1:3" ht="13.2" x14ac:dyDescent="0.25">
      <c r="A581" s="6">
        <v>579</v>
      </c>
      <c r="B581" s="7">
        <v>97.989997863769503</v>
      </c>
      <c r="C581" s="3">
        <f t="shared" si="2"/>
        <v>4.6797005554936134E-2</v>
      </c>
    </row>
    <row r="582" spans="1:3" ht="13.2" x14ac:dyDescent="0.25">
      <c r="A582" s="6">
        <v>580</v>
      </c>
      <c r="B582" s="7">
        <v>101.290000915527</v>
      </c>
      <c r="C582" s="3">
        <f t="shared" si="2"/>
        <v>3.3122287890144993E-2</v>
      </c>
    </row>
    <row r="583" spans="1:3" ht="13.2" x14ac:dyDescent="0.25">
      <c r="A583" s="6">
        <v>581</v>
      </c>
      <c r="B583" s="7">
        <v>102.180000305175</v>
      </c>
      <c r="C583" s="3">
        <f t="shared" si="2"/>
        <v>8.7482681519163007E-3</v>
      </c>
    </row>
    <row r="584" spans="1:3" ht="13.2" x14ac:dyDescent="0.25">
      <c r="A584" s="6">
        <v>582</v>
      </c>
      <c r="B584" s="7">
        <v>104.61000061035099</v>
      </c>
      <c r="C584" s="3">
        <f t="shared" si="2"/>
        <v>2.3503188300913986E-2</v>
      </c>
    </row>
    <row r="585" spans="1:3" ht="13.2" x14ac:dyDescent="0.25">
      <c r="A585" s="6">
        <v>583</v>
      </c>
      <c r="B585" s="7">
        <v>105.84999847412099</v>
      </c>
      <c r="C585" s="3">
        <f t="shared" si="2"/>
        <v>1.1783827975182517E-2</v>
      </c>
    </row>
    <row r="586" spans="1:3" ht="13.2" x14ac:dyDescent="0.25">
      <c r="A586" s="6">
        <v>584</v>
      </c>
      <c r="B586" s="7">
        <v>99.970001220703097</v>
      </c>
      <c r="C586" s="3">
        <f t="shared" si="2"/>
        <v>-5.7152829975606355E-2</v>
      </c>
    </row>
    <row r="587" spans="1:3" ht="13.2" x14ac:dyDescent="0.25">
      <c r="A587" s="6">
        <v>585</v>
      </c>
      <c r="B587" s="7">
        <v>98.449996948242102</v>
      </c>
      <c r="C587" s="3">
        <f t="shared" si="2"/>
        <v>-1.532137910269815E-2</v>
      </c>
    </row>
    <row r="588" spans="1:3" ht="13.2" x14ac:dyDescent="0.25">
      <c r="A588" s="6">
        <v>586</v>
      </c>
      <c r="B588" s="7">
        <v>96.720001220703097</v>
      </c>
      <c r="C588" s="3">
        <f t="shared" si="2"/>
        <v>-1.7728555159548451E-2</v>
      </c>
    </row>
    <row r="589" spans="1:3" ht="13.2" x14ac:dyDescent="0.25">
      <c r="A589" s="6">
        <v>587</v>
      </c>
      <c r="B589" s="7">
        <v>98.75</v>
      </c>
      <c r="C589" s="3">
        <f t="shared" si="2"/>
        <v>2.0771184853694415E-2</v>
      </c>
    </row>
    <row r="590" spans="1:3" ht="13.2" x14ac:dyDescent="0.25">
      <c r="A590" s="6">
        <v>588</v>
      </c>
      <c r="B590" s="7">
        <v>97.809997558593693</v>
      </c>
      <c r="C590" s="3">
        <f t="shared" si="2"/>
        <v>-9.5646074395325225E-3</v>
      </c>
    </row>
    <row r="591" spans="1:3" ht="13.2" x14ac:dyDescent="0.25">
      <c r="A591" s="6">
        <v>589</v>
      </c>
      <c r="B591" s="7">
        <v>101.809997558593</v>
      </c>
      <c r="C591" s="3">
        <f t="shared" si="2"/>
        <v>4.0081510797373869E-2</v>
      </c>
    </row>
    <row r="592" spans="1:3" ht="13.2" x14ac:dyDescent="0.25">
      <c r="A592" s="6">
        <v>590</v>
      </c>
      <c r="B592" s="7">
        <v>101.919998168945</v>
      </c>
      <c r="C592" s="3">
        <f t="shared" si="2"/>
        <v>1.0798667191701168E-3</v>
      </c>
    </row>
    <row r="593" spans="1:3" ht="13.2" x14ac:dyDescent="0.25">
      <c r="A593" s="6">
        <v>591</v>
      </c>
      <c r="B593" s="7">
        <v>105.06999969482401</v>
      </c>
      <c r="C593" s="3">
        <f t="shared" si="2"/>
        <v>3.0438617937939338E-2</v>
      </c>
    </row>
    <row r="594" spans="1:3" ht="13.2" x14ac:dyDescent="0.25">
      <c r="A594" s="6">
        <v>592</v>
      </c>
      <c r="B594" s="7">
        <v>108.34999847412099</v>
      </c>
      <c r="C594" s="3">
        <f t="shared" si="2"/>
        <v>3.0739922103315321E-2</v>
      </c>
    </row>
    <row r="595" spans="1:3" ht="13.2" x14ac:dyDescent="0.25">
      <c r="A595" s="6">
        <v>593</v>
      </c>
      <c r="B595" s="7">
        <v>109.419998168945</v>
      </c>
      <c r="C595" s="3">
        <f t="shared" si="2"/>
        <v>9.8269580019928245E-3</v>
      </c>
    </row>
    <row r="596" spans="1:3" ht="13.2" x14ac:dyDescent="0.25">
      <c r="A596" s="6">
        <v>594</v>
      </c>
      <c r="B596" s="7">
        <v>115.699996948242</v>
      </c>
      <c r="C596" s="3">
        <f t="shared" si="2"/>
        <v>5.5806935921666592E-2</v>
      </c>
    </row>
    <row r="597" spans="1:3" ht="13.2" x14ac:dyDescent="0.25">
      <c r="A597" s="6">
        <v>595</v>
      </c>
      <c r="B597" s="7">
        <v>116.980003356933</v>
      </c>
      <c r="C597" s="3">
        <f t="shared" si="2"/>
        <v>1.1002400888362731E-2</v>
      </c>
    </row>
    <row r="598" spans="1:3" ht="13.2" x14ac:dyDescent="0.25">
      <c r="A598" s="6">
        <v>596</v>
      </c>
      <c r="B598" s="7">
        <v>117.199996948242</v>
      </c>
      <c r="C598" s="3">
        <f t="shared" si="2"/>
        <v>1.8788423925013827E-3</v>
      </c>
    </row>
    <row r="599" spans="1:3" ht="13.2" x14ac:dyDescent="0.25">
      <c r="A599" s="6">
        <v>597</v>
      </c>
      <c r="B599" s="7">
        <v>117.290000915527</v>
      </c>
      <c r="C599" s="3">
        <f t="shared" si="2"/>
        <v>7.6765723506229573E-4</v>
      </c>
    </row>
    <row r="600" spans="1:3" ht="13.2" x14ac:dyDescent="0.25">
      <c r="A600" s="6">
        <v>598</v>
      </c>
      <c r="B600" s="7">
        <v>114.419998168945</v>
      </c>
      <c r="C600" s="3">
        <f t="shared" si="2"/>
        <v>-2.4773635501628612E-2</v>
      </c>
    </row>
    <row r="601" spans="1:3" ht="13.2" x14ac:dyDescent="0.25">
      <c r="A601" s="6">
        <v>599</v>
      </c>
      <c r="B601" s="7">
        <v>115.56999969482401</v>
      </c>
      <c r="C601" s="3">
        <f t="shared" si="2"/>
        <v>1.0000531509279225E-2</v>
      </c>
    </row>
    <row r="602" spans="1:3" ht="13.2" x14ac:dyDescent="0.25">
      <c r="A602" s="6">
        <v>600</v>
      </c>
      <c r="B602" s="7">
        <v>113.680000305175</v>
      </c>
      <c r="C602" s="3">
        <f t="shared" si="2"/>
        <v>-1.6488917873379551E-2</v>
      </c>
    </row>
    <row r="603" spans="1:3" ht="13.2" x14ac:dyDescent="0.25">
      <c r="A603" s="6">
        <v>601</v>
      </c>
      <c r="B603" s="7">
        <v>108.41000366210901</v>
      </c>
      <c r="C603" s="3">
        <f t="shared" si="2"/>
        <v>-4.7467117019977391E-2</v>
      </c>
    </row>
    <row r="604" spans="1:3" ht="13.2" x14ac:dyDescent="0.25">
      <c r="A604" s="6">
        <v>602</v>
      </c>
      <c r="B604" s="7">
        <v>104.58999633789</v>
      </c>
      <c r="C604" s="3">
        <f t="shared" si="2"/>
        <v>-3.5872459701160007E-2</v>
      </c>
    </row>
    <row r="605" spans="1:3" ht="13.2" x14ac:dyDescent="0.25">
      <c r="A605" s="6">
        <v>603</v>
      </c>
      <c r="B605" s="7">
        <v>103.33999633789</v>
      </c>
      <c r="C605" s="3">
        <f t="shared" si="2"/>
        <v>-1.2023422330666873E-2</v>
      </c>
    </row>
    <row r="606" spans="1:3" ht="13.2" x14ac:dyDescent="0.25">
      <c r="A606" s="6">
        <v>604</v>
      </c>
      <c r="B606" s="7">
        <v>109.459999084472</v>
      </c>
      <c r="C606" s="3">
        <f t="shared" si="2"/>
        <v>5.7534689930180398E-2</v>
      </c>
    </row>
    <row r="607" spans="1:3" ht="13.2" x14ac:dyDescent="0.25">
      <c r="A607" s="6">
        <v>605</v>
      </c>
      <c r="B607" s="7">
        <v>114.680000305175</v>
      </c>
      <c r="C607" s="3">
        <f t="shared" si="2"/>
        <v>4.6586466324539111E-2</v>
      </c>
    </row>
    <row r="608" spans="1:3" ht="13.2" x14ac:dyDescent="0.25">
      <c r="A608" s="6">
        <v>606</v>
      </c>
      <c r="B608" s="7">
        <v>116.77999877929599</v>
      </c>
      <c r="C608" s="3">
        <f t="shared" si="2"/>
        <v>1.8146168726099168E-2</v>
      </c>
    </row>
    <row r="609" spans="1:3" ht="13.2" x14ac:dyDescent="0.25">
      <c r="A609" s="6">
        <v>607</v>
      </c>
      <c r="B609" s="7">
        <v>116.150001525878</v>
      </c>
      <c r="C609" s="3">
        <f t="shared" si="2"/>
        <v>-5.4093400488176369E-3</v>
      </c>
    </row>
    <row r="610" spans="1:3" ht="13.2" x14ac:dyDescent="0.25">
      <c r="A610" s="6">
        <v>608</v>
      </c>
      <c r="B610" s="7">
        <v>119.120002746582</v>
      </c>
      <c r="C610" s="3">
        <f t="shared" si="2"/>
        <v>2.5248939079472225E-2</v>
      </c>
    </row>
    <row r="611" spans="1:3" ht="13.2" x14ac:dyDescent="0.25">
      <c r="A611" s="6">
        <v>609</v>
      </c>
      <c r="B611" s="7">
        <v>115.23999786376901</v>
      </c>
      <c r="C611" s="3">
        <f t="shared" si="2"/>
        <v>-3.311451975393101E-2</v>
      </c>
    </row>
    <row r="612" spans="1:3" ht="13.2" x14ac:dyDescent="0.25">
      <c r="A612" s="6">
        <v>610</v>
      </c>
      <c r="B612" s="7">
        <v>116.36000061035099</v>
      </c>
      <c r="C612" s="3">
        <f t="shared" si="2"/>
        <v>9.6719471932763222E-3</v>
      </c>
    </row>
    <row r="613" spans="1:3" ht="13.2" x14ac:dyDescent="0.25">
      <c r="A613" s="6">
        <v>611</v>
      </c>
      <c r="B613" s="7">
        <v>116.900001525878</v>
      </c>
      <c r="C613" s="3">
        <f t="shared" si="2"/>
        <v>4.630042658502454E-3</v>
      </c>
    </row>
    <row r="614" spans="1:3" ht="13.2" x14ac:dyDescent="0.25">
      <c r="A614" s="6">
        <v>612</v>
      </c>
      <c r="B614" s="7">
        <v>115.389999389648</v>
      </c>
      <c r="C614" s="3">
        <f t="shared" si="2"/>
        <v>-1.3001191613765388E-2</v>
      </c>
    </row>
    <row r="615" spans="1:3" ht="13.2" x14ac:dyDescent="0.25">
      <c r="A615" s="6">
        <v>613</v>
      </c>
      <c r="B615" s="7">
        <v>119</v>
      </c>
      <c r="C615" s="3">
        <f t="shared" si="2"/>
        <v>3.0805803194423498E-2</v>
      </c>
    </row>
    <row r="616" spans="1:3" ht="13.2" x14ac:dyDescent="0.25">
      <c r="A616" s="6">
        <v>614</v>
      </c>
      <c r="B616" s="7">
        <v>117.51000213623</v>
      </c>
      <c r="C616" s="3">
        <f t="shared" si="2"/>
        <v>-1.2600038586546227E-2</v>
      </c>
    </row>
    <row r="617" spans="1:3" ht="13.2" x14ac:dyDescent="0.25">
      <c r="A617" s="6">
        <v>615</v>
      </c>
      <c r="B617" s="7">
        <v>118.83999633789</v>
      </c>
      <c r="C617" s="3">
        <f t="shared" si="2"/>
        <v>1.1254565253957143E-2</v>
      </c>
    </row>
    <row r="618" spans="1:3" ht="13.2" x14ac:dyDescent="0.25">
      <c r="A618" s="6">
        <v>616</v>
      </c>
      <c r="B618" s="7">
        <v>113.26999664306599</v>
      </c>
      <c r="C618" s="3">
        <f t="shared" si="2"/>
        <v>-4.8003700202886003E-2</v>
      </c>
    </row>
    <row r="619" spans="1:3" ht="13.2" x14ac:dyDescent="0.25">
      <c r="A619" s="6">
        <v>617</v>
      </c>
      <c r="B619" s="7">
        <v>109.709999084472</v>
      </c>
      <c r="C619" s="3">
        <f t="shared" si="2"/>
        <v>-3.1933807091636963E-2</v>
      </c>
    </row>
    <row r="620" spans="1:3" ht="13.2" x14ac:dyDescent="0.25">
      <c r="A620" s="6">
        <v>618</v>
      </c>
      <c r="B620" s="7">
        <v>113.540000915527</v>
      </c>
      <c r="C620" s="3">
        <f t="shared" si="2"/>
        <v>3.431469332163823E-2</v>
      </c>
    </row>
    <row r="621" spans="1:3" ht="13.2" x14ac:dyDescent="0.25">
      <c r="A621" s="6">
        <v>619</v>
      </c>
      <c r="B621" s="7">
        <v>111.76999664306599</v>
      </c>
      <c r="C621" s="3">
        <f t="shared" si="2"/>
        <v>-1.5712047442838488E-2</v>
      </c>
    </row>
    <row r="622" spans="1:3" ht="13.2" x14ac:dyDescent="0.25">
      <c r="A622" s="6">
        <v>620</v>
      </c>
      <c r="B622" s="7">
        <v>113.650001525878</v>
      </c>
      <c r="C622" s="3">
        <f t="shared" si="2"/>
        <v>1.6680405361450216E-2</v>
      </c>
    </row>
    <row r="623" spans="1:3" ht="13.2" x14ac:dyDescent="0.25">
      <c r="A623" s="6">
        <v>621</v>
      </c>
      <c r="B623" s="7">
        <v>107.69000244140599</v>
      </c>
      <c r="C623" s="3">
        <f t="shared" si="2"/>
        <v>-5.3866811713193713E-2</v>
      </c>
    </row>
    <row r="624" spans="1:3" ht="13.2" x14ac:dyDescent="0.25">
      <c r="A624" s="6">
        <v>622</v>
      </c>
      <c r="B624" s="7">
        <v>107.51999664306599</v>
      </c>
      <c r="C624" s="3">
        <f t="shared" si="2"/>
        <v>-1.5799064581191306E-3</v>
      </c>
    </row>
    <row r="625" spans="1:3" ht="13.2" x14ac:dyDescent="0.25">
      <c r="A625" s="6">
        <v>623</v>
      </c>
      <c r="B625" s="7">
        <v>107.83999633789</v>
      </c>
      <c r="C625" s="3">
        <f t="shared" si="2"/>
        <v>2.9717676519065909E-3</v>
      </c>
    </row>
    <row r="626" spans="1:3" ht="13.2" x14ac:dyDescent="0.25">
      <c r="A626" s="6">
        <v>624</v>
      </c>
      <c r="B626" s="7">
        <v>110.08000183105401</v>
      </c>
      <c r="C626" s="3">
        <f t="shared" si="2"/>
        <v>2.0558777613620453E-2</v>
      </c>
    </row>
    <row r="627" spans="1:3" ht="13.2" x14ac:dyDescent="0.25">
      <c r="A627" s="6">
        <v>625</v>
      </c>
      <c r="B627" s="7">
        <v>104.84999847412099</v>
      </c>
      <c r="C627" s="3">
        <f t="shared" si="2"/>
        <v>-4.8676648023923706E-2</v>
      </c>
    </row>
    <row r="628" spans="1:3" ht="13.2" x14ac:dyDescent="0.25">
      <c r="A628" s="6">
        <v>626</v>
      </c>
      <c r="B628" s="7">
        <v>102.36000061035099</v>
      </c>
      <c r="C628" s="3">
        <f t="shared" si="2"/>
        <v>-2.403472554058169E-2</v>
      </c>
    </row>
    <row r="629" spans="1:3" ht="13.2" x14ac:dyDescent="0.25">
      <c r="A629" s="6">
        <v>627</v>
      </c>
      <c r="B629" s="7">
        <v>98.910003662109304</v>
      </c>
      <c r="C629" s="3">
        <f t="shared" si="2"/>
        <v>-3.4285634477965621E-2</v>
      </c>
    </row>
    <row r="630" spans="1:3" ht="13.2" x14ac:dyDescent="0.25">
      <c r="A630" s="6">
        <v>628</v>
      </c>
      <c r="B630" s="7">
        <v>97.870002746582003</v>
      </c>
      <c r="C630" s="3">
        <f t="shared" si="2"/>
        <v>-1.0570287275108635E-2</v>
      </c>
    </row>
    <row r="631" spans="1:3" ht="13.2" x14ac:dyDescent="0.25">
      <c r="A631" s="6">
        <v>629</v>
      </c>
      <c r="B631" s="7">
        <v>97.699996948242102</v>
      </c>
      <c r="C631" s="3">
        <f t="shared" si="2"/>
        <v>-1.7385676885725266E-3</v>
      </c>
    </row>
    <row r="632" spans="1:3" ht="13.2" x14ac:dyDescent="0.25">
      <c r="A632" s="6">
        <v>630</v>
      </c>
      <c r="B632" s="7">
        <v>99.529998779296804</v>
      </c>
      <c r="C632" s="3">
        <f t="shared" si="2"/>
        <v>1.8557566180566833E-2</v>
      </c>
    </row>
    <row r="633" spans="1:3" ht="13.2" x14ac:dyDescent="0.25">
      <c r="A633" s="6">
        <v>631</v>
      </c>
      <c r="B633" s="7">
        <v>98.279998779296804</v>
      </c>
      <c r="C633" s="3">
        <f t="shared" si="2"/>
        <v>-1.2638558760985371E-2</v>
      </c>
    </row>
    <row r="634" spans="1:3" ht="13.2" x14ac:dyDescent="0.25">
      <c r="A634" s="6">
        <v>632</v>
      </c>
      <c r="B634" s="7">
        <v>95.519996643066406</v>
      </c>
      <c r="C634" s="3">
        <f t="shared" si="2"/>
        <v>-2.848492073179671E-2</v>
      </c>
    </row>
    <row r="635" spans="1:3" ht="13.2" x14ac:dyDescent="0.25">
      <c r="A635" s="6">
        <v>633</v>
      </c>
      <c r="B635" s="7">
        <v>96.25</v>
      </c>
      <c r="C635" s="3">
        <f t="shared" si="2"/>
        <v>7.6133586673795099E-3</v>
      </c>
    </row>
    <row r="636" spans="1:3" ht="13.2" x14ac:dyDescent="0.25">
      <c r="A636" s="6">
        <v>634</v>
      </c>
      <c r="B636" s="7">
        <v>99.279998779296804</v>
      </c>
      <c r="C636" s="3">
        <f t="shared" si="2"/>
        <v>3.0995155432898162E-2</v>
      </c>
    </row>
    <row r="637" spans="1:3" ht="13.2" x14ac:dyDescent="0.25">
      <c r="A637" s="6">
        <v>635</v>
      </c>
      <c r="B637" s="7">
        <v>99.769996643066406</v>
      </c>
      <c r="C637" s="3">
        <f t="shared" si="2"/>
        <v>4.923374677900192E-3</v>
      </c>
    </row>
    <row r="638" spans="1:3" ht="13.2" x14ac:dyDescent="0.25">
      <c r="A638" s="6">
        <v>636</v>
      </c>
      <c r="B638" s="7">
        <v>98</v>
      </c>
      <c r="C638" s="3">
        <f t="shared" si="2"/>
        <v>-1.7900024608119916E-2</v>
      </c>
    </row>
    <row r="639" spans="1:3" ht="13.2" x14ac:dyDescent="0.25">
      <c r="A639" s="6">
        <v>637</v>
      </c>
      <c r="B639" s="7">
        <v>97.290000915527301</v>
      </c>
      <c r="C639" s="3">
        <f t="shared" si="2"/>
        <v>-7.271260272943795E-3</v>
      </c>
    </row>
    <row r="640" spans="1:3" ht="13.2" x14ac:dyDescent="0.25">
      <c r="A640" s="6">
        <v>638</v>
      </c>
      <c r="B640" s="7">
        <v>94.129997253417898</v>
      </c>
      <c r="C640" s="3">
        <f t="shared" si="2"/>
        <v>-3.3019442017104869E-2</v>
      </c>
    </row>
    <row r="641" spans="1:3" ht="13.2" x14ac:dyDescent="0.25">
      <c r="A641" s="6">
        <v>639</v>
      </c>
      <c r="B641" s="7">
        <v>91.400001525878906</v>
      </c>
      <c r="C641" s="3">
        <f t="shared" si="2"/>
        <v>-2.9431281225901492E-2</v>
      </c>
    </row>
    <row r="642" spans="1:3" ht="13.2" x14ac:dyDescent="0.25">
      <c r="A642" s="6">
        <v>640</v>
      </c>
      <c r="B642" s="7">
        <v>91.989997863769503</v>
      </c>
      <c r="C642" s="3">
        <f t="shared" si="2"/>
        <v>6.4343571120230305E-3</v>
      </c>
    </row>
    <row r="643" spans="1:3" ht="13.2" x14ac:dyDescent="0.25">
      <c r="A643" s="6">
        <v>641</v>
      </c>
      <c r="B643" s="7">
        <v>90.790000915527301</v>
      </c>
      <c r="C643" s="3">
        <f t="shared" si="2"/>
        <v>-1.3130694798968646E-2</v>
      </c>
    </row>
    <row r="644" spans="1:3" ht="13.2" x14ac:dyDescent="0.25">
      <c r="A644" s="6">
        <v>642</v>
      </c>
      <c r="B644" s="7">
        <v>90.089996337890597</v>
      </c>
      <c r="C644" s="3">
        <f t="shared" si="2"/>
        <v>-7.740027453783398E-3</v>
      </c>
    </row>
    <row r="645" spans="1:3" ht="13.2" x14ac:dyDescent="0.25">
      <c r="A645" s="6">
        <v>643</v>
      </c>
      <c r="B645" s="7">
        <v>90.760002136230398</v>
      </c>
      <c r="C645" s="3">
        <f t="shared" si="2"/>
        <v>7.4095534348831678E-3</v>
      </c>
    </row>
    <row r="646" spans="1:3" ht="13.2" x14ac:dyDescent="0.25">
      <c r="A646" s="6">
        <v>644</v>
      </c>
      <c r="B646" s="7">
        <v>95.110000610351506</v>
      </c>
      <c r="C646" s="3">
        <f t="shared" si="2"/>
        <v>4.6815439462840329E-2</v>
      </c>
    </row>
    <row r="647" spans="1:3" ht="13.2" x14ac:dyDescent="0.25">
      <c r="A647" s="6">
        <v>645</v>
      </c>
      <c r="B647" s="7">
        <v>93.879997253417898</v>
      </c>
      <c r="C647" s="3">
        <f t="shared" si="2"/>
        <v>-1.3016781185100893E-2</v>
      </c>
    </row>
    <row r="648" spans="1:3" ht="13.2" x14ac:dyDescent="0.25">
      <c r="A648" s="6">
        <v>646</v>
      </c>
      <c r="B648" s="7">
        <v>101.180000305175</v>
      </c>
      <c r="C648" s="3">
        <f t="shared" si="2"/>
        <v>7.4883770153433976E-2</v>
      </c>
    </row>
    <row r="649" spans="1:3" ht="13.2" x14ac:dyDescent="0.25">
      <c r="A649" s="6">
        <v>647</v>
      </c>
      <c r="B649" s="7">
        <v>102.430000305175</v>
      </c>
      <c r="C649" s="3">
        <f t="shared" si="2"/>
        <v>1.2278529547845553E-2</v>
      </c>
    </row>
    <row r="650" spans="1:3" ht="13.2" x14ac:dyDescent="0.25">
      <c r="A650" s="6">
        <v>648</v>
      </c>
      <c r="B650" s="7">
        <v>98.690002441406193</v>
      </c>
      <c r="C650" s="3">
        <f t="shared" si="2"/>
        <v>-3.7195992505748073E-2</v>
      </c>
    </row>
    <row r="651" spans="1:3" ht="13.2" x14ac:dyDescent="0.25">
      <c r="A651" s="6">
        <v>649</v>
      </c>
      <c r="B651" s="7">
        <v>98.019996643066406</v>
      </c>
      <c r="C651" s="3">
        <f t="shared" si="2"/>
        <v>-6.8121436880812731E-3</v>
      </c>
    </row>
    <row r="652" spans="1:3" ht="13.2" x14ac:dyDescent="0.25">
      <c r="A652" s="6">
        <v>650</v>
      </c>
      <c r="B652" s="7">
        <v>100.01000213623</v>
      </c>
      <c r="C652" s="3">
        <f t="shared" si="2"/>
        <v>2.0098697114622827E-2</v>
      </c>
    </row>
    <row r="653" spans="1:3" ht="13.2" x14ac:dyDescent="0.25">
      <c r="A653" s="6">
        <v>651</v>
      </c>
      <c r="B653" s="7">
        <v>98.290000915527301</v>
      </c>
      <c r="C653" s="3">
        <f t="shared" si="2"/>
        <v>-1.7347900455498656E-2</v>
      </c>
    </row>
    <row r="654" spans="1:3" ht="13.2" x14ac:dyDescent="0.25">
      <c r="A654" s="6">
        <v>652</v>
      </c>
      <c r="B654" s="7">
        <v>101.949996948242</v>
      </c>
      <c r="C654" s="3">
        <f t="shared" si="2"/>
        <v>3.6560165193504343E-2</v>
      </c>
    </row>
    <row r="655" spans="1:3" ht="13.2" x14ac:dyDescent="0.25">
      <c r="A655" s="6">
        <v>653</v>
      </c>
      <c r="B655" s="7">
        <v>102.08000183105401</v>
      </c>
      <c r="C655" s="3">
        <f t="shared" si="2"/>
        <v>1.274370447326631E-3</v>
      </c>
    </row>
    <row r="656" spans="1:3" ht="13.2" x14ac:dyDescent="0.25">
      <c r="A656" s="6">
        <v>654</v>
      </c>
      <c r="B656" s="7">
        <v>97.209999084472599</v>
      </c>
      <c r="C656" s="3">
        <f t="shared" si="2"/>
        <v>-4.8883260118980573E-2</v>
      </c>
    </row>
    <row r="657" spans="1:3" ht="13.2" x14ac:dyDescent="0.25">
      <c r="A657" s="6">
        <v>655</v>
      </c>
      <c r="B657" s="7">
        <v>98.260002136230398</v>
      </c>
      <c r="C657" s="3">
        <f t="shared" si="2"/>
        <v>1.0743471066151943E-2</v>
      </c>
    </row>
    <row r="658" spans="1:3" ht="13.2" x14ac:dyDescent="0.25">
      <c r="A658" s="6">
        <v>656</v>
      </c>
      <c r="B658" s="7">
        <v>100.91000366210901</v>
      </c>
      <c r="C658" s="3">
        <f t="shared" si="2"/>
        <v>2.6612018286187936E-2</v>
      </c>
    </row>
    <row r="659" spans="1:3" ht="13.2" x14ac:dyDescent="0.25">
      <c r="A659" s="6">
        <v>657</v>
      </c>
      <c r="B659" s="7">
        <v>99.800003051757798</v>
      </c>
      <c r="C659" s="3">
        <f t="shared" si="2"/>
        <v>-1.1060852871126823E-2</v>
      </c>
    </row>
    <row r="660" spans="1:3" ht="13.2" x14ac:dyDescent="0.25">
      <c r="A660" s="6">
        <v>658</v>
      </c>
      <c r="B660" s="7">
        <v>99.989997863769503</v>
      </c>
      <c r="C660" s="3">
        <f t="shared" si="2"/>
        <v>1.9019457271630773E-3</v>
      </c>
    </row>
    <row r="661" spans="1:3" ht="13.2" x14ac:dyDescent="0.25">
      <c r="A661" s="6">
        <v>659</v>
      </c>
      <c r="B661" s="7">
        <v>101.930000305175</v>
      </c>
      <c r="C661" s="3">
        <f t="shared" si="2"/>
        <v>1.9216146550971439E-2</v>
      </c>
    </row>
    <row r="662" spans="1:3" ht="13.2" x14ac:dyDescent="0.25">
      <c r="A662" s="6">
        <v>660</v>
      </c>
      <c r="B662" s="7">
        <v>97.629997253417898</v>
      </c>
      <c r="C662" s="3">
        <f t="shared" si="2"/>
        <v>-4.3101511069270931E-2</v>
      </c>
    </row>
    <row r="663" spans="1:3" ht="13.2" x14ac:dyDescent="0.25">
      <c r="A663" s="6">
        <v>661</v>
      </c>
      <c r="B663" s="7">
        <v>93.809997558593693</v>
      </c>
      <c r="C663" s="3">
        <f t="shared" si="2"/>
        <v>-3.9913360992168925E-2</v>
      </c>
    </row>
    <row r="664" spans="1:3" ht="13.2" x14ac:dyDescent="0.25">
      <c r="A664" s="6">
        <v>662</v>
      </c>
      <c r="B664" s="7">
        <v>93.010002136230398</v>
      </c>
      <c r="C664" s="3">
        <f t="shared" si="2"/>
        <v>-8.5643968907229886E-3</v>
      </c>
    </row>
    <row r="665" spans="1:3" ht="13.2" x14ac:dyDescent="0.25">
      <c r="A665" s="6">
        <v>663</v>
      </c>
      <c r="B665" s="7">
        <v>94.569999694824205</v>
      </c>
      <c r="C665" s="3">
        <f t="shared" si="2"/>
        <v>1.6633260578312565E-2</v>
      </c>
    </row>
    <row r="666" spans="1:3" ht="13.2" x14ac:dyDescent="0.25">
      <c r="A666" s="6">
        <v>664</v>
      </c>
      <c r="B666" s="7">
        <v>90.370002746582003</v>
      </c>
      <c r="C666" s="3">
        <f t="shared" si="2"/>
        <v>-4.5427913493943345E-2</v>
      </c>
    </row>
    <row r="667" spans="1:3" ht="13.2" x14ac:dyDescent="0.25">
      <c r="A667" s="6">
        <v>665</v>
      </c>
      <c r="B667" s="7">
        <v>90.459999084472599</v>
      </c>
      <c r="C667" s="3">
        <f t="shared" si="2"/>
        <v>9.953696224045299E-4</v>
      </c>
    </row>
    <row r="668" spans="1:3" ht="13.2" x14ac:dyDescent="0.25">
      <c r="A668" s="6">
        <v>666</v>
      </c>
      <c r="B668" s="7">
        <v>90.300003051757798</v>
      </c>
      <c r="C668" s="3">
        <f t="shared" si="2"/>
        <v>-1.7702597101923576E-3</v>
      </c>
    </row>
    <row r="669" spans="1:3" ht="13.2" x14ac:dyDescent="0.25">
      <c r="A669" s="6">
        <v>667</v>
      </c>
      <c r="B669" s="7">
        <v>95.559997558593693</v>
      </c>
      <c r="C669" s="3">
        <f t="shared" si="2"/>
        <v>5.6616802690489229E-2</v>
      </c>
    </row>
    <row r="670" spans="1:3" ht="13.2" x14ac:dyDescent="0.25">
      <c r="A670" s="6">
        <v>668</v>
      </c>
      <c r="B670" s="7">
        <v>90.75</v>
      </c>
      <c r="C670" s="3">
        <f t="shared" si="2"/>
        <v>-5.1645823764235689E-2</v>
      </c>
    </row>
    <row r="671" spans="1:3" ht="13.2" x14ac:dyDescent="0.25">
      <c r="A671" s="6">
        <v>669</v>
      </c>
      <c r="B671" s="7">
        <v>91.029998779296804</v>
      </c>
      <c r="C671" s="3">
        <f t="shared" si="2"/>
        <v>3.0806359623371258E-3</v>
      </c>
    </row>
    <row r="672" spans="1:3" ht="13.2" x14ac:dyDescent="0.25">
      <c r="A672" s="6">
        <v>670</v>
      </c>
      <c r="B672" s="7">
        <v>86.459999084472599</v>
      </c>
      <c r="C672" s="3">
        <f t="shared" si="2"/>
        <v>-5.1507240456840089E-2</v>
      </c>
    </row>
    <row r="673" spans="1:3" ht="13.2" x14ac:dyDescent="0.25">
      <c r="A673" s="6">
        <v>671</v>
      </c>
      <c r="B673" s="7">
        <v>81.519996643066406</v>
      </c>
      <c r="C673" s="3">
        <f t="shared" si="2"/>
        <v>-5.8833520915252562E-2</v>
      </c>
    </row>
    <row r="674" spans="1:3" ht="13.2" x14ac:dyDescent="0.25">
      <c r="A674" s="6">
        <v>672</v>
      </c>
      <c r="B674" s="7">
        <v>84.75</v>
      </c>
      <c r="C674" s="3">
        <f t="shared" si="2"/>
        <v>3.8857398525354983E-2</v>
      </c>
    </row>
    <row r="675" spans="1:3" ht="13.2" x14ac:dyDescent="0.25">
      <c r="A675" s="6">
        <v>673</v>
      </c>
      <c r="B675" s="7">
        <v>85.959999084472599</v>
      </c>
      <c r="C675" s="3">
        <f t="shared" si="2"/>
        <v>1.4176314863128805E-2</v>
      </c>
    </row>
    <row r="676" spans="1:3" ht="13.2" x14ac:dyDescent="0.25">
      <c r="A676" s="6">
        <v>674</v>
      </c>
      <c r="B676" s="7">
        <v>87.970001220703097</v>
      </c>
      <c r="C676" s="3">
        <f t="shared" si="2"/>
        <v>2.3113800017251333E-2</v>
      </c>
    </row>
    <row r="677" spans="1:3" ht="13.2" x14ac:dyDescent="0.25">
      <c r="A677" s="6">
        <v>675</v>
      </c>
      <c r="B677" s="7">
        <v>86.339996337890597</v>
      </c>
      <c r="C677" s="3">
        <f t="shared" si="2"/>
        <v>-1.8702913428589513E-2</v>
      </c>
    </row>
    <row r="678" spans="1:3" ht="13.2" x14ac:dyDescent="0.25">
      <c r="A678" s="6">
        <v>676</v>
      </c>
      <c r="B678" s="7">
        <v>83.269996643066406</v>
      </c>
      <c r="C678" s="3">
        <f t="shared" si="2"/>
        <v>-3.6204647778464646E-2</v>
      </c>
    </row>
    <row r="679" spans="1:3" ht="13.2" x14ac:dyDescent="0.25">
      <c r="A679" s="6">
        <v>677</v>
      </c>
      <c r="B679" s="7">
        <v>82.120002746582003</v>
      </c>
      <c r="C679" s="3">
        <f t="shared" si="2"/>
        <v>-1.3906674337196102E-2</v>
      </c>
    </row>
    <row r="680" spans="1:3" ht="13.2" x14ac:dyDescent="0.25">
      <c r="A680" s="6">
        <v>678</v>
      </c>
      <c r="B680" s="7">
        <v>84.190002441406193</v>
      </c>
      <c r="C680" s="3">
        <f t="shared" si="2"/>
        <v>2.4894552751649861E-2</v>
      </c>
    </row>
    <row r="681" spans="1:3" ht="13.2" x14ac:dyDescent="0.25">
      <c r="A681" s="6">
        <v>679</v>
      </c>
      <c r="B681" s="7">
        <v>80.910003662109304</v>
      </c>
      <c r="C681" s="3">
        <f t="shared" si="2"/>
        <v>-3.9738707267075422E-2</v>
      </c>
    </row>
    <row r="682" spans="1:3" ht="13.2" x14ac:dyDescent="0.25">
      <c r="A682" s="6">
        <v>680</v>
      </c>
      <c r="B682" s="7">
        <v>81.309997558593693</v>
      </c>
      <c r="C682" s="3">
        <f t="shared" si="2"/>
        <v>4.9315091125772779E-3</v>
      </c>
    </row>
    <row r="683" spans="1:3" ht="13.2" x14ac:dyDescent="0.25">
      <c r="A683" s="6">
        <v>681</v>
      </c>
      <c r="B683" s="7">
        <v>84.680000305175696</v>
      </c>
      <c r="C683" s="3">
        <f t="shared" si="2"/>
        <v>4.0610469676693128E-2</v>
      </c>
    </row>
    <row r="684" spans="1:3" ht="13.2" x14ac:dyDescent="0.25">
      <c r="A684" s="6">
        <v>682</v>
      </c>
      <c r="B684" s="7">
        <v>84.830001831054602</v>
      </c>
      <c r="C684" s="3">
        <f t="shared" si="2"/>
        <v>1.7698255340976726E-3</v>
      </c>
    </row>
    <row r="685" spans="1:3" ht="13.2" x14ac:dyDescent="0.25">
      <c r="A685" s="6">
        <v>683</v>
      </c>
      <c r="B685" s="7">
        <v>83.029998779296804</v>
      </c>
      <c r="C685" s="3">
        <f t="shared" si="2"/>
        <v>-2.1447301832646315E-2</v>
      </c>
    </row>
    <row r="686" spans="1:3" ht="13.2" x14ac:dyDescent="0.25">
      <c r="A686" s="6">
        <v>684</v>
      </c>
      <c r="B686" s="7">
        <v>81.959999084472599</v>
      </c>
      <c r="C686" s="3">
        <f t="shared" si="2"/>
        <v>-1.2970661371703987E-2</v>
      </c>
    </row>
    <row r="687" spans="1:3" ht="13.2" x14ac:dyDescent="0.25">
      <c r="A687" s="6">
        <v>685</v>
      </c>
      <c r="B687" s="7">
        <v>81.779998779296804</v>
      </c>
      <c r="C687" s="3">
        <f t="shared" si="2"/>
        <v>-2.1986121904570078E-3</v>
      </c>
    </row>
    <row r="688" spans="1:3" ht="13.2" x14ac:dyDescent="0.25">
      <c r="A688" s="6">
        <v>686</v>
      </c>
      <c r="B688" s="7">
        <v>78.269996643066406</v>
      </c>
      <c r="C688" s="3">
        <f t="shared" si="2"/>
        <v>-4.386835508222648E-2</v>
      </c>
    </row>
    <row r="689" spans="1:3" ht="13.2" x14ac:dyDescent="0.25">
      <c r="A689" s="6">
        <v>687</v>
      </c>
      <c r="B689" s="7">
        <v>77.910003662109304</v>
      </c>
      <c r="C689" s="3">
        <f t="shared" si="2"/>
        <v>-4.6099835804773734E-3</v>
      </c>
    </row>
    <row r="690" spans="1:3" ht="13.2" x14ac:dyDescent="0.25">
      <c r="A690" s="6">
        <v>688</v>
      </c>
      <c r="B690" s="7">
        <v>77.440002441406193</v>
      </c>
      <c r="C690" s="3">
        <f t="shared" si="2"/>
        <v>-6.0508868523766824E-3</v>
      </c>
    </row>
    <row r="691" spans="1:3" ht="13.2" x14ac:dyDescent="0.25">
      <c r="A691" s="6">
        <v>689</v>
      </c>
      <c r="B691" s="7">
        <v>76.489997863769503</v>
      </c>
      <c r="C691" s="3">
        <f t="shared" si="2"/>
        <v>-1.2343489089202115E-2</v>
      </c>
    </row>
    <row r="692" spans="1:3" ht="13.2" x14ac:dyDescent="0.25">
      <c r="A692" s="6">
        <v>690</v>
      </c>
      <c r="B692" s="7">
        <v>77.199996948242102</v>
      </c>
      <c r="C692" s="3">
        <f t="shared" si="2"/>
        <v>9.2394320946451117E-3</v>
      </c>
    </row>
    <row r="693" spans="1:3" ht="13.2" x14ac:dyDescent="0.25">
      <c r="A693" s="6">
        <v>691</v>
      </c>
      <c r="B693" s="7">
        <v>78.360000610351506</v>
      </c>
      <c r="C693" s="3">
        <f t="shared" si="2"/>
        <v>1.4914183365222785E-2</v>
      </c>
    </row>
    <row r="694" spans="1:3" ht="13.2" x14ac:dyDescent="0.25">
      <c r="A694" s="6">
        <v>692</v>
      </c>
      <c r="B694" s="7">
        <v>78.279998779296804</v>
      </c>
      <c r="C694" s="3">
        <f t="shared" si="2"/>
        <v>-1.0214739315966607E-3</v>
      </c>
    </row>
    <row r="695" spans="1:3" ht="13.2" x14ac:dyDescent="0.25">
      <c r="A695" s="6">
        <v>693</v>
      </c>
      <c r="B695" s="7">
        <v>78.099998474121094</v>
      </c>
      <c r="C695" s="3">
        <f t="shared" si="2"/>
        <v>-2.3020896256749465E-3</v>
      </c>
    </row>
    <row r="696" spans="1:3" ht="13.2" x14ac:dyDescent="0.25">
      <c r="A696" s="6">
        <v>694</v>
      </c>
      <c r="B696" s="7">
        <v>75.830001831054602</v>
      </c>
      <c r="C696" s="3">
        <f t="shared" si="2"/>
        <v>-2.9496020448457897E-2</v>
      </c>
    </row>
    <row r="697" spans="1:3" ht="13.2" x14ac:dyDescent="0.25">
      <c r="A697" s="6">
        <v>695</v>
      </c>
      <c r="B697" s="7">
        <v>75.319999694824205</v>
      </c>
      <c r="C697" s="3">
        <f t="shared" si="2"/>
        <v>-6.7483171224518084E-3</v>
      </c>
    </row>
    <row r="698" spans="1:3" ht="13.2" x14ac:dyDescent="0.25">
      <c r="A698" s="6">
        <v>696</v>
      </c>
      <c r="B698" s="7">
        <v>78.639999389648395</v>
      </c>
      <c r="C698" s="3">
        <f t="shared" si="2"/>
        <v>4.3134768340344777E-2</v>
      </c>
    </row>
    <row r="699" spans="1:3" ht="13.2" x14ac:dyDescent="0.25">
      <c r="A699" s="6">
        <v>697</v>
      </c>
      <c r="B699" s="7">
        <v>80.599998474121094</v>
      </c>
      <c r="C699" s="3">
        <f t="shared" si="2"/>
        <v>2.4618162503509108E-2</v>
      </c>
    </row>
    <row r="700" spans="1:3" ht="13.2" x14ac:dyDescent="0.25">
      <c r="A700" s="6">
        <v>698</v>
      </c>
      <c r="B700" s="7">
        <v>76.419998168945298</v>
      </c>
      <c r="C700" s="3">
        <f t="shared" si="2"/>
        <v>-5.3254212522740971E-2</v>
      </c>
    </row>
    <row r="701" spans="1:3" ht="13.2" x14ac:dyDescent="0.25">
      <c r="A701" s="6">
        <v>699</v>
      </c>
      <c r="B701" s="7">
        <v>76.459999084472599</v>
      </c>
      <c r="C701" s="3">
        <f t="shared" si="2"/>
        <v>5.2329823598599773E-4</v>
      </c>
    </row>
    <row r="702" spans="1:3" ht="13.2" x14ac:dyDescent="0.25">
      <c r="A702" s="6">
        <v>700</v>
      </c>
      <c r="B702" s="7">
        <v>76.089996337890597</v>
      </c>
      <c r="C702" s="3">
        <f t="shared" si="2"/>
        <v>-4.8509142345527344E-3</v>
      </c>
    </row>
    <row r="703" spans="1:3" ht="13.2" x14ac:dyDescent="0.25">
      <c r="A703" s="6">
        <v>701</v>
      </c>
      <c r="B703" s="7">
        <v>75.669998168945298</v>
      </c>
      <c r="C703" s="3">
        <f t="shared" si="2"/>
        <v>-5.5350455512395355E-3</v>
      </c>
    </row>
    <row r="704" spans="1:3" ht="13.2" x14ac:dyDescent="0.25">
      <c r="A704" s="6">
        <v>702</v>
      </c>
      <c r="B704" s="7">
        <v>76.010002136230398</v>
      </c>
      <c r="C704" s="3">
        <f t="shared" si="2"/>
        <v>4.4831821740104021E-3</v>
      </c>
    </row>
    <row r="705" spans="1:3" ht="13.2" x14ac:dyDescent="0.25">
      <c r="A705" s="6">
        <v>703</v>
      </c>
      <c r="B705" s="7">
        <v>77.75</v>
      </c>
      <c r="C705" s="3">
        <f t="shared" si="2"/>
        <v>2.2633612376798097E-2</v>
      </c>
    </row>
    <row r="706" spans="1:3" ht="13.2" x14ac:dyDescent="0.25">
      <c r="A706" s="6">
        <v>704</v>
      </c>
      <c r="B706" s="7">
        <v>75.639999389648395</v>
      </c>
      <c r="C706" s="3">
        <f t="shared" si="2"/>
        <v>-2.7513315338251364E-2</v>
      </c>
    </row>
    <row r="707" spans="1:3" ht="13.2" x14ac:dyDescent="0.25">
      <c r="A707" s="6">
        <v>705</v>
      </c>
      <c r="B707" s="7">
        <v>80.040000915527301</v>
      </c>
      <c r="C707" s="3">
        <f t="shared" si="2"/>
        <v>5.6541285432812539E-2</v>
      </c>
    </row>
    <row r="708" spans="1:3" ht="13.2" x14ac:dyDescent="0.25">
      <c r="A708" s="6">
        <v>706</v>
      </c>
      <c r="B708" s="7">
        <v>83.550003051757798</v>
      </c>
      <c r="C708" s="3">
        <f t="shared" si="2"/>
        <v>4.2918770413623061E-2</v>
      </c>
    </row>
    <row r="709" spans="1:3" ht="13.2" x14ac:dyDescent="0.25">
      <c r="A709" s="6">
        <v>707</v>
      </c>
      <c r="B709" s="7">
        <v>83.790000915527301</v>
      </c>
      <c r="C709" s="3">
        <f t="shared" si="2"/>
        <v>2.8683879841179673E-3</v>
      </c>
    </row>
    <row r="710" spans="1:3" ht="13.2" x14ac:dyDescent="0.25">
      <c r="A710" s="6">
        <v>708</v>
      </c>
      <c r="B710" s="7">
        <v>81.910003662109304</v>
      </c>
      <c r="C710" s="3">
        <f t="shared" si="2"/>
        <v>-2.269255131519567E-2</v>
      </c>
    </row>
    <row r="711" spans="1:3" ht="13.2" x14ac:dyDescent="0.25">
      <c r="A711" s="6">
        <v>709</v>
      </c>
      <c r="B711" s="7">
        <v>79.540000915527301</v>
      </c>
      <c r="C711" s="3">
        <f t="shared" si="2"/>
        <v>-2.9361076946630156E-2</v>
      </c>
    </row>
    <row r="712" spans="1:3" ht="13.2" x14ac:dyDescent="0.25">
      <c r="A712" s="6">
        <v>710</v>
      </c>
      <c r="B712" s="7">
        <v>78.639999389648395</v>
      </c>
      <c r="C712" s="3">
        <f t="shared" si="2"/>
        <v>-1.1379583212246592E-2</v>
      </c>
    </row>
    <row r="713" spans="1:3" ht="13.2" x14ac:dyDescent="0.25">
      <c r="A713" s="6">
        <v>711</v>
      </c>
      <c r="B713" s="7">
        <v>79.510002136230398</v>
      </c>
      <c r="C713" s="3">
        <f t="shared" si="2"/>
        <v>1.1002358703261614E-2</v>
      </c>
    </row>
    <row r="714" spans="1:3" ht="13.2" x14ac:dyDescent="0.25">
      <c r="A714" s="6">
        <v>712</v>
      </c>
      <c r="B714" s="7">
        <v>79.290000915527301</v>
      </c>
      <c r="C714" s="3">
        <f t="shared" si="2"/>
        <v>-2.7707979499603532E-3</v>
      </c>
    </row>
    <row r="715" spans="1:3" ht="13.2" x14ac:dyDescent="0.25">
      <c r="A715" s="6">
        <v>713</v>
      </c>
      <c r="B715" s="7">
        <v>79.089996337890597</v>
      </c>
      <c r="C715" s="3">
        <f t="shared" si="2"/>
        <v>-2.5256306026146457E-3</v>
      </c>
    </row>
    <row r="716" spans="1:3" ht="13.2" x14ac:dyDescent="0.25">
      <c r="A716" s="6">
        <v>714</v>
      </c>
      <c r="B716" s="7">
        <v>79.989997863769503</v>
      </c>
      <c r="C716" s="3">
        <f t="shared" si="2"/>
        <v>1.1315201926250682E-2</v>
      </c>
    </row>
    <row r="717" spans="1:3" ht="13.2" x14ac:dyDescent="0.25">
      <c r="A717" s="6">
        <v>715</v>
      </c>
      <c r="B717" s="7">
        <v>78.050003051757798</v>
      </c>
      <c r="C717" s="3">
        <f t="shared" si="2"/>
        <v>-2.4551914093034508E-2</v>
      </c>
    </row>
    <row r="718" spans="1:3" ht="13.2" x14ac:dyDescent="0.25">
      <c r="A718" s="6">
        <v>716</v>
      </c>
      <c r="B718" s="7">
        <v>80.230003356933594</v>
      </c>
      <c r="C718" s="3">
        <f t="shared" si="2"/>
        <v>2.7547865545463464E-2</v>
      </c>
    </row>
    <row r="719" spans="1:3" ht="13.2" x14ac:dyDescent="0.25">
      <c r="A719" s="6">
        <v>717</v>
      </c>
      <c r="B719" s="7">
        <v>80.559997558593693</v>
      </c>
      <c r="C719" s="3">
        <f t="shared" si="2"/>
        <v>4.1046664979258385E-3</v>
      </c>
    </row>
    <row r="720" spans="1:3" ht="13.2" x14ac:dyDescent="0.25">
      <c r="A720" s="6">
        <v>718</v>
      </c>
      <c r="B720" s="7">
        <v>76.910003662109304</v>
      </c>
      <c r="C720" s="3">
        <f t="shared" si="2"/>
        <v>-4.6366263420388729E-2</v>
      </c>
    </row>
    <row r="721" spans="1:3" ht="13.2" x14ac:dyDescent="0.25">
      <c r="A721" s="6">
        <v>719</v>
      </c>
      <c r="B721" s="7">
        <v>76.010002136230398</v>
      </c>
      <c r="C721" s="3">
        <f t="shared" si="2"/>
        <v>-1.1771016001931471E-2</v>
      </c>
    </row>
    <row r="722" spans="1:3" ht="13.2" x14ac:dyDescent="0.25">
      <c r="A722" s="6">
        <v>720</v>
      </c>
      <c r="B722" s="7">
        <v>76.279998779296804</v>
      </c>
      <c r="C722" s="3">
        <f t="shared" si="2"/>
        <v>3.5458260467468483E-3</v>
      </c>
    </row>
    <row r="723" spans="1:3" ht="13.2" x14ac:dyDescent="0.25">
      <c r="A723" s="6">
        <v>721</v>
      </c>
      <c r="B723" s="7">
        <v>74.5</v>
      </c>
      <c r="C723" s="3">
        <f t="shared" si="2"/>
        <v>-2.3611639343778312E-2</v>
      </c>
    </row>
    <row r="724" spans="1:3" ht="13.2" x14ac:dyDescent="0.25">
      <c r="A724" s="6">
        <v>722</v>
      </c>
      <c r="B724" s="7">
        <v>76.449996948242102</v>
      </c>
      <c r="C724" s="3">
        <f t="shared" si="2"/>
        <v>2.5837767071206212E-2</v>
      </c>
    </row>
    <row r="725" spans="1:3" ht="13.2" x14ac:dyDescent="0.25">
      <c r="A725" s="6">
        <v>723</v>
      </c>
      <c r="B725" s="7">
        <v>76.129997253417898</v>
      </c>
      <c r="C725" s="3">
        <f t="shared" si="2"/>
        <v>-4.1945232161260939E-3</v>
      </c>
    </row>
    <row r="726" spans="1:3" ht="13.2" x14ac:dyDescent="0.25">
      <c r="A726" s="6">
        <v>724</v>
      </c>
      <c r="B726" s="7">
        <v>77.489997863769503</v>
      </c>
      <c r="C726" s="3">
        <f t="shared" si="2"/>
        <v>1.770649896744295E-2</v>
      </c>
    </row>
    <row r="727" spans="1:3" ht="13.2" x14ac:dyDescent="0.25">
      <c r="A727" s="6">
        <v>725</v>
      </c>
      <c r="B727" s="7">
        <v>76.690002441406193</v>
      </c>
      <c r="C727" s="3">
        <f t="shared" si="2"/>
        <v>-1.0377514596529667E-2</v>
      </c>
    </row>
    <row r="728" spans="1:3" ht="13.2" x14ac:dyDescent="0.25">
      <c r="A728" s="6">
        <v>726</v>
      </c>
      <c r="B728" s="7">
        <v>79.989997863769503</v>
      </c>
      <c r="C728" s="3">
        <f t="shared" si="2"/>
        <v>4.2130246543003534E-2</v>
      </c>
    </row>
    <row r="729" spans="1:3" ht="13.2" x14ac:dyDescent="0.25">
      <c r="A729" s="6">
        <v>727</v>
      </c>
      <c r="B729" s="7">
        <v>84</v>
      </c>
      <c r="C729" s="3">
        <f t="shared" si="2"/>
        <v>4.8915198688802931E-2</v>
      </c>
    </row>
    <row r="730" spans="1:3" ht="13.2" x14ac:dyDescent="0.25">
      <c r="A730" s="6">
        <v>728</v>
      </c>
      <c r="B730" s="7">
        <v>84.209999084472599</v>
      </c>
      <c r="C730" s="3">
        <f t="shared" si="2"/>
        <v>2.4968693266313817E-3</v>
      </c>
    </row>
    <row r="731" spans="1:3" ht="13.2" x14ac:dyDescent="0.25">
      <c r="A731" s="6">
        <v>729</v>
      </c>
      <c r="B731" s="7">
        <v>82.589996337890597</v>
      </c>
      <c r="C731" s="3">
        <f t="shared" si="2"/>
        <v>-1.942510468815329E-2</v>
      </c>
    </row>
    <row r="732" spans="1:3" ht="13.2" x14ac:dyDescent="0.25">
      <c r="A732" s="6">
        <v>730</v>
      </c>
      <c r="B732" s="7">
        <v>78.279998779296804</v>
      </c>
      <c r="C732" s="3">
        <f t="shared" si="2"/>
        <v>-5.3596436547978472E-2</v>
      </c>
    </row>
    <row r="733" spans="1:3" ht="13.2" x14ac:dyDescent="0.25">
      <c r="A733" s="6">
        <v>731</v>
      </c>
      <c r="B733" s="7">
        <v>77.029998779296804</v>
      </c>
      <c r="C733" s="3">
        <f t="shared" si="2"/>
        <v>-1.6097186416052841E-2</v>
      </c>
    </row>
    <row r="734" spans="1:3" ht="13.2" x14ac:dyDescent="0.25">
      <c r="A734" s="6">
        <v>732</v>
      </c>
      <c r="B734" s="7">
        <v>76.089996337890597</v>
      </c>
      <c r="C734" s="3">
        <f t="shared" si="2"/>
        <v>-1.2278138457985593E-2</v>
      </c>
    </row>
    <row r="735" spans="1:3" ht="13.2" x14ac:dyDescent="0.25">
      <c r="A735" s="6">
        <v>733</v>
      </c>
      <c r="B735" s="7">
        <v>76.819999694824205</v>
      </c>
      <c r="C735" s="3">
        <f t="shared" si="2"/>
        <v>9.5482168853755593E-3</v>
      </c>
    </row>
    <row r="736" spans="1:3" ht="13.2" x14ac:dyDescent="0.25">
      <c r="A736" s="6">
        <v>734</v>
      </c>
      <c r="B736" s="7">
        <v>74.339996337890597</v>
      </c>
      <c r="C736" s="3">
        <f t="shared" si="2"/>
        <v>-3.2815903337672897E-2</v>
      </c>
    </row>
    <row r="737" spans="1:3" ht="13.2" x14ac:dyDescent="0.25">
      <c r="A737" s="6">
        <v>735</v>
      </c>
      <c r="B737" s="7">
        <v>71.879997253417898</v>
      </c>
      <c r="C737" s="3">
        <f t="shared" si="2"/>
        <v>-3.3651091902777638E-2</v>
      </c>
    </row>
    <row r="738" spans="1:3" ht="13.2" x14ac:dyDescent="0.25">
      <c r="A738" s="6">
        <v>736</v>
      </c>
      <c r="B738" s="7">
        <v>68.639999389648395</v>
      </c>
      <c r="C738" s="3">
        <f t="shared" si="2"/>
        <v>-4.6122577417061557E-2</v>
      </c>
    </row>
    <row r="739" spans="1:3" ht="13.2" x14ac:dyDescent="0.25">
      <c r="A739" s="6">
        <v>737</v>
      </c>
      <c r="B739" s="7">
        <v>69</v>
      </c>
      <c r="C739" s="3">
        <f t="shared" si="2"/>
        <v>5.2310583096215127E-3</v>
      </c>
    </row>
    <row r="740" spans="1:3" ht="13.2" x14ac:dyDescent="0.25">
      <c r="A740" s="6">
        <v>738</v>
      </c>
      <c r="B740" s="7">
        <v>69.400001525878906</v>
      </c>
      <c r="C740" s="3">
        <f t="shared" si="2"/>
        <v>5.7803849022269429E-3</v>
      </c>
    </row>
    <row r="741" spans="1:3" ht="13.2" x14ac:dyDescent="0.25">
      <c r="A741" s="6">
        <v>739</v>
      </c>
      <c r="B741" s="7">
        <v>69.5</v>
      </c>
      <c r="C741" s="3">
        <f t="shared" si="2"/>
        <v>1.4398630712600361E-3</v>
      </c>
    </row>
    <row r="742" spans="1:3" ht="13.2" x14ac:dyDescent="0.25">
      <c r="A742" s="6">
        <v>740</v>
      </c>
      <c r="B742" s="7">
        <v>69</v>
      </c>
      <c r="C742" s="3">
        <f t="shared" si="2"/>
        <v>-7.2202479734870201E-3</v>
      </c>
    </row>
    <row r="743" spans="1:3" ht="13.2" x14ac:dyDescent="0.25">
      <c r="A743" s="6">
        <v>741</v>
      </c>
      <c r="B743" s="7">
        <v>68.019996643066406</v>
      </c>
      <c r="C743" s="3">
        <f t="shared" si="2"/>
        <v>-1.4304774370366374E-2</v>
      </c>
    </row>
    <row r="744" spans="1:3" ht="13.2" x14ac:dyDescent="0.25">
      <c r="A744" s="6">
        <v>742</v>
      </c>
      <c r="B744" s="7">
        <v>73.279998779296804</v>
      </c>
      <c r="C744" s="3">
        <f t="shared" si="2"/>
        <v>7.4485973480914111E-2</v>
      </c>
    </row>
    <row r="745" spans="1:3" ht="13.2" x14ac:dyDescent="0.25">
      <c r="A745" s="6">
        <v>743</v>
      </c>
      <c r="B745" s="7">
        <v>74.629997253417898</v>
      </c>
      <c r="C745" s="3">
        <f t="shared" si="2"/>
        <v>1.8254830632833959E-2</v>
      </c>
    </row>
    <row r="746" spans="1:3" ht="13.2" x14ac:dyDescent="0.25">
      <c r="A746" s="6">
        <v>744</v>
      </c>
      <c r="B746" s="7">
        <v>73.339996337890597</v>
      </c>
      <c r="C746" s="3">
        <f t="shared" si="2"/>
        <v>-1.7436421630778291E-2</v>
      </c>
    </row>
    <row r="747" spans="1:3" ht="13.2" x14ac:dyDescent="0.25">
      <c r="A747" s="6">
        <v>745</v>
      </c>
      <c r="B747" s="7">
        <v>72.099998474121094</v>
      </c>
      <c r="C747" s="3">
        <f t="shared" si="2"/>
        <v>-1.7052089582328421E-2</v>
      </c>
    </row>
    <row r="748" spans="1:3" ht="13.2" x14ac:dyDescent="0.25">
      <c r="A748" s="6">
        <v>746</v>
      </c>
      <c r="B748" s="7">
        <v>68.739997863769503</v>
      </c>
      <c r="C748" s="3">
        <f t="shared" si="2"/>
        <v>-4.7722782782810676E-2</v>
      </c>
    </row>
    <row r="749" spans="1:3" ht="13.2" x14ac:dyDescent="0.25">
      <c r="A749" s="6">
        <v>747</v>
      </c>
      <c r="B749" s="7">
        <v>66.430000305175696</v>
      </c>
      <c r="C749" s="3">
        <f t="shared" si="2"/>
        <v>-3.418247407362969E-2</v>
      </c>
    </row>
    <row r="750" spans="1:3" ht="13.2" x14ac:dyDescent="0.25">
      <c r="A750" s="6">
        <v>748</v>
      </c>
      <c r="B750" s="7">
        <v>67.589996337890597</v>
      </c>
      <c r="C750" s="3">
        <f t="shared" si="2"/>
        <v>1.7311222659936468E-2</v>
      </c>
    </row>
    <row r="751" spans="1:3" ht="13.2" x14ac:dyDescent="0.25">
      <c r="A751" s="6">
        <v>749</v>
      </c>
      <c r="B751" s="7">
        <v>65.580001831054602</v>
      </c>
      <c r="C751" s="3">
        <f t="shared" si="2"/>
        <v>-3.0189189593598294E-2</v>
      </c>
    </row>
    <row r="752" spans="1:3" ht="13.2" x14ac:dyDescent="0.25">
      <c r="A752" s="6">
        <v>750</v>
      </c>
      <c r="B752" s="7">
        <v>66.139999389648395</v>
      </c>
      <c r="C752" s="3">
        <f t="shared" si="2"/>
        <v>8.5028989880380143E-3</v>
      </c>
    </row>
    <row r="753" spans="1:3" ht="13.2" x14ac:dyDescent="0.25">
      <c r="A753" s="6">
        <v>751</v>
      </c>
      <c r="B753" s="7">
        <v>65</v>
      </c>
      <c r="C753" s="3">
        <f t="shared" si="2"/>
        <v>-1.7386428429832936E-2</v>
      </c>
    </row>
    <row r="754" spans="1:3" ht="13.2" x14ac:dyDescent="0.25">
      <c r="A754" s="6">
        <v>752</v>
      </c>
      <c r="B754" s="7">
        <v>65.330001831054602</v>
      </c>
      <c r="C754" s="3">
        <f t="shared" si="2"/>
        <v>5.0641069847974542E-3</v>
      </c>
    </row>
    <row r="755" spans="1:3" ht="13.2" x14ac:dyDescent="0.25">
      <c r="A755" s="6">
        <v>753</v>
      </c>
      <c r="B755" s="7">
        <v>65.870002746582003</v>
      </c>
      <c r="C755" s="3">
        <f t="shared" si="2"/>
        <v>8.2317674691755847E-3</v>
      </c>
    </row>
    <row r="756" spans="1:3" ht="13.2" x14ac:dyDescent="0.25">
      <c r="A756" s="6">
        <v>754</v>
      </c>
      <c r="B756" s="7">
        <v>63.770000457763601</v>
      </c>
      <c r="C756" s="3">
        <f t="shared" si="2"/>
        <v>-3.2400276844076301E-2</v>
      </c>
    </row>
    <row r="757" spans="1:3" ht="13.2" x14ac:dyDescent="0.25">
      <c r="A757" s="6">
        <v>755</v>
      </c>
      <c r="B757" s="7">
        <v>63.709999084472599</v>
      </c>
      <c r="C757" s="3">
        <f t="shared" si="2"/>
        <v>-9.4134574736769042E-4</v>
      </c>
    </row>
    <row r="758" spans="1:3" ht="13.2" x14ac:dyDescent="0.25">
      <c r="A758" s="6">
        <v>756</v>
      </c>
      <c r="B758" s="7">
        <v>64.610000610351506</v>
      </c>
      <c r="C758" s="3">
        <f t="shared" si="2"/>
        <v>1.4027685258611373E-2</v>
      </c>
    </row>
    <row r="759" spans="1:3" ht="13.2" x14ac:dyDescent="0.25">
      <c r="A759" s="6">
        <v>757</v>
      </c>
      <c r="B759" s="7">
        <v>62.020000457763601</v>
      </c>
      <c r="C759" s="3">
        <f t="shared" si="2"/>
        <v>-4.0912285963571653E-2</v>
      </c>
    </row>
    <row r="760" spans="1:3" ht="13.2" x14ac:dyDescent="0.25">
      <c r="A760" s="6">
        <v>758</v>
      </c>
      <c r="B760" s="7">
        <v>64.559997558593693</v>
      </c>
      <c r="C760" s="3">
        <f t="shared" si="2"/>
        <v>4.013806509240405E-2</v>
      </c>
    </row>
    <row r="761" spans="1:3" ht="13.2" x14ac:dyDescent="0.25">
      <c r="A761" s="6">
        <v>759</v>
      </c>
      <c r="B761" s="7">
        <v>71.769996643066406</v>
      </c>
      <c r="C761" s="3">
        <f t="shared" si="2"/>
        <v>0.10587152852287664</v>
      </c>
    </row>
    <row r="762" spans="1:3" ht="13.2" x14ac:dyDescent="0.25">
      <c r="A762" s="6">
        <v>760</v>
      </c>
      <c r="B762" s="7">
        <v>73.470001220703097</v>
      </c>
      <c r="C762" s="3">
        <f t="shared" si="2"/>
        <v>2.3410661578686487E-2</v>
      </c>
    </row>
    <row r="763" spans="1:3" ht="13.2" x14ac:dyDescent="0.25">
      <c r="A763" s="6">
        <v>761</v>
      </c>
      <c r="B763" s="7">
        <v>70.580001831054602</v>
      </c>
      <c r="C763" s="3">
        <f t="shared" si="2"/>
        <v>-4.0130332057082406E-2</v>
      </c>
    </row>
    <row r="764" spans="1:3" ht="13.2" x14ac:dyDescent="0.25">
      <c r="A764" s="6">
        <v>762</v>
      </c>
      <c r="B764" s="7">
        <v>71.370002746582003</v>
      </c>
      <c r="C764" s="3">
        <f t="shared" si="2"/>
        <v>1.1130807276589452E-2</v>
      </c>
    </row>
    <row r="765" spans="1:3" ht="13.2" x14ac:dyDescent="0.25">
      <c r="A765" s="6">
        <v>763</v>
      </c>
      <c r="B765" s="7">
        <v>73.290000915527301</v>
      </c>
      <c r="C765" s="3">
        <f t="shared" si="2"/>
        <v>2.6546534962923602E-2</v>
      </c>
    </row>
    <row r="766" spans="1:3" ht="13.2" x14ac:dyDescent="0.25">
      <c r="A766" s="6">
        <v>764</v>
      </c>
      <c r="B766" s="7">
        <v>70.510002136230398</v>
      </c>
      <c r="C766" s="3">
        <f t="shared" si="2"/>
        <v>-3.8669612401811757E-2</v>
      </c>
    </row>
    <row r="767" spans="1:3" ht="13.2" x14ac:dyDescent="0.25">
      <c r="A767" s="6">
        <v>765</v>
      </c>
      <c r="B767" s="7">
        <v>77.589996337890597</v>
      </c>
      <c r="C767" s="3">
        <f t="shared" si="2"/>
        <v>9.5683931679851314E-2</v>
      </c>
    </row>
    <row r="768" spans="1:3" ht="13.2" x14ac:dyDescent="0.25">
      <c r="A768" s="6">
        <v>766</v>
      </c>
      <c r="B768" s="7">
        <v>73.319999694824205</v>
      </c>
      <c r="C768" s="3">
        <f t="shared" ref="C768:C1022" si="3">LN(B768/B767)</f>
        <v>-5.6605086898383734E-2</v>
      </c>
    </row>
    <row r="769" spans="1:3" ht="13.2" x14ac:dyDescent="0.25">
      <c r="A769" s="6">
        <v>767</v>
      </c>
      <c r="B769" s="7">
        <v>75.800003051757798</v>
      </c>
      <c r="C769" s="3">
        <f t="shared" si="3"/>
        <v>3.3264914099722806E-2</v>
      </c>
    </row>
    <row r="770" spans="1:3" ht="13.2" x14ac:dyDescent="0.25">
      <c r="A770" s="6">
        <v>768</v>
      </c>
      <c r="B770" s="7">
        <v>75.139999389648395</v>
      </c>
      <c r="C770" s="3">
        <f t="shared" si="3"/>
        <v>-8.7453008860180568E-3</v>
      </c>
    </row>
    <row r="771" spans="1:3" ht="13.2" x14ac:dyDescent="0.25">
      <c r="A771" s="6">
        <v>769</v>
      </c>
      <c r="B771" s="7">
        <v>76.309997558593693</v>
      </c>
      <c r="C771" s="3">
        <f t="shared" si="3"/>
        <v>1.5450927285308849E-2</v>
      </c>
    </row>
    <row r="772" spans="1:3" ht="13.2" x14ac:dyDescent="0.25">
      <c r="A772" s="6">
        <v>770</v>
      </c>
      <c r="B772" s="7">
        <v>82.169998168945298</v>
      </c>
      <c r="C772" s="3">
        <f t="shared" si="3"/>
        <v>7.3986290351085893E-2</v>
      </c>
    </row>
    <row r="773" spans="1:3" ht="13.2" x14ac:dyDescent="0.25">
      <c r="A773" s="6">
        <v>771</v>
      </c>
      <c r="B773" s="7">
        <v>81</v>
      </c>
      <c r="C773" s="3">
        <f t="shared" si="3"/>
        <v>-1.4341094986920095E-2</v>
      </c>
    </row>
    <row r="774" spans="1:3" ht="13.2" x14ac:dyDescent="0.25">
      <c r="A774" s="6">
        <v>772</v>
      </c>
      <c r="B774" s="7">
        <v>81.069999694824205</v>
      </c>
      <c r="C774" s="3">
        <f t="shared" si="3"/>
        <v>8.6382056282780656E-4</v>
      </c>
    </row>
    <row r="775" spans="1:3" ht="13.2" x14ac:dyDescent="0.25">
      <c r="A775" s="6">
        <v>773</v>
      </c>
      <c r="B775" s="7">
        <v>78.910003662109304</v>
      </c>
      <c r="C775" s="3">
        <f t="shared" si="3"/>
        <v>-2.7004966293639316E-2</v>
      </c>
    </row>
    <row r="776" spans="1:3" ht="13.2" x14ac:dyDescent="0.25">
      <c r="A776" s="6">
        <v>774</v>
      </c>
      <c r="B776" s="7">
        <v>76.180000305175696</v>
      </c>
      <c r="C776" s="3">
        <f t="shared" si="3"/>
        <v>-3.5209043885187426E-2</v>
      </c>
    </row>
    <row r="777" spans="1:3" ht="13.2" x14ac:dyDescent="0.25">
      <c r="A777" s="6">
        <v>775</v>
      </c>
      <c r="B777" s="7">
        <v>75.059997558593693</v>
      </c>
      <c r="C777" s="3">
        <f t="shared" si="3"/>
        <v>-1.4811203875628788E-2</v>
      </c>
    </row>
    <row r="778" spans="1:3" ht="13.2" x14ac:dyDescent="0.25">
      <c r="A778" s="6">
        <v>776</v>
      </c>
      <c r="B778" s="7">
        <v>77.5</v>
      </c>
      <c r="C778" s="3">
        <f t="shared" si="3"/>
        <v>3.1990175178490274E-2</v>
      </c>
    </row>
    <row r="779" spans="1:3" ht="13.2" x14ac:dyDescent="0.25">
      <c r="A779" s="6">
        <v>777</v>
      </c>
      <c r="B779" s="7">
        <v>74.639999389648395</v>
      </c>
      <c r="C779" s="3">
        <f t="shared" si="3"/>
        <v>-3.7601387997485324E-2</v>
      </c>
    </row>
    <row r="780" spans="1:3" ht="13.2" x14ac:dyDescent="0.25">
      <c r="A780" s="6">
        <v>778</v>
      </c>
      <c r="B780" s="7">
        <v>73.089996337890597</v>
      </c>
      <c r="C780" s="3">
        <f t="shared" si="3"/>
        <v>-2.0985039973626971E-2</v>
      </c>
    </row>
    <row r="781" spans="1:3" ht="13.2" x14ac:dyDescent="0.25">
      <c r="A781" s="6">
        <v>779</v>
      </c>
      <c r="B781" s="7">
        <v>70.699996948242102</v>
      </c>
      <c r="C781" s="3">
        <f t="shared" si="3"/>
        <v>-3.324597865055539E-2</v>
      </c>
    </row>
    <row r="782" spans="1:3" ht="13.2" x14ac:dyDescent="0.25">
      <c r="A782" s="6">
        <v>780</v>
      </c>
      <c r="B782" s="7">
        <v>69.010002136230398</v>
      </c>
      <c r="C782" s="3">
        <f t="shared" si="3"/>
        <v>-2.4194077149749138E-2</v>
      </c>
    </row>
    <row r="783" spans="1:3" ht="13.2" x14ac:dyDescent="0.25">
      <c r="A783" s="6">
        <v>781</v>
      </c>
      <c r="B783" s="7">
        <v>72.389999389648395</v>
      </c>
      <c r="C783" s="3">
        <f t="shared" si="3"/>
        <v>4.7816707285730058E-2</v>
      </c>
    </row>
    <row r="784" spans="1:3" ht="13.2" x14ac:dyDescent="0.25">
      <c r="A784" s="6">
        <v>782</v>
      </c>
      <c r="B784" s="7">
        <v>78.5</v>
      </c>
      <c r="C784" s="3">
        <f t="shared" si="3"/>
        <v>8.1030464914748149E-2</v>
      </c>
    </row>
    <row r="785" spans="1:3" ht="13.2" x14ac:dyDescent="0.25">
      <c r="A785" s="6">
        <v>783</v>
      </c>
      <c r="B785" s="7">
        <v>80.489997863769503</v>
      </c>
      <c r="C785" s="3">
        <f t="shared" si="3"/>
        <v>2.503430177695759E-2</v>
      </c>
    </row>
    <row r="786" spans="1:3" ht="13.2" x14ac:dyDescent="0.25">
      <c r="A786" s="6">
        <v>784</v>
      </c>
      <c r="B786" s="7">
        <v>79.319999694824205</v>
      </c>
      <c r="C786" s="3">
        <f t="shared" si="3"/>
        <v>-1.4642626761125446E-2</v>
      </c>
    </row>
    <row r="787" spans="1:3" ht="13.2" x14ac:dyDescent="0.25">
      <c r="A787" s="6">
        <v>785</v>
      </c>
      <c r="B787" s="7">
        <v>78.879997253417898</v>
      </c>
      <c r="C787" s="3">
        <f t="shared" si="3"/>
        <v>-5.5626243295683209E-3</v>
      </c>
    </row>
    <row r="788" spans="1:3" ht="13.2" x14ac:dyDescent="0.25">
      <c r="A788" s="6">
        <v>786</v>
      </c>
      <c r="B788" s="7">
        <v>79.559997558593693</v>
      </c>
      <c r="C788" s="3">
        <f t="shared" si="3"/>
        <v>8.5837478247906829E-3</v>
      </c>
    </row>
    <row r="789" spans="1:3" ht="13.2" x14ac:dyDescent="0.25">
      <c r="A789" s="6">
        <v>787</v>
      </c>
      <c r="B789" s="7">
        <v>77</v>
      </c>
      <c r="C789" s="3">
        <f t="shared" si="3"/>
        <v>-3.2706001445733317E-2</v>
      </c>
    </row>
    <row r="790" spans="1:3" ht="13.2" x14ac:dyDescent="0.25">
      <c r="A790" s="6">
        <v>788</v>
      </c>
      <c r="B790" s="7">
        <v>79.989997863769503</v>
      </c>
      <c r="C790" s="3">
        <f t="shared" si="3"/>
        <v>3.8096178300826823E-2</v>
      </c>
    </row>
    <row r="791" spans="1:3" ht="13.2" x14ac:dyDescent="0.25">
      <c r="A791" s="6">
        <v>789</v>
      </c>
      <c r="B791" s="7">
        <v>78.209999084472599</v>
      </c>
      <c r="C791" s="3">
        <f t="shared" si="3"/>
        <v>-2.250409524700531E-2</v>
      </c>
    </row>
    <row r="792" spans="1:3" ht="13.2" x14ac:dyDescent="0.25">
      <c r="A792" s="6">
        <v>790</v>
      </c>
      <c r="B792" s="7">
        <v>76.559997558593693</v>
      </c>
      <c r="C792" s="3">
        <f t="shared" si="3"/>
        <v>-2.1322789651604217E-2</v>
      </c>
    </row>
    <row r="793" spans="1:3" ht="13.2" x14ac:dyDescent="0.25">
      <c r="A793" s="6">
        <v>791</v>
      </c>
      <c r="B793" s="7">
        <v>74.510002136230398</v>
      </c>
      <c r="C793" s="3">
        <f t="shared" si="3"/>
        <v>-2.7141342019880374E-2</v>
      </c>
    </row>
    <row r="794" spans="1:3" ht="13.2" x14ac:dyDescent="0.25">
      <c r="A794" s="6">
        <v>792</v>
      </c>
      <c r="B794" s="7">
        <v>72.260002136230398</v>
      </c>
      <c r="C794" s="3">
        <f t="shared" si="3"/>
        <v>-3.0662617953416221E-2</v>
      </c>
    </row>
    <row r="795" spans="1:3" ht="13.2" x14ac:dyDescent="0.25">
      <c r="A795" s="6">
        <v>793</v>
      </c>
      <c r="B795" s="7">
        <v>72.589996337890597</v>
      </c>
      <c r="C795" s="3">
        <f t="shared" si="3"/>
        <v>4.5563655649159887E-3</v>
      </c>
    </row>
    <row r="796" spans="1:3" ht="13.2" x14ac:dyDescent="0.25">
      <c r="A796" s="6">
        <v>794</v>
      </c>
      <c r="B796" s="7">
        <v>72.519996643066406</v>
      </c>
      <c r="C796" s="3">
        <f t="shared" si="3"/>
        <v>-9.6478125063430612E-4</v>
      </c>
    </row>
    <row r="797" spans="1:3" ht="13.2" x14ac:dyDescent="0.25">
      <c r="A797" s="6">
        <v>795</v>
      </c>
      <c r="B797" s="7">
        <v>74.300003051757798</v>
      </c>
      <c r="C797" s="3">
        <f t="shared" si="3"/>
        <v>2.4248653200282327E-2</v>
      </c>
    </row>
    <row r="798" spans="1:3" ht="13.2" x14ac:dyDescent="0.25">
      <c r="A798" s="6">
        <v>796</v>
      </c>
      <c r="B798" s="7">
        <v>74.339996337890597</v>
      </c>
      <c r="C798" s="3">
        <f t="shared" si="3"/>
        <v>5.3812281030836092E-4</v>
      </c>
    </row>
    <row r="799" spans="1:3" ht="13.2" x14ac:dyDescent="0.25">
      <c r="A799" s="6">
        <v>797</v>
      </c>
      <c r="B799" s="7">
        <v>73.050003051757798</v>
      </c>
      <c r="C799" s="3">
        <f t="shared" si="3"/>
        <v>-1.7504935634482098E-2</v>
      </c>
    </row>
    <row r="800" spans="1:3" ht="13.2" x14ac:dyDescent="0.25">
      <c r="A800" s="6">
        <v>798</v>
      </c>
      <c r="B800" s="7">
        <v>73.819999694824205</v>
      </c>
      <c r="C800" s="3">
        <f t="shared" si="3"/>
        <v>1.048551349480438E-2</v>
      </c>
    </row>
    <row r="801" spans="1:3" ht="13.2" x14ac:dyDescent="0.25">
      <c r="A801" s="6">
        <v>799</v>
      </c>
      <c r="B801" s="7">
        <v>73.010002136230398</v>
      </c>
      <c r="C801" s="3">
        <f t="shared" si="3"/>
        <v>-1.1033246140383509E-2</v>
      </c>
    </row>
    <row r="802" spans="1:3" ht="13.2" x14ac:dyDescent="0.25">
      <c r="A802" s="6">
        <v>800</v>
      </c>
      <c r="B802" s="7">
        <v>73.379997253417898</v>
      </c>
      <c r="C802" s="3">
        <f t="shared" si="3"/>
        <v>5.0549341701458224E-3</v>
      </c>
    </row>
    <row r="803" spans="1:3" ht="13.2" x14ac:dyDescent="0.25">
      <c r="A803" s="6">
        <v>801</v>
      </c>
      <c r="B803" s="7">
        <v>72.599998474121094</v>
      </c>
      <c r="C803" s="3">
        <f t="shared" si="3"/>
        <v>-1.0686480684427404E-2</v>
      </c>
    </row>
    <row r="804" spans="1:3" ht="13.2" x14ac:dyDescent="0.25">
      <c r="A804" s="6">
        <v>802</v>
      </c>
      <c r="B804" s="7">
        <v>71.029998779296804</v>
      </c>
      <c r="C804" s="3">
        <f t="shared" si="3"/>
        <v>-2.1862594989157116E-2</v>
      </c>
    </row>
    <row r="805" spans="1:3" ht="13.2" x14ac:dyDescent="0.25">
      <c r="A805" s="6">
        <v>803</v>
      </c>
      <c r="B805" s="7">
        <v>68.699996948242102</v>
      </c>
      <c r="C805" s="3">
        <f t="shared" si="3"/>
        <v>-3.3353151017186902E-2</v>
      </c>
    </row>
    <row r="806" spans="1:3" ht="13.2" x14ac:dyDescent="0.25">
      <c r="A806" s="6">
        <v>804</v>
      </c>
      <c r="B806" s="7">
        <v>69.800003051757798</v>
      </c>
      <c r="C806" s="3">
        <f t="shared" si="3"/>
        <v>1.5884898682993896E-2</v>
      </c>
    </row>
    <row r="807" spans="1:3" ht="13.2" x14ac:dyDescent="0.25">
      <c r="A807" s="6">
        <v>805</v>
      </c>
      <c r="B807" s="7">
        <v>70.540000915527301</v>
      </c>
      <c r="C807" s="3">
        <f t="shared" si="3"/>
        <v>1.0545884296960607E-2</v>
      </c>
    </row>
    <row r="808" spans="1:3" ht="13.2" x14ac:dyDescent="0.25">
      <c r="A808" s="6">
        <v>806</v>
      </c>
      <c r="B808" s="7">
        <v>73.400001525878906</v>
      </c>
      <c r="C808" s="3">
        <f t="shared" si="3"/>
        <v>3.9744018622265738E-2</v>
      </c>
    </row>
    <row r="809" spans="1:3" ht="13.2" x14ac:dyDescent="0.25">
      <c r="A809" s="6">
        <v>807</v>
      </c>
      <c r="B809" s="7">
        <v>76.120002746582003</v>
      </c>
      <c r="C809" s="3">
        <f t="shared" si="3"/>
        <v>3.6387122101202429E-2</v>
      </c>
    </row>
    <row r="810" spans="1:3" ht="13.2" x14ac:dyDescent="0.25">
      <c r="A810" s="6">
        <v>808</v>
      </c>
      <c r="B810" s="7">
        <v>77.680000305175696</v>
      </c>
      <c r="C810" s="3">
        <f t="shared" si="3"/>
        <v>2.0286749401482833E-2</v>
      </c>
    </row>
    <row r="811" spans="1:3" ht="13.2" x14ac:dyDescent="0.25">
      <c r="A811" s="6">
        <v>809</v>
      </c>
      <c r="B811" s="7">
        <v>80.75</v>
      </c>
      <c r="C811" s="3">
        <f t="shared" si="3"/>
        <v>3.8760134191070099E-2</v>
      </c>
    </row>
    <row r="812" spans="1:3" ht="13.2" x14ac:dyDescent="0.25">
      <c r="A812" s="6">
        <v>810</v>
      </c>
      <c r="B812" s="7">
        <v>83</v>
      </c>
      <c r="C812" s="3">
        <f t="shared" si="3"/>
        <v>2.7482645693832099E-2</v>
      </c>
    </row>
    <row r="813" spans="1:3" ht="13.2" x14ac:dyDescent="0.25">
      <c r="A813" s="6">
        <v>811</v>
      </c>
      <c r="B813" s="7">
        <v>86.110000610351506</v>
      </c>
      <c r="C813" s="3">
        <f t="shared" si="3"/>
        <v>3.6784947999520354E-2</v>
      </c>
    </row>
    <row r="814" spans="1:3" ht="13.2" x14ac:dyDescent="0.25">
      <c r="A814" s="6">
        <v>812</v>
      </c>
      <c r="B814" s="7">
        <v>87.459999084472599</v>
      </c>
      <c r="C814" s="3">
        <f t="shared" si="3"/>
        <v>1.5555979720700613E-2</v>
      </c>
    </row>
    <row r="815" spans="1:3" ht="13.2" x14ac:dyDescent="0.25">
      <c r="A815" s="6">
        <v>813</v>
      </c>
      <c r="B815" s="7">
        <v>86.199996948242102</v>
      </c>
      <c r="C815" s="3">
        <f t="shared" si="3"/>
        <v>-1.4511393250395943E-2</v>
      </c>
    </row>
    <row r="816" spans="1:3" ht="13.2" x14ac:dyDescent="0.25">
      <c r="A816" s="6">
        <v>814</v>
      </c>
      <c r="B816" s="7">
        <v>77.620002746582003</v>
      </c>
      <c r="C816" s="3">
        <f t="shared" si="3"/>
        <v>-0.10484498094068519</v>
      </c>
    </row>
    <row r="817" spans="1:3" ht="13.2" x14ac:dyDescent="0.25">
      <c r="A817" s="6">
        <v>815</v>
      </c>
      <c r="B817" s="7">
        <v>78.760002136230398</v>
      </c>
      <c r="C817" s="3">
        <f t="shared" si="3"/>
        <v>1.4580119568477545E-2</v>
      </c>
    </row>
    <row r="818" spans="1:3" ht="13.2" x14ac:dyDescent="0.25">
      <c r="A818" s="6">
        <v>816</v>
      </c>
      <c r="B818" s="7">
        <v>79.989997863769503</v>
      </c>
      <c r="C818" s="3">
        <f t="shared" si="3"/>
        <v>1.5496319260295153E-2</v>
      </c>
    </row>
    <row r="819" spans="1:3" ht="13.2" x14ac:dyDescent="0.25">
      <c r="A819" s="6">
        <v>817</v>
      </c>
      <c r="B819" s="7">
        <v>80.370002746582003</v>
      </c>
      <c r="C819" s="3">
        <f t="shared" si="3"/>
        <v>4.7394062443351422E-3</v>
      </c>
    </row>
    <row r="820" spans="1:3" ht="13.2" x14ac:dyDescent="0.25">
      <c r="A820" s="6">
        <v>818</v>
      </c>
      <c r="B820" s="7">
        <v>82.580001831054602</v>
      </c>
      <c r="C820" s="3">
        <f t="shared" si="3"/>
        <v>2.7126536232198142E-2</v>
      </c>
    </row>
    <row r="821" spans="1:3" ht="13.2" x14ac:dyDescent="0.25">
      <c r="A821" s="6">
        <v>819</v>
      </c>
      <c r="B821" s="7">
        <v>81.669998168945298</v>
      </c>
      <c r="C821" s="3">
        <f t="shared" si="3"/>
        <v>-1.1080827681022738E-2</v>
      </c>
    </row>
    <row r="822" spans="1:3" ht="13.2" x14ac:dyDescent="0.25">
      <c r="A822" s="6">
        <v>820</v>
      </c>
      <c r="B822" s="7">
        <v>83.699996948242102</v>
      </c>
      <c r="C822" s="3">
        <f t="shared" si="3"/>
        <v>2.4552226084739913E-2</v>
      </c>
    </row>
    <row r="823" spans="1:3" ht="13.2" x14ac:dyDescent="0.25">
      <c r="A823" s="6">
        <v>821</v>
      </c>
      <c r="B823" s="7">
        <v>83.800003051757798</v>
      </c>
      <c r="C823" s="3">
        <f t="shared" si="3"/>
        <v>1.1941028704329523E-3</v>
      </c>
    </row>
    <row r="824" spans="1:3" ht="13.2" x14ac:dyDescent="0.25">
      <c r="A824" s="6">
        <v>822</v>
      </c>
      <c r="B824" s="7">
        <v>83.680000305175696</v>
      </c>
      <c r="C824" s="3">
        <f t="shared" si="3"/>
        <v>-1.4330399416443785E-3</v>
      </c>
    </row>
    <row r="825" spans="1:3" ht="13.2" x14ac:dyDescent="0.25">
      <c r="A825" s="6">
        <v>823</v>
      </c>
      <c r="B825" s="7">
        <v>82.970001220703097</v>
      </c>
      <c r="C825" s="3">
        <f t="shared" si="3"/>
        <v>-8.5208925747720377E-3</v>
      </c>
    </row>
    <row r="826" spans="1:3" ht="13.2" x14ac:dyDescent="0.25">
      <c r="A826" s="6">
        <v>824</v>
      </c>
      <c r="B826" s="7">
        <v>83.150001525878906</v>
      </c>
      <c r="C826" s="3">
        <f t="shared" si="3"/>
        <v>2.1671126010775008E-3</v>
      </c>
    </row>
    <row r="827" spans="1:3" ht="13.2" x14ac:dyDescent="0.25">
      <c r="A827" s="6">
        <v>825</v>
      </c>
      <c r="B827" s="7">
        <v>83.75</v>
      </c>
      <c r="C827" s="3">
        <f t="shared" si="3"/>
        <v>7.1899467153203984E-3</v>
      </c>
    </row>
    <row r="828" spans="1:3" ht="13.2" x14ac:dyDescent="0.25">
      <c r="A828" s="6">
        <v>826</v>
      </c>
      <c r="B828" s="7">
        <v>83.800003051757798</v>
      </c>
      <c r="C828" s="3">
        <f t="shared" si="3"/>
        <v>5.9687320001828464E-4</v>
      </c>
    </row>
    <row r="829" spans="1:3" ht="13.2" x14ac:dyDescent="0.25">
      <c r="A829" s="6">
        <v>827</v>
      </c>
      <c r="B829" s="7">
        <v>81.680000305175696</v>
      </c>
      <c r="C829" s="3">
        <f t="shared" si="3"/>
        <v>-2.5623866312548812E-2</v>
      </c>
    </row>
    <row r="830" spans="1:3" ht="13.2" x14ac:dyDescent="0.25">
      <c r="A830" s="6">
        <v>828</v>
      </c>
      <c r="B830" s="7">
        <v>81.599998474121094</v>
      </c>
      <c r="C830" s="3">
        <f t="shared" si="3"/>
        <v>-9.7993432208061935E-4</v>
      </c>
    </row>
    <row r="831" spans="1:3" ht="13.2" x14ac:dyDescent="0.25">
      <c r="A831" s="6">
        <v>829</v>
      </c>
      <c r="B831" s="7">
        <v>83.139999389648395</v>
      </c>
      <c r="C831" s="3">
        <f t="shared" si="3"/>
        <v>1.8696683212675751E-2</v>
      </c>
    </row>
    <row r="832" spans="1:3" ht="13.2" x14ac:dyDescent="0.25">
      <c r="A832" s="6">
        <v>830</v>
      </c>
      <c r="B832" s="7">
        <v>83.330001831054602</v>
      </c>
      <c r="C832" s="3">
        <f t="shared" si="3"/>
        <v>2.2827238844088426E-3</v>
      </c>
    </row>
    <row r="833" spans="1:3" ht="13.2" x14ac:dyDescent="0.25">
      <c r="A833" s="6">
        <v>831</v>
      </c>
      <c r="B833" s="7">
        <v>83.099998474121094</v>
      </c>
      <c r="C833" s="3">
        <f t="shared" si="3"/>
        <v>-2.7639668682073251E-3</v>
      </c>
    </row>
    <row r="834" spans="1:3" ht="13.2" x14ac:dyDescent="0.25">
      <c r="A834" s="6">
        <v>832</v>
      </c>
      <c r="B834" s="7">
        <v>81.169998168945298</v>
      </c>
      <c r="C834" s="3">
        <f t="shared" si="3"/>
        <v>-2.349898528462703E-2</v>
      </c>
    </row>
    <row r="835" spans="1:3" ht="13.2" x14ac:dyDescent="0.25">
      <c r="A835" s="6">
        <v>833</v>
      </c>
      <c r="B835" s="7">
        <v>81.699996948242102</v>
      </c>
      <c r="C835" s="3">
        <f t="shared" si="3"/>
        <v>6.5082662979236679E-3</v>
      </c>
    </row>
    <row r="836" spans="1:3" ht="13.2" x14ac:dyDescent="0.25">
      <c r="A836" s="6">
        <v>834</v>
      </c>
      <c r="B836" s="7">
        <v>80.620002746582003</v>
      </c>
      <c r="C836" s="3">
        <f t="shared" si="3"/>
        <v>-1.3307172755473372E-2</v>
      </c>
    </row>
    <row r="837" spans="1:3" ht="13.2" x14ac:dyDescent="0.25">
      <c r="A837" s="6">
        <v>835</v>
      </c>
      <c r="B837" s="7">
        <v>82.5</v>
      </c>
      <c r="C837" s="3">
        <f t="shared" si="3"/>
        <v>2.3051501583370097E-2</v>
      </c>
    </row>
    <row r="838" spans="1:3" ht="13.2" x14ac:dyDescent="0.25">
      <c r="A838" s="6">
        <v>836</v>
      </c>
      <c r="B838" s="7">
        <v>83.709999084472599</v>
      </c>
      <c r="C838" s="3">
        <f t="shared" si="3"/>
        <v>1.4560140394435626E-2</v>
      </c>
    </row>
    <row r="839" spans="1:3" ht="13.2" x14ac:dyDescent="0.25">
      <c r="A839" s="6">
        <v>837</v>
      </c>
      <c r="B839" s="7">
        <v>83.129997253417898</v>
      </c>
      <c r="C839" s="3">
        <f t="shared" si="3"/>
        <v>-6.9528192316766074E-3</v>
      </c>
    </row>
    <row r="840" spans="1:3" ht="13.2" x14ac:dyDescent="0.25">
      <c r="A840" s="6">
        <v>838</v>
      </c>
      <c r="B840" s="7">
        <v>82.139999389648395</v>
      </c>
      <c r="C840" s="3">
        <f t="shared" si="3"/>
        <v>-1.198051340560766E-2</v>
      </c>
    </row>
    <row r="841" spans="1:3" ht="13.2" x14ac:dyDescent="0.25">
      <c r="A841" s="6">
        <v>839</v>
      </c>
      <c r="B841" s="7">
        <v>86.190002441406193</v>
      </c>
      <c r="C841" s="3">
        <f t="shared" si="3"/>
        <v>4.8129088887384437E-2</v>
      </c>
    </row>
    <row r="842" spans="1:3" ht="13.2" x14ac:dyDescent="0.25">
      <c r="A842" s="6">
        <v>840</v>
      </c>
      <c r="B842" s="7">
        <v>85.5</v>
      </c>
      <c r="C842" s="3">
        <f t="shared" si="3"/>
        <v>-8.0378140424566553E-3</v>
      </c>
    </row>
    <row r="843" spans="1:3" ht="13.2" x14ac:dyDescent="0.25">
      <c r="A843" s="6">
        <v>841</v>
      </c>
      <c r="B843" s="7">
        <v>84.040000915527301</v>
      </c>
      <c r="C843" s="3">
        <f t="shared" si="3"/>
        <v>-1.7223489071968016E-2</v>
      </c>
    </row>
    <row r="844" spans="1:3" ht="13.2" x14ac:dyDescent="0.25">
      <c r="A844" s="6">
        <v>842</v>
      </c>
      <c r="B844" s="7">
        <v>80.040000915527301</v>
      </c>
      <c r="C844" s="3">
        <f t="shared" si="3"/>
        <v>-4.8766365716841904E-2</v>
      </c>
    </row>
    <row r="845" spans="1:3" ht="13.2" x14ac:dyDescent="0.25">
      <c r="A845" s="6">
        <v>843</v>
      </c>
      <c r="B845" s="7">
        <v>82.690002441406193</v>
      </c>
      <c r="C845" s="3">
        <f t="shared" si="3"/>
        <v>3.2572184104976067E-2</v>
      </c>
    </row>
    <row r="846" spans="1:3" ht="13.2" x14ac:dyDescent="0.25">
      <c r="A846" s="6">
        <v>844</v>
      </c>
      <c r="B846" s="7">
        <v>82.290000915527301</v>
      </c>
      <c r="C846" s="3">
        <f t="shared" si="3"/>
        <v>-4.8491005156388713E-3</v>
      </c>
    </row>
    <row r="847" spans="1:3" ht="13.2" x14ac:dyDescent="0.25">
      <c r="A847" s="6">
        <v>845</v>
      </c>
      <c r="B847" s="7">
        <v>85.760002136230398</v>
      </c>
      <c r="C847" s="3">
        <f t="shared" si="3"/>
        <v>4.1303117488652633E-2</v>
      </c>
    </row>
    <row r="848" spans="1:3" ht="13.2" x14ac:dyDescent="0.25">
      <c r="A848" s="6">
        <v>846</v>
      </c>
      <c r="B848" s="7">
        <v>84.790000915527301</v>
      </c>
      <c r="C848" s="3">
        <f t="shared" si="3"/>
        <v>-1.1375100118397095E-2</v>
      </c>
    </row>
    <row r="849" spans="1:3" ht="13.2" x14ac:dyDescent="0.25">
      <c r="A849" s="6">
        <v>847</v>
      </c>
      <c r="B849" s="7">
        <v>88.980003356933594</v>
      </c>
      <c r="C849" s="3">
        <f t="shared" si="3"/>
        <v>4.8234040991230617E-2</v>
      </c>
    </row>
    <row r="850" spans="1:3" ht="13.2" x14ac:dyDescent="0.25">
      <c r="A850" s="6">
        <v>848</v>
      </c>
      <c r="B850" s="7">
        <v>85.319999694824205</v>
      </c>
      <c r="C850" s="3">
        <f t="shared" si="3"/>
        <v>-4.2002773078415871E-2</v>
      </c>
    </row>
    <row r="851" spans="1:3" ht="13.2" x14ac:dyDescent="0.25">
      <c r="A851" s="6">
        <v>849</v>
      </c>
      <c r="B851" s="7">
        <v>81.739997863769503</v>
      </c>
      <c r="C851" s="3">
        <f t="shared" si="3"/>
        <v>-4.2865438024637929E-2</v>
      </c>
    </row>
    <row r="852" spans="1:3" ht="13.2" x14ac:dyDescent="0.25">
      <c r="A852" s="6">
        <v>850</v>
      </c>
      <c r="B852" s="7">
        <v>83.230003356933594</v>
      </c>
      <c r="C852" s="3">
        <f t="shared" si="3"/>
        <v>1.8064448089545063E-2</v>
      </c>
    </row>
    <row r="853" spans="1:3" ht="13.2" x14ac:dyDescent="0.25">
      <c r="A853" s="6">
        <v>851</v>
      </c>
      <c r="B853" s="7">
        <v>80.980003356933594</v>
      </c>
      <c r="C853" s="3">
        <f t="shared" si="3"/>
        <v>-2.7405648033344953E-2</v>
      </c>
    </row>
    <row r="854" spans="1:3" ht="13.2" x14ac:dyDescent="0.25">
      <c r="A854" s="6">
        <v>852</v>
      </c>
      <c r="B854" s="7">
        <v>81.160003662109304</v>
      </c>
      <c r="C854" s="3">
        <f t="shared" si="3"/>
        <v>2.2203080218345531E-3</v>
      </c>
    </row>
    <row r="855" spans="1:3" ht="13.2" x14ac:dyDescent="0.25">
      <c r="A855" s="6">
        <v>853</v>
      </c>
      <c r="B855" s="7">
        <v>83.260002136230398</v>
      </c>
      <c r="C855" s="3">
        <f t="shared" si="3"/>
        <v>2.5545707344463309E-2</v>
      </c>
    </row>
    <row r="856" spans="1:3" ht="13.2" x14ac:dyDescent="0.25">
      <c r="A856" s="6">
        <v>854</v>
      </c>
      <c r="B856" s="7">
        <v>82.300003051757798</v>
      </c>
      <c r="C856" s="3">
        <f t="shared" si="3"/>
        <v>-1.1597122660252155E-2</v>
      </c>
    </row>
    <row r="857" spans="1:3" ht="13.2" x14ac:dyDescent="0.25">
      <c r="A857" s="6">
        <v>855</v>
      </c>
      <c r="B857" s="7">
        <v>79.599998474121094</v>
      </c>
      <c r="C857" s="3">
        <f t="shared" si="3"/>
        <v>-3.3357071082915975E-2</v>
      </c>
    </row>
    <row r="858" spans="1:3" ht="13.2" x14ac:dyDescent="0.25">
      <c r="A858" s="6">
        <v>856</v>
      </c>
      <c r="B858" s="7">
        <v>79.5</v>
      </c>
      <c r="C858" s="3">
        <f t="shared" si="3"/>
        <v>-1.2570520207179252E-3</v>
      </c>
    </row>
    <row r="859" spans="1:3" ht="13.2" x14ac:dyDescent="0.25">
      <c r="A859" s="6">
        <v>857</v>
      </c>
      <c r="B859" s="7">
        <v>79.919998168945298</v>
      </c>
      <c r="C859" s="3">
        <f t="shared" si="3"/>
        <v>5.2690897689166571E-3</v>
      </c>
    </row>
    <row r="860" spans="1:3" ht="13.2" x14ac:dyDescent="0.25">
      <c r="A860" s="6">
        <v>858</v>
      </c>
      <c r="B860" s="7">
        <v>82.620002746582003</v>
      </c>
      <c r="C860" s="3">
        <f t="shared" si="3"/>
        <v>3.3225703782963821E-2</v>
      </c>
    </row>
    <row r="861" spans="1:3" ht="13.2" x14ac:dyDescent="0.25">
      <c r="A861" s="6">
        <v>859</v>
      </c>
      <c r="B861" s="7">
        <v>82</v>
      </c>
      <c r="C861" s="3">
        <f t="shared" si="3"/>
        <v>-7.5325679479136638E-3</v>
      </c>
    </row>
    <row r="862" spans="1:3" ht="13.2" x14ac:dyDescent="0.25">
      <c r="A862" s="6">
        <v>860</v>
      </c>
      <c r="B862" s="7">
        <v>83.589996337890597</v>
      </c>
      <c r="C862" s="3">
        <f t="shared" si="3"/>
        <v>1.9204604636433791E-2</v>
      </c>
    </row>
    <row r="863" spans="1:3" ht="13.2" x14ac:dyDescent="0.25">
      <c r="A863" s="6">
        <v>861</v>
      </c>
      <c r="B863" s="7">
        <v>83</v>
      </c>
      <c r="C863" s="3">
        <f t="shared" si="3"/>
        <v>-7.0832441040890228E-3</v>
      </c>
    </row>
    <row r="864" spans="1:3" ht="13.2" x14ac:dyDescent="0.25">
      <c r="A864" s="6">
        <v>862</v>
      </c>
      <c r="B864" s="7">
        <v>84.190002441406193</v>
      </c>
      <c r="C864" s="3">
        <f t="shared" si="3"/>
        <v>1.4235570551741286E-2</v>
      </c>
    </row>
    <row r="865" spans="1:3" ht="13.2" x14ac:dyDescent="0.25">
      <c r="A865" s="6">
        <v>863</v>
      </c>
      <c r="B865" s="7">
        <v>85.050003051757798</v>
      </c>
      <c r="C865" s="3">
        <f t="shared" si="3"/>
        <v>1.0163176375456807E-2</v>
      </c>
    </row>
    <row r="866" spans="1:3" ht="13.2" x14ac:dyDescent="0.25">
      <c r="A866" s="6">
        <v>864</v>
      </c>
      <c r="B866" s="7">
        <v>86</v>
      </c>
      <c r="C866" s="3">
        <f t="shared" si="3"/>
        <v>1.1107941529711764E-2</v>
      </c>
    </row>
    <row r="867" spans="1:3" ht="13.2" x14ac:dyDescent="0.25">
      <c r="A867" s="6">
        <v>865</v>
      </c>
      <c r="B867" s="7">
        <v>87.019996643066406</v>
      </c>
      <c r="C867" s="3">
        <f t="shared" si="3"/>
        <v>1.179064246245016E-2</v>
      </c>
    </row>
    <row r="868" spans="1:3" ht="13.2" x14ac:dyDescent="0.25">
      <c r="A868" s="6">
        <v>866</v>
      </c>
      <c r="B868" s="7">
        <v>85.239997863769503</v>
      </c>
      <c r="C868" s="3">
        <f t="shared" si="3"/>
        <v>-2.0667156546903848E-2</v>
      </c>
    </row>
    <row r="869" spans="1:3" ht="13.2" x14ac:dyDescent="0.25">
      <c r="A869" s="6">
        <v>867</v>
      </c>
      <c r="B869" s="7">
        <v>86.050003051757798</v>
      </c>
      <c r="C869" s="3">
        <f t="shared" si="3"/>
        <v>9.4577759534303744E-3</v>
      </c>
    </row>
    <row r="870" spans="1:3" ht="13.2" x14ac:dyDescent="0.25">
      <c r="A870" s="6">
        <v>868</v>
      </c>
      <c r="B870" s="7">
        <v>85.459999084472599</v>
      </c>
      <c r="C870" s="3">
        <f t="shared" si="3"/>
        <v>-6.880138619540354E-3</v>
      </c>
    </row>
    <row r="871" spans="1:3" ht="13.2" x14ac:dyDescent="0.25">
      <c r="A871" s="6">
        <v>869</v>
      </c>
      <c r="B871" s="7">
        <v>84.010002136230398</v>
      </c>
      <c r="C871" s="3">
        <f t="shared" si="3"/>
        <v>-1.7112554697901638E-2</v>
      </c>
    </row>
    <row r="872" spans="1:3" ht="13.2" x14ac:dyDescent="0.25">
      <c r="A872" s="6">
        <v>870</v>
      </c>
      <c r="B872" s="7">
        <v>86.949996948242102</v>
      </c>
      <c r="C872" s="3">
        <f t="shared" si="3"/>
        <v>3.4397340897400652E-2</v>
      </c>
    </row>
    <row r="873" spans="1:3" ht="13.2" x14ac:dyDescent="0.25">
      <c r="A873" s="6">
        <v>871</v>
      </c>
      <c r="B873" s="7">
        <v>91.980003356933594</v>
      </c>
      <c r="C873" s="3">
        <f t="shared" si="3"/>
        <v>5.6237992905676347E-2</v>
      </c>
    </row>
    <row r="874" spans="1:3" ht="13.2" x14ac:dyDescent="0.25">
      <c r="A874" s="6">
        <v>872</v>
      </c>
      <c r="B874" s="7">
        <v>91.779998779296804</v>
      </c>
      <c r="C874" s="3">
        <f t="shared" si="3"/>
        <v>-2.1768029417504405E-3</v>
      </c>
    </row>
    <row r="875" spans="1:3" ht="13.2" x14ac:dyDescent="0.25">
      <c r="A875" s="6">
        <v>873</v>
      </c>
      <c r="B875" s="7">
        <v>93.129997253417898</v>
      </c>
      <c r="C875" s="3">
        <f t="shared" si="3"/>
        <v>1.4601941375281077E-2</v>
      </c>
    </row>
    <row r="876" spans="1:3" ht="13.2" x14ac:dyDescent="0.25">
      <c r="A876" s="6">
        <v>874</v>
      </c>
      <c r="B876" s="7">
        <v>91.279998779296804</v>
      </c>
      <c r="C876" s="3">
        <f t="shared" si="3"/>
        <v>-2.0064644861002841E-2</v>
      </c>
    </row>
    <row r="877" spans="1:3" ht="13.2" x14ac:dyDescent="0.25">
      <c r="A877" s="6">
        <v>875</v>
      </c>
      <c r="B877" s="7">
        <v>91.650001525878906</v>
      </c>
      <c r="C877" s="3">
        <f t="shared" si="3"/>
        <v>4.0452987540452699E-3</v>
      </c>
    </row>
    <row r="878" spans="1:3" ht="13.2" x14ac:dyDescent="0.25">
      <c r="A878" s="6">
        <v>876</v>
      </c>
      <c r="B878" s="7">
        <v>93.160003662109304</v>
      </c>
      <c r="C878" s="3">
        <f t="shared" si="3"/>
        <v>1.634149339133625E-2</v>
      </c>
    </row>
    <row r="879" spans="1:3" ht="13.2" x14ac:dyDescent="0.25">
      <c r="A879" s="6">
        <v>877</v>
      </c>
      <c r="B879" s="7">
        <v>92.970001220703097</v>
      </c>
      <c r="C879" s="3">
        <f t="shared" si="3"/>
        <v>-2.0416107281871808E-3</v>
      </c>
    </row>
    <row r="880" spans="1:3" ht="13.2" x14ac:dyDescent="0.25">
      <c r="A880" s="6">
        <v>878</v>
      </c>
      <c r="B880" s="7">
        <v>89.099998474121094</v>
      </c>
      <c r="C880" s="3">
        <f t="shared" si="3"/>
        <v>-4.2517556246543006E-2</v>
      </c>
    </row>
    <row r="881" spans="1:3" ht="13.2" x14ac:dyDescent="0.25">
      <c r="A881" s="6">
        <v>879</v>
      </c>
      <c r="B881" s="7">
        <v>90.239997863769503</v>
      </c>
      <c r="C881" s="3">
        <f t="shared" si="3"/>
        <v>1.2713446725682746E-2</v>
      </c>
    </row>
    <row r="882" spans="1:3" ht="13.2" x14ac:dyDescent="0.25">
      <c r="A882" s="6">
        <v>880</v>
      </c>
      <c r="B882" s="7">
        <v>90</v>
      </c>
      <c r="C882" s="3">
        <f t="shared" si="3"/>
        <v>-2.6630937467163455E-3</v>
      </c>
    </row>
    <row r="883" spans="1:3" ht="13.2" x14ac:dyDescent="0.25">
      <c r="A883" s="6">
        <v>881</v>
      </c>
      <c r="B883" s="7">
        <v>88.489997863769503</v>
      </c>
      <c r="C883" s="3">
        <f t="shared" si="3"/>
        <v>-1.692014319193199E-2</v>
      </c>
    </row>
    <row r="884" spans="1:3" ht="13.2" x14ac:dyDescent="0.25">
      <c r="A884" s="6">
        <v>882</v>
      </c>
      <c r="B884" s="7">
        <v>88.010002136230398</v>
      </c>
      <c r="C884" s="3">
        <f t="shared" si="3"/>
        <v>-5.4390584800258299E-3</v>
      </c>
    </row>
    <row r="885" spans="1:3" ht="13.2" x14ac:dyDescent="0.25">
      <c r="A885" s="6">
        <v>883</v>
      </c>
      <c r="B885" s="7">
        <v>89.129997253417898</v>
      </c>
      <c r="C885" s="3">
        <f t="shared" si="3"/>
        <v>1.2645478668856637E-2</v>
      </c>
    </row>
    <row r="886" spans="1:3" ht="13.2" x14ac:dyDescent="0.25">
      <c r="A886" s="6">
        <v>884</v>
      </c>
      <c r="B886" s="7">
        <v>87.930000305175696</v>
      </c>
      <c r="C886" s="3">
        <f t="shared" si="3"/>
        <v>-1.3554900465586654E-2</v>
      </c>
    </row>
    <row r="887" spans="1:3" ht="13.2" x14ac:dyDescent="0.25">
      <c r="A887" s="6">
        <v>885</v>
      </c>
      <c r="B887" s="7">
        <v>88.989997863769503</v>
      </c>
      <c r="C887" s="3">
        <f t="shared" si="3"/>
        <v>1.1982933001906287E-2</v>
      </c>
    </row>
    <row r="888" spans="1:3" ht="13.2" x14ac:dyDescent="0.25">
      <c r="A888" s="6">
        <v>886</v>
      </c>
      <c r="B888" s="7">
        <v>88.389999389648395</v>
      </c>
      <c r="C888" s="3">
        <f t="shared" si="3"/>
        <v>-6.7651456958380185E-3</v>
      </c>
    </row>
    <row r="889" spans="1:3" ht="13.2" x14ac:dyDescent="0.25">
      <c r="A889" s="6">
        <v>887</v>
      </c>
      <c r="B889" s="7">
        <v>87.410003662109304</v>
      </c>
      <c r="C889" s="3">
        <f t="shared" si="3"/>
        <v>-1.1149099679479225E-2</v>
      </c>
    </row>
    <row r="890" spans="1:3" ht="13.2" x14ac:dyDescent="0.25">
      <c r="A890" s="6">
        <v>888</v>
      </c>
      <c r="B890" s="7">
        <v>86.5</v>
      </c>
      <c r="C890" s="3">
        <f t="shared" si="3"/>
        <v>-1.0465320550332611E-2</v>
      </c>
    </row>
    <row r="891" spans="1:3" ht="13.2" x14ac:dyDescent="0.25">
      <c r="A891" s="6">
        <v>889</v>
      </c>
      <c r="B891" s="7">
        <v>87.099998474121094</v>
      </c>
      <c r="C891" s="3">
        <f t="shared" si="3"/>
        <v>6.9124524019218139E-3</v>
      </c>
    </row>
    <row r="892" spans="1:3" ht="13.2" x14ac:dyDescent="0.25">
      <c r="A892" s="6">
        <v>890</v>
      </c>
      <c r="B892" s="7">
        <v>87.959999084472599</v>
      </c>
      <c r="C892" s="3">
        <f t="shared" si="3"/>
        <v>9.825288938353445E-3</v>
      </c>
    </row>
    <row r="893" spans="1:3" ht="13.2" x14ac:dyDescent="0.25">
      <c r="A893" s="6">
        <v>891</v>
      </c>
      <c r="B893" s="7">
        <v>84</v>
      </c>
      <c r="C893" s="3">
        <f t="shared" si="3"/>
        <v>-4.606535643479516E-2</v>
      </c>
    </row>
    <row r="894" spans="1:3" ht="13.2" x14ac:dyDescent="0.25">
      <c r="A894" s="6">
        <v>892</v>
      </c>
      <c r="B894" s="7">
        <v>80.099998474121094</v>
      </c>
      <c r="C894" s="3">
        <f t="shared" si="3"/>
        <v>-4.7540963818674467E-2</v>
      </c>
    </row>
    <row r="895" spans="1:3" ht="13.2" x14ac:dyDescent="0.25">
      <c r="A895" s="6">
        <v>893</v>
      </c>
      <c r="B895" s="7">
        <v>82.209999084472599</v>
      </c>
      <c r="C895" s="3">
        <f t="shared" si="3"/>
        <v>2.6001103002954714E-2</v>
      </c>
    </row>
    <row r="896" spans="1:3" ht="13.2" x14ac:dyDescent="0.25">
      <c r="A896" s="6">
        <v>894</v>
      </c>
      <c r="B896" s="7">
        <v>84.489997863769503</v>
      </c>
      <c r="C896" s="3">
        <f t="shared" si="3"/>
        <v>2.7356220853332825E-2</v>
      </c>
    </row>
    <row r="897" spans="1:3" ht="13.2" x14ac:dyDescent="0.25">
      <c r="A897" s="6">
        <v>895</v>
      </c>
      <c r="B897" s="7">
        <v>84.019996643066406</v>
      </c>
      <c r="C897" s="3">
        <f t="shared" si="3"/>
        <v>-5.5783330936737419E-3</v>
      </c>
    </row>
    <row r="898" spans="1:3" ht="13.2" x14ac:dyDescent="0.25">
      <c r="A898" s="6">
        <v>896</v>
      </c>
      <c r="B898" s="7">
        <v>84.25</v>
      </c>
      <c r="C898" s="3">
        <f t="shared" si="3"/>
        <v>2.733743445218182E-3</v>
      </c>
    </row>
    <row r="899" spans="1:3" ht="13.2" x14ac:dyDescent="0.25">
      <c r="A899" s="6">
        <v>897</v>
      </c>
      <c r="B899" s="7">
        <v>83.760002136230398</v>
      </c>
      <c r="C899" s="3">
        <f t="shared" si="3"/>
        <v>-5.8329771660066126E-3</v>
      </c>
    </row>
    <row r="900" spans="1:3" ht="13.2" x14ac:dyDescent="0.25">
      <c r="A900" s="6">
        <v>898</v>
      </c>
      <c r="B900" s="7">
        <v>80.209999084472599</v>
      </c>
      <c r="C900" s="3">
        <f t="shared" si="3"/>
        <v>-4.3307408101761792E-2</v>
      </c>
    </row>
    <row r="901" spans="1:3" ht="13.2" x14ac:dyDescent="0.25">
      <c r="A901" s="6">
        <v>899</v>
      </c>
      <c r="B901" s="7">
        <v>77.849998474121094</v>
      </c>
      <c r="C901" s="3">
        <f t="shared" si="3"/>
        <v>-2.9864305284938428E-2</v>
      </c>
    </row>
    <row r="902" spans="1:3" ht="13.2" x14ac:dyDescent="0.25">
      <c r="A902" s="6">
        <v>900</v>
      </c>
      <c r="B902" s="7">
        <v>77.349998474121094</v>
      </c>
      <c r="C902" s="3">
        <f t="shared" si="3"/>
        <v>-6.4433213876305996E-3</v>
      </c>
    </row>
    <row r="903" spans="1:3" ht="13.2" x14ac:dyDescent="0.25">
      <c r="A903" s="6">
        <v>901</v>
      </c>
      <c r="B903" s="7">
        <v>83.690002441406193</v>
      </c>
      <c r="C903" s="3">
        <f t="shared" si="3"/>
        <v>7.8778967924666571E-2</v>
      </c>
    </row>
    <row r="904" spans="1:3" ht="13.2" x14ac:dyDescent="0.25">
      <c r="A904" s="6">
        <v>902</v>
      </c>
      <c r="B904" s="7">
        <v>84.069999694824205</v>
      </c>
      <c r="C904" s="3">
        <f t="shared" si="3"/>
        <v>4.530256300384972E-3</v>
      </c>
    </row>
    <row r="905" spans="1:3" ht="13.2" x14ac:dyDescent="0.25">
      <c r="A905" s="6">
        <v>903</v>
      </c>
      <c r="B905" s="7">
        <v>82.010002136230398</v>
      </c>
      <c r="C905" s="3">
        <f t="shared" si="3"/>
        <v>-2.4808564420452196E-2</v>
      </c>
    </row>
    <row r="906" spans="1:3" ht="13.2" x14ac:dyDescent="0.25">
      <c r="A906" s="6">
        <v>904</v>
      </c>
      <c r="B906" s="7">
        <v>82</v>
      </c>
      <c r="C906" s="3">
        <f t="shared" si="3"/>
        <v>-1.219698324799926E-4</v>
      </c>
    </row>
    <row r="907" spans="1:3" ht="13.2" x14ac:dyDescent="0.25">
      <c r="A907" s="6">
        <v>905</v>
      </c>
      <c r="B907" s="7">
        <v>79.690002441406193</v>
      </c>
      <c r="C907" s="3">
        <f t="shared" si="3"/>
        <v>-2.8575109218303734E-2</v>
      </c>
    </row>
    <row r="908" spans="1:3" ht="13.2" x14ac:dyDescent="0.25">
      <c r="A908" s="6">
        <v>906</v>
      </c>
      <c r="B908" s="7">
        <v>78.900001525878906</v>
      </c>
      <c r="C908" s="3">
        <f t="shared" si="3"/>
        <v>-9.962890854717868E-3</v>
      </c>
    </row>
    <row r="909" spans="1:3" ht="13.2" x14ac:dyDescent="0.25">
      <c r="A909" s="6">
        <v>907</v>
      </c>
      <c r="B909" s="7">
        <v>82</v>
      </c>
      <c r="C909" s="3">
        <f t="shared" si="3"/>
        <v>3.8538000073021605E-2</v>
      </c>
    </row>
    <row r="910" spans="1:3" ht="13.2" x14ac:dyDescent="0.25">
      <c r="A910" s="6">
        <v>908</v>
      </c>
      <c r="B910" s="7">
        <v>82.139999389648395</v>
      </c>
      <c r="C910" s="3">
        <f t="shared" si="3"/>
        <v>1.7058538335336276E-3</v>
      </c>
    </row>
    <row r="911" spans="1:3" ht="13.2" x14ac:dyDescent="0.25">
      <c r="A911" s="6">
        <v>909</v>
      </c>
      <c r="B911" s="7">
        <v>82.730003356933594</v>
      </c>
      <c r="C911" s="3">
        <f t="shared" si="3"/>
        <v>7.1572326812845838E-3</v>
      </c>
    </row>
    <row r="912" spans="1:3" ht="13.2" x14ac:dyDescent="0.25">
      <c r="A912" s="6">
        <v>910</v>
      </c>
      <c r="B912" s="7">
        <v>83.790000915527301</v>
      </c>
      <c r="C912" s="3">
        <f t="shared" si="3"/>
        <v>1.2731345772574551E-2</v>
      </c>
    </row>
    <row r="913" spans="1:3" ht="13.2" x14ac:dyDescent="0.25">
      <c r="A913" s="6">
        <v>911</v>
      </c>
      <c r="B913" s="7">
        <v>83.199996948242102</v>
      </c>
      <c r="C913" s="3">
        <f t="shared" si="3"/>
        <v>-7.066368404265915E-3</v>
      </c>
    </row>
    <row r="914" spans="1:3" ht="13.2" x14ac:dyDescent="0.25">
      <c r="A914" s="6">
        <v>912</v>
      </c>
      <c r="B914" s="7">
        <v>84.260002136230398</v>
      </c>
      <c r="C914" s="3">
        <f t="shared" si="3"/>
        <v>1.2659970756331433E-2</v>
      </c>
    </row>
    <row r="915" spans="1:3" ht="13.2" x14ac:dyDescent="0.25">
      <c r="A915" s="6">
        <v>913</v>
      </c>
      <c r="B915" s="7">
        <v>85.050003051757798</v>
      </c>
      <c r="C915" s="3">
        <f t="shared" si="3"/>
        <v>9.3320728200846585E-3</v>
      </c>
    </row>
    <row r="916" spans="1:3" ht="13.2" x14ac:dyDescent="0.25">
      <c r="A916" s="6">
        <v>914</v>
      </c>
      <c r="B916" s="7">
        <v>82.580001831054602</v>
      </c>
      <c r="C916" s="3">
        <f t="shared" si="3"/>
        <v>-2.9471812092752105E-2</v>
      </c>
    </row>
    <row r="917" spans="1:3" ht="13.2" x14ac:dyDescent="0.25">
      <c r="A917" s="6">
        <v>915</v>
      </c>
      <c r="B917" s="7">
        <v>84.290000915527301</v>
      </c>
      <c r="C917" s="3">
        <f t="shared" si="3"/>
        <v>2.0495702239982701E-2</v>
      </c>
    </row>
    <row r="918" spans="1:3" ht="13.2" x14ac:dyDescent="0.25">
      <c r="A918" s="6">
        <v>916</v>
      </c>
      <c r="B918" s="7">
        <v>86.510002136230398</v>
      </c>
      <c r="C918" s="3">
        <f t="shared" si="3"/>
        <v>2.5996794014706209E-2</v>
      </c>
    </row>
    <row r="919" spans="1:3" ht="13.2" x14ac:dyDescent="0.25">
      <c r="A919" s="6">
        <v>917</v>
      </c>
      <c r="B919" s="7">
        <v>86.379997253417898</v>
      </c>
      <c r="C919" s="3">
        <f t="shared" si="3"/>
        <v>-1.5039031496835214E-3</v>
      </c>
    </row>
    <row r="920" spans="1:3" ht="13.2" x14ac:dyDescent="0.25">
      <c r="A920" s="6">
        <v>918</v>
      </c>
      <c r="B920" s="7">
        <v>86.930000305175696</v>
      </c>
      <c r="C920" s="3">
        <f t="shared" si="3"/>
        <v>6.3470648655146351E-3</v>
      </c>
    </row>
    <row r="921" spans="1:3" ht="13.2" x14ac:dyDescent="0.25">
      <c r="A921" s="6">
        <v>919</v>
      </c>
      <c r="B921" s="7">
        <v>85.559997558593693</v>
      </c>
      <c r="C921" s="3">
        <f t="shared" si="3"/>
        <v>-1.588534492179532E-2</v>
      </c>
    </row>
    <row r="922" spans="1:3" ht="13.2" x14ac:dyDescent="0.25">
      <c r="A922" s="6">
        <v>920</v>
      </c>
      <c r="B922" s="7">
        <v>84.480003356933594</v>
      </c>
      <c r="C922" s="3">
        <f t="shared" si="3"/>
        <v>-1.2702995985388491E-2</v>
      </c>
    </row>
    <row r="923" spans="1:3" ht="13.2" x14ac:dyDescent="0.25">
      <c r="A923" s="6">
        <v>921</v>
      </c>
      <c r="B923" s="7">
        <v>83.720001220703097</v>
      </c>
      <c r="C923" s="3">
        <f t="shared" si="3"/>
        <v>-9.0369475357991672E-3</v>
      </c>
    </row>
    <row r="924" spans="1:3" ht="13.2" x14ac:dyDescent="0.25">
      <c r="A924" s="6">
        <v>922</v>
      </c>
      <c r="B924" s="7">
        <v>83.599998474121094</v>
      </c>
      <c r="C924" s="3">
        <f t="shared" si="3"/>
        <v>-1.4344103200654938E-3</v>
      </c>
    </row>
    <row r="925" spans="1:3" ht="13.2" x14ac:dyDescent="0.25">
      <c r="A925" s="6">
        <v>923</v>
      </c>
      <c r="B925" s="7">
        <v>83.150001525878906</v>
      </c>
      <c r="C925" s="3">
        <f t="shared" si="3"/>
        <v>-5.3972778486602972E-3</v>
      </c>
    </row>
    <row r="926" spans="1:3" ht="13.2" x14ac:dyDescent="0.25">
      <c r="A926" s="6">
        <v>924</v>
      </c>
      <c r="B926" s="7">
        <v>84.199996948242102</v>
      </c>
      <c r="C926" s="3">
        <f t="shared" si="3"/>
        <v>1.2548661014269321E-2</v>
      </c>
    </row>
    <row r="927" spans="1:3" ht="13.2" x14ac:dyDescent="0.25">
      <c r="A927" s="6">
        <v>925</v>
      </c>
      <c r="B927" s="7">
        <v>84.230003356933594</v>
      </c>
      <c r="C927" s="3">
        <f t="shared" si="3"/>
        <v>3.5630717751677335E-4</v>
      </c>
    </row>
    <row r="928" spans="1:3" ht="13.2" x14ac:dyDescent="0.25">
      <c r="A928" s="6">
        <v>926</v>
      </c>
      <c r="B928" s="7">
        <v>83.540000915527301</v>
      </c>
      <c r="C928" s="3">
        <f t="shared" si="3"/>
        <v>-8.2256221534634851E-3</v>
      </c>
    </row>
    <row r="929" spans="1:3" ht="13.2" x14ac:dyDescent="0.25">
      <c r="A929" s="6">
        <v>927</v>
      </c>
      <c r="B929" s="7">
        <v>82.160003662109304</v>
      </c>
      <c r="C929" s="3">
        <f t="shared" si="3"/>
        <v>-1.6656959834978342E-2</v>
      </c>
    </row>
    <row r="930" spans="1:3" ht="13.2" x14ac:dyDescent="0.25">
      <c r="A930" s="6">
        <v>928</v>
      </c>
      <c r="B930" s="7">
        <v>82.300003051757798</v>
      </c>
      <c r="C930" s="3">
        <f t="shared" si="3"/>
        <v>1.7025345707202923E-3</v>
      </c>
    </row>
    <row r="931" spans="1:3" ht="13.2" x14ac:dyDescent="0.25">
      <c r="A931" s="6">
        <v>929</v>
      </c>
      <c r="B931" s="7">
        <v>85.269996643066406</v>
      </c>
      <c r="C931" s="3">
        <f t="shared" si="3"/>
        <v>3.5451508621753079E-2</v>
      </c>
    </row>
    <row r="932" spans="1:3" ht="13.2" x14ac:dyDescent="0.25">
      <c r="A932" s="6">
        <v>930</v>
      </c>
      <c r="B932" s="7">
        <v>84.480003356933594</v>
      </c>
      <c r="C932" s="3">
        <f t="shared" si="3"/>
        <v>-9.3077936912928354E-3</v>
      </c>
    </row>
    <row r="933" spans="1:3" ht="13.2" x14ac:dyDescent="0.25">
      <c r="A933" s="6">
        <v>931</v>
      </c>
      <c r="B933" s="7">
        <v>83.25</v>
      </c>
      <c r="C933" s="3">
        <f t="shared" si="3"/>
        <v>-1.4666730833827238E-2</v>
      </c>
    </row>
    <row r="934" spans="1:3" ht="13.2" x14ac:dyDescent="0.25">
      <c r="A934" s="6">
        <v>932</v>
      </c>
      <c r="B934" s="7">
        <v>81.370002746582003</v>
      </c>
      <c r="C934" s="3">
        <f t="shared" si="3"/>
        <v>-2.2841440397754098E-2</v>
      </c>
    </row>
    <row r="935" spans="1:3" ht="13.2" x14ac:dyDescent="0.25">
      <c r="A935" s="6">
        <v>933</v>
      </c>
      <c r="B935" s="7">
        <v>83.300003051757798</v>
      </c>
      <c r="C935" s="3">
        <f t="shared" si="3"/>
        <v>2.3441897345745144E-2</v>
      </c>
    </row>
    <row r="936" spans="1:3" ht="13.2" x14ac:dyDescent="0.25">
      <c r="A936" s="6">
        <v>934</v>
      </c>
      <c r="B936" s="7">
        <v>84.279998779296804</v>
      </c>
      <c r="C936" s="3">
        <f t="shared" si="3"/>
        <v>1.1695988643542772E-2</v>
      </c>
    </row>
    <row r="937" spans="1:3" ht="13.2" x14ac:dyDescent="0.25">
      <c r="A937" s="6">
        <v>935</v>
      </c>
      <c r="B937" s="7">
        <v>84.879997253417898</v>
      </c>
      <c r="C937" s="3">
        <f t="shared" si="3"/>
        <v>7.0938874952271346E-3</v>
      </c>
    </row>
    <row r="938" spans="1:3" ht="13.2" x14ac:dyDescent="0.25">
      <c r="A938" s="6">
        <v>936</v>
      </c>
      <c r="B938" s="7">
        <v>85.199996948242102</v>
      </c>
      <c r="C938" s="3">
        <f t="shared" si="3"/>
        <v>3.7629360692007351E-3</v>
      </c>
    </row>
    <row r="939" spans="1:3" ht="13.2" x14ac:dyDescent="0.25">
      <c r="A939" s="6">
        <v>937</v>
      </c>
      <c r="B939" s="7">
        <v>85.860000610351506</v>
      </c>
      <c r="C939" s="3">
        <f t="shared" si="3"/>
        <v>7.7166718885825535E-3</v>
      </c>
    </row>
    <row r="940" spans="1:3" ht="13.2" x14ac:dyDescent="0.25">
      <c r="A940" s="6">
        <v>938</v>
      </c>
      <c r="B940" s="7">
        <v>85.800003051757798</v>
      </c>
      <c r="C940" s="3">
        <f t="shared" si="3"/>
        <v>-6.9902784290867923E-4</v>
      </c>
    </row>
    <row r="941" spans="1:3" ht="13.2" x14ac:dyDescent="0.25">
      <c r="A941" s="6">
        <v>939</v>
      </c>
      <c r="B941" s="7">
        <v>85.019996643066406</v>
      </c>
      <c r="C941" s="3">
        <f t="shared" si="3"/>
        <v>-9.1325586155914362E-3</v>
      </c>
    </row>
    <row r="942" spans="1:3" ht="13.2" x14ac:dyDescent="0.25">
      <c r="A942" s="6">
        <v>940</v>
      </c>
      <c r="B942" s="7">
        <v>85.5</v>
      </c>
      <c r="C942" s="3">
        <f t="shared" si="3"/>
        <v>5.6298924961173356E-3</v>
      </c>
    </row>
    <row r="943" spans="1:3" ht="13.2" x14ac:dyDescent="0.25">
      <c r="A943" s="6">
        <v>941</v>
      </c>
      <c r="B943" s="7">
        <v>84.309997558593693</v>
      </c>
      <c r="C943" s="3">
        <f t="shared" si="3"/>
        <v>-1.4015922965624495E-2</v>
      </c>
    </row>
    <row r="944" spans="1:3" ht="13.2" x14ac:dyDescent="0.25">
      <c r="A944" s="6">
        <v>942</v>
      </c>
      <c r="B944" s="7">
        <v>84.309997558593693</v>
      </c>
      <c r="C944" s="3">
        <f t="shared" si="3"/>
        <v>0</v>
      </c>
    </row>
    <row r="945" spans="1:3" ht="13.2" x14ac:dyDescent="0.25">
      <c r="A945" s="6">
        <v>943</v>
      </c>
      <c r="B945" s="7">
        <v>85.599998474121094</v>
      </c>
      <c r="C945" s="3">
        <f t="shared" si="3"/>
        <v>1.5184812344918013E-2</v>
      </c>
    </row>
    <row r="946" spans="1:3" ht="13.2" x14ac:dyDescent="0.25">
      <c r="A946" s="6">
        <v>944</v>
      </c>
      <c r="B946" s="7">
        <v>85.949996948242102</v>
      </c>
      <c r="C946" s="3">
        <f t="shared" si="3"/>
        <v>4.0804310006494638E-3</v>
      </c>
    </row>
    <row r="947" spans="1:3" ht="13.2" x14ac:dyDescent="0.25">
      <c r="A947" s="6">
        <v>945</v>
      </c>
      <c r="B947" s="7">
        <v>89.900001525878906</v>
      </c>
      <c r="C947" s="3">
        <f t="shared" si="3"/>
        <v>4.4932262127985997E-2</v>
      </c>
    </row>
    <row r="948" spans="1:3" ht="13.2" x14ac:dyDescent="0.25">
      <c r="A948" s="6">
        <v>946</v>
      </c>
      <c r="B948" s="7">
        <v>87.980003356933594</v>
      </c>
      <c r="C948" s="3">
        <f t="shared" si="3"/>
        <v>-2.1588404374426148E-2</v>
      </c>
    </row>
    <row r="949" spans="1:3" ht="13.2" x14ac:dyDescent="0.25">
      <c r="A949" s="6">
        <v>947</v>
      </c>
      <c r="B949" s="7">
        <v>88</v>
      </c>
      <c r="C949" s="3">
        <f t="shared" si="3"/>
        <v>2.2726040198899731E-4</v>
      </c>
    </row>
    <row r="950" spans="1:3" ht="13.2" x14ac:dyDescent="0.25">
      <c r="A950" s="6">
        <v>948</v>
      </c>
      <c r="B950" s="7">
        <v>86.489997863769503</v>
      </c>
      <c r="C950" s="3">
        <f t="shared" si="3"/>
        <v>-1.730803885894799E-2</v>
      </c>
    </row>
    <row r="951" spans="1:3" ht="13.2" x14ac:dyDescent="0.25">
      <c r="A951" s="6">
        <v>949</v>
      </c>
      <c r="B951" s="7">
        <v>87.110000610351506</v>
      </c>
      <c r="C951" s="3">
        <f t="shared" si="3"/>
        <v>7.1429192182176342E-3</v>
      </c>
    </row>
    <row r="952" spans="1:3" ht="13.2" x14ac:dyDescent="0.25">
      <c r="A952" s="6">
        <v>950</v>
      </c>
      <c r="B952" s="7">
        <v>85.309997558593693</v>
      </c>
      <c r="C952" s="3">
        <f t="shared" si="3"/>
        <v>-2.0880042534928596E-2</v>
      </c>
    </row>
    <row r="953" spans="1:3" ht="13.2" x14ac:dyDescent="0.25">
      <c r="A953" s="6">
        <v>951</v>
      </c>
      <c r="B953" s="7">
        <v>83.190002441406193</v>
      </c>
      <c r="C953" s="3">
        <f t="shared" si="3"/>
        <v>-2.5164474659399912E-2</v>
      </c>
    </row>
    <row r="954" spans="1:3" ht="13.2" x14ac:dyDescent="0.25">
      <c r="A954" s="6">
        <v>952</v>
      </c>
      <c r="B954" s="7">
        <v>86.370002746582003</v>
      </c>
      <c r="C954" s="3">
        <f t="shared" si="3"/>
        <v>3.7513247449231249E-2</v>
      </c>
    </row>
    <row r="955" spans="1:3" ht="13.2" x14ac:dyDescent="0.25">
      <c r="A955" s="6">
        <v>953</v>
      </c>
      <c r="B955" s="7">
        <v>85.339996337890597</v>
      </c>
      <c r="C955" s="3">
        <f t="shared" si="3"/>
        <v>-1.1997190244518063E-2</v>
      </c>
    </row>
    <row r="956" spans="1:3" ht="13.2" x14ac:dyDescent="0.25">
      <c r="A956" s="6">
        <v>954</v>
      </c>
      <c r="B956" s="7">
        <v>85.160003662109304</v>
      </c>
      <c r="C956" s="3">
        <f t="shared" si="3"/>
        <v>-2.1113518198904377E-3</v>
      </c>
    </row>
    <row r="957" spans="1:3" ht="13.2" x14ac:dyDescent="0.25">
      <c r="A957" s="6">
        <v>955</v>
      </c>
      <c r="B957" s="7">
        <v>84.5</v>
      </c>
      <c r="C957" s="3">
        <f t="shared" si="3"/>
        <v>-7.7803486648422779E-3</v>
      </c>
    </row>
    <row r="958" spans="1:3" ht="13.2" x14ac:dyDescent="0.25">
      <c r="A958" s="6">
        <v>956</v>
      </c>
      <c r="B958" s="7">
        <v>85.769996643066406</v>
      </c>
      <c r="C958" s="3">
        <f t="shared" si="3"/>
        <v>1.4917721500416103E-2</v>
      </c>
    </row>
    <row r="959" spans="1:3" ht="13.2" x14ac:dyDescent="0.25">
      <c r="A959" s="6">
        <v>957</v>
      </c>
      <c r="B959" s="7">
        <v>84.160003662109304</v>
      </c>
      <c r="C959" s="3">
        <f t="shared" si="3"/>
        <v>-1.8949463360489326E-2</v>
      </c>
    </row>
    <row r="960" spans="1:3" ht="13.2" x14ac:dyDescent="0.25">
      <c r="A960" s="6">
        <v>958</v>
      </c>
      <c r="B960" s="7">
        <v>82.699996948242102</v>
      </c>
      <c r="C960" s="3">
        <f t="shared" si="3"/>
        <v>-1.7500227374956521E-2</v>
      </c>
    </row>
    <row r="961" spans="1:3" ht="13.2" x14ac:dyDescent="0.25">
      <c r="A961" s="6">
        <v>959</v>
      </c>
      <c r="B961" s="7">
        <v>80.449996948242102</v>
      </c>
      <c r="C961" s="3">
        <f t="shared" si="3"/>
        <v>-2.7583729623304163E-2</v>
      </c>
    </row>
    <row r="962" spans="1:3" ht="13.2" x14ac:dyDescent="0.25">
      <c r="A962" s="6">
        <v>960</v>
      </c>
      <c r="B962" s="7">
        <v>79.809997558593693</v>
      </c>
      <c r="C962" s="3">
        <f t="shared" si="3"/>
        <v>-7.9870562071078892E-3</v>
      </c>
    </row>
    <row r="963" spans="1:3" ht="13.2" x14ac:dyDescent="0.25">
      <c r="A963" s="6">
        <v>961</v>
      </c>
      <c r="B963" s="7">
        <v>80.879997253417898</v>
      </c>
      <c r="C963" s="3">
        <f t="shared" si="3"/>
        <v>1.331776145579878E-2</v>
      </c>
    </row>
    <row r="964" spans="1:3" ht="13.2" x14ac:dyDescent="0.25">
      <c r="A964" s="6">
        <v>962</v>
      </c>
      <c r="B964" s="7">
        <v>81.010002136230398</v>
      </c>
      <c r="C964" s="3">
        <f t="shared" si="3"/>
        <v>1.6060894588735982E-3</v>
      </c>
    </row>
    <row r="965" spans="1:3" ht="13.2" x14ac:dyDescent="0.25">
      <c r="A965" s="6">
        <v>963</v>
      </c>
      <c r="B965" s="7">
        <v>81.599998474121094</v>
      </c>
      <c r="C965" s="3">
        <f t="shared" si="3"/>
        <v>7.2566130582059959E-3</v>
      </c>
    </row>
    <row r="966" spans="1:3" ht="13.2" x14ac:dyDescent="0.25">
      <c r="A966" s="6">
        <v>964</v>
      </c>
      <c r="B966" s="7">
        <v>82.120002746582003</v>
      </c>
      <c r="C966" s="3">
        <f t="shared" si="3"/>
        <v>6.3523823261247905E-3</v>
      </c>
    </row>
    <row r="967" spans="1:3" ht="13.2" x14ac:dyDescent="0.25">
      <c r="A967" s="6">
        <v>965</v>
      </c>
      <c r="B967" s="7">
        <v>83.610000610351506</v>
      </c>
      <c r="C967" s="3">
        <f t="shared" si="3"/>
        <v>1.7981511865259134E-2</v>
      </c>
    </row>
    <row r="968" spans="1:3" ht="13.2" x14ac:dyDescent="0.25">
      <c r="A968" s="6">
        <v>966</v>
      </c>
      <c r="B968" s="7">
        <v>84.349998474121094</v>
      </c>
      <c r="C968" s="3">
        <f t="shared" si="3"/>
        <v>8.8116534401777771E-3</v>
      </c>
    </row>
    <row r="969" spans="1:3" ht="13.2" x14ac:dyDescent="0.25">
      <c r="A969" s="6">
        <v>967</v>
      </c>
      <c r="B969" s="7">
        <v>81.709999084472599</v>
      </c>
      <c r="C969" s="3">
        <f t="shared" si="3"/>
        <v>-3.1798408710104753E-2</v>
      </c>
    </row>
    <row r="970" spans="1:3" ht="13.2" x14ac:dyDescent="0.25">
      <c r="A970" s="6">
        <v>968</v>
      </c>
      <c r="B970" s="7">
        <v>81.599998474121094</v>
      </c>
      <c r="C970" s="3">
        <f t="shared" si="3"/>
        <v>-1.3471389214569605E-3</v>
      </c>
    </row>
    <row r="971" spans="1:3" ht="13.2" x14ac:dyDescent="0.25">
      <c r="A971" s="6">
        <v>969</v>
      </c>
      <c r="B971" s="7">
        <v>81.900001525878906</v>
      </c>
      <c r="C971" s="3">
        <f t="shared" si="3"/>
        <v>3.6697662194588062E-3</v>
      </c>
    </row>
    <row r="972" spans="1:3" ht="13.2" x14ac:dyDescent="0.25">
      <c r="A972" s="6">
        <v>970</v>
      </c>
      <c r="B972" s="7">
        <v>84.940002441406193</v>
      </c>
      <c r="C972" s="3">
        <f t="shared" si="3"/>
        <v>3.6446144137815814E-2</v>
      </c>
    </row>
    <row r="973" spans="1:3" ht="13.2" x14ac:dyDescent="0.25">
      <c r="A973" s="6">
        <v>971</v>
      </c>
      <c r="B973" s="7">
        <v>82.919998168945298</v>
      </c>
      <c r="C973" s="3">
        <f t="shared" si="3"/>
        <v>-2.4068888142444969E-2</v>
      </c>
    </row>
    <row r="974" spans="1:3" ht="13.2" x14ac:dyDescent="0.25">
      <c r="A974" s="6">
        <v>972</v>
      </c>
      <c r="B974" s="7">
        <v>81.5</v>
      </c>
      <c r="C974" s="3">
        <f t="shared" si="3"/>
        <v>-1.7273245238577522E-2</v>
      </c>
    </row>
    <row r="975" spans="1:3" ht="13.2" x14ac:dyDescent="0.25">
      <c r="A975" s="6">
        <v>973</v>
      </c>
      <c r="B975" s="7">
        <v>82.610000610351506</v>
      </c>
      <c r="C975" s="3">
        <f t="shared" si="3"/>
        <v>1.3527725715945902E-2</v>
      </c>
    </row>
    <row r="976" spans="1:3" ht="13.2" x14ac:dyDescent="0.25">
      <c r="A976" s="6">
        <v>974</v>
      </c>
      <c r="B976" s="7">
        <v>82.5</v>
      </c>
      <c r="C976" s="3">
        <f t="shared" si="3"/>
        <v>-1.3324526221275561E-3</v>
      </c>
    </row>
    <row r="977" spans="1:3" ht="13.2" x14ac:dyDescent="0.25">
      <c r="A977" s="6">
        <v>975</v>
      </c>
      <c r="B977" s="7">
        <v>81.620002746582003</v>
      </c>
      <c r="C977" s="3">
        <f t="shared" si="3"/>
        <v>-1.0723929712130814E-2</v>
      </c>
    </row>
    <row r="978" spans="1:3" ht="13.2" x14ac:dyDescent="0.25">
      <c r="A978" s="6">
        <v>976</v>
      </c>
      <c r="B978" s="7">
        <v>83.269996643066406</v>
      </c>
      <c r="C978" s="3">
        <f t="shared" si="3"/>
        <v>2.0013936305380977E-2</v>
      </c>
    </row>
    <row r="979" spans="1:3" ht="13.2" x14ac:dyDescent="0.25">
      <c r="A979" s="6">
        <v>977</v>
      </c>
      <c r="B979" s="7">
        <v>82.550003051757798</v>
      </c>
      <c r="C979" s="3">
        <f t="shared" si="3"/>
        <v>-8.6840925991507681E-3</v>
      </c>
    </row>
    <row r="980" spans="1:3" ht="13.2" x14ac:dyDescent="0.25">
      <c r="A980" s="6">
        <v>978</v>
      </c>
      <c r="B980" s="7">
        <v>82.599998474121094</v>
      </c>
      <c r="C980" s="3">
        <f t="shared" si="3"/>
        <v>6.0545471908715457E-4</v>
      </c>
    </row>
    <row r="981" spans="1:3" ht="13.2" x14ac:dyDescent="0.25">
      <c r="A981" s="6">
        <v>979</v>
      </c>
      <c r="B981" s="7">
        <v>82.720001220703097</v>
      </c>
      <c r="C981" s="3">
        <f t="shared" si="3"/>
        <v>1.4517634633459168E-3</v>
      </c>
    </row>
    <row r="982" spans="1:3" ht="13.2" x14ac:dyDescent="0.25">
      <c r="A982" s="6">
        <v>980</v>
      </c>
      <c r="B982" s="7">
        <v>81.279998779296804</v>
      </c>
      <c r="C982" s="3">
        <f t="shared" si="3"/>
        <v>-1.7561456705490284E-2</v>
      </c>
    </row>
    <row r="983" spans="1:3" ht="13.2" x14ac:dyDescent="0.25">
      <c r="A983" s="6">
        <v>981</v>
      </c>
      <c r="B983" s="7">
        <v>81.669998168945298</v>
      </c>
      <c r="C983" s="3">
        <f t="shared" si="3"/>
        <v>4.7867461383436852E-3</v>
      </c>
    </row>
    <row r="984" spans="1:3" ht="13.2" x14ac:dyDescent="0.25">
      <c r="A984" s="6">
        <v>982</v>
      </c>
      <c r="B984" s="7">
        <v>81.139999389648395</v>
      </c>
      <c r="C984" s="3">
        <f t="shared" si="3"/>
        <v>-6.5106646939237286E-3</v>
      </c>
    </row>
    <row r="985" spans="1:3" ht="13.2" x14ac:dyDescent="0.25">
      <c r="A985" s="6">
        <v>983</v>
      </c>
      <c r="B985" s="7">
        <v>80.470001220703097</v>
      </c>
      <c r="C985" s="3">
        <f t="shared" si="3"/>
        <v>-8.2915909283892194E-3</v>
      </c>
    </row>
    <row r="986" spans="1:3" ht="13.2" x14ac:dyDescent="0.25">
      <c r="A986" s="6">
        <v>984</v>
      </c>
      <c r="B986" s="7">
        <v>80.379997253417898</v>
      </c>
      <c r="C986" s="3">
        <f t="shared" si="3"/>
        <v>-1.1191044766227485E-3</v>
      </c>
    </row>
    <row r="987" spans="1:3" ht="13.2" x14ac:dyDescent="0.25">
      <c r="A987" s="6">
        <v>985</v>
      </c>
      <c r="B987" s="7">
        <v>82.769996643066406</v>
      </c>
      <c r="C987" s="3">
        <f t="shared" si="3"/>
        <v>2.9300281488847068E-2</v>
      </c>
    </row>
    <row r="988" spans="1:3" ht="13.2" x14ac:dyDescent="0.25">
      <c r="A988" s="6">
        <v>986</v>
      </c>
      <c r="B988" s="7">
        <v>84.489997863769503</v>
      </c>
      <c r="C988" s="3">
        <f t="shared" si="3"/>
        <v>2.0567522540993956E-2</v>
      </c>
    </row>
    <row r="989" spans="1:3" ht="13.2" x14ac:dyDescent="0.25">
      <c r="A989" s="6">
        <v>987</v>
      </c>
      <c r="B989" s="7">
        <v>82.610000610351506</v>
      </c>
      <c r="C989" s="3">
        <f t="shared" si="3"/>
        <v>-2.2502412918163787E-2</v>
      </c>
    </row>
    <row r="990" spans="1:3" ht="13.2" x14ac:dyDescent="0.25">
      <c r="A990" s="6">
        <v>988</v>
      </c>
      <c r="B990" s="7">
        <v>81.309997558593693</v>
      </c>
      <c r="C990" s="3">
        <f t="shared" si="3"/>
        <v>-1.5861765768921735E-2</v>
      </c>
    </row>
    <row r="991" spans="1:3" ht="13.2" x14ac:dyDescent="0.25">
      <c r="A991" s="6">
        <v>989</v>
      </c>
      <c r="B991" s="7">
        <v>81.599998474121094</v>
      </c>
      <c r="C991" s="3">
        <f t="shared" si="3"/>
        <v>3.5602630767237386E-3</v>
      </c>
    </row>
    <row r="992" spans="1:3" ht="13.2" x14ac:dyDescent="0.25">
      <c r="A992" s="6">
        <v>990</v>
      </c>
      <c r="B992" s="7">
        <v>80.389999389648395</v>
      </c>
      <c r="C992" s="3">
        <f t="shared" si="3"/>
        <v>-1.4939460523077481E-2</v>
      </c>
    </row>
    <row r="993" spans="1:3" ht="13.2" x14ac:dyDescent="0.25">
      <c r="A993" s="6">
        <v>991</v>
      </c>
      <c r="B993" s="7">
        <v>81.900001525878906</v>
      </c>
      <c r="C993" s="3">
        <f t="shared" si="3"/>
        <v>1.8609226742536421E-2</v>
      </c>
    </row>
    <row r="994" spans="1:3" ht="13.2" x14ac:dyDescent="0.25">
      <c r="A994" s="6">
        <v>992</v>
      </c>
      <c r="B994" s="7">
        <v>82.330001831054602</v>
      </c>
      <c r="C994" s="3">
        <f t="shared" si="3"/>
        <v>5.2365740607407674E-3</v>
      </c>
    </row>
    <row r="995" spans="1:3" ht="13.2" x14ac:dyDescent="0.25">
      <c r="A995" s="6">
        <v>993</v>
      </c>
      <c r="B995" s="7">
        <v>82.360000610351506</v>
      </c>
      <c r="C995" s="3">
        <f t="shared" si="3"/>
        <v>3.6430601960011602E-4</v>
      </c>
    </row>
    <row r="996" spans="1:3" ht="13.2" x14ac:dyDescent="0.25">
      <c r="A996" s="6">
        <v>994</v>
      </c>
      <c r="B996" s="7">
        <v>83.419998168945298</v>
      </c>
      <c r="C996" s="3">
        <f t="shared" si="3"/>
        <v>1.2788177248605754E-2</v>
      </c>
    </row>
    <row r="997" spans="1:3" ht="13.2" x14ac:dyDescent="0.25">
      <c r="A997" s="6">
        <v>995</v>
      </c>
      <c r="B997" s="7">
        <v>80.25</v>
      </c>
      <c r="C997" s="3">
        <f t="shared" si="3"/>
        <v>-3.8741304808845155E-2</v>
      </c>
    </row>
    <row r="998" spans="1:3" ht="13.2" x14ac:dyDescent="0.25">
      <c r="A998" s="6">
        <v>996</v>
      </c>
      <c r="B998" s="7">
        <v>80.190002441406193</v>
      </c>
      <c r="C998" s="3">
        <f t="shared" si="3"/>
        <v>-7.4791274591850621E-4</v>
      </c>
    </row>
    <row r="999" spans="1:3" ht="13.2" x14ac:dyDescent="0.25">
      <c r="A999" s="6">
        <v>997</v>
      </c>
      <c r="B999" s="7">
        <v>77.739997863769503</v>
      </c>
      <c r="C999" s="3">
        <f t="shared" si="3"/>
        <v>-3.1028951319297789E-2</v>
      </c>
    </row>
    <row r="1000" spans="1:3" ht="13.2" x14ac:dyDescent="0.25">
      <c r="A1000" s="6">
        <v>998</v>
      </c>
      <c r="B1000" s="7">
        <v>79.25</v>
      </c>
      <c r="C1000" s="3">
        <f t="shared" si="3"/>
        <v>1.9237514812481024E-2</v>
      </c>
    </row>
    <row r="1001" spans="1:3" ht="13.2" x14ac:dyDescent="0.25">
      <c r="A1001" s="6">
        <v>999</v>
      </c>
      <c r="B1001" s="7">
        <v>77.190002441406193</v>
      </c>
      <c r="C1001" s="3">
        <f t="shared" si="3"/>
        <v>-2.6337466167098526E-2</v>
      </c>
    </row>
    <row r="1002" spans="1:3" ht="13.2" x14ac:dyDescent="0.25">
      <c r="A1002" s="6">
        <v>1000</v>
      </c>
      <c r="B1002" s="7">
        <v>78.510002136230398</v>
      </c>
      <c r="C1002" s="3">
        <f t="shared" si="3"/>
        <v>1.6956085829532105E-2</v>
      </c>
    </row>
    <row r="1003" spans="1:3" ht="13.2" x14ac:dyDescent="0.25">
      <c r="A1003" s="6">
        <v>1001</v>
      </c>
      <c r="B1003" s="7">
        <v>78.400001525878906</v>
      </c>
      <c r="C1003" s="3">
        <f t="shared" si="3"/>
        <v>-1.4020856007205477E-3</v>
      </c>
    </row>
    <row r="1004" spans="1:3" ht="13.2" x14ac:dyDescent="0.25">
      <c r="A1004" s="6">
        <v>1002</v>
      </c>
      <c r="B1004" s="7">
        <v>76.769996643066406</v>
      </c>
      <c r="C1004" s="3">
        <f t="shared" si="3"/>
        <v>-2.1010051706450681E-2</v>
      </c>
    </row>
    <row r="1005" spans="1:3" ht="13.2" x14ac:dyDescent="0.25">
      <c r="A1005" s="6">
        <v>1003</v>
      </c>
      <c r="B1005" s="7">
        <v>76.919998168945298</v>
      </c>
      <c r="C1005" s="3">
        <f t="shared" si="3"/>
        <v>1.952001803263054E-3</v>
      </c>
    </row>
    <row r="1006" spans="1:3" ht="13.2" x14ac:dyDescent="0.25">
      <c r="A1006" s="6">
        <v>1004</v>
      </c>
      <c r="B1006" s="7">
        <v>77.319999694824205</v>
      </c>
      <c r="C1006" s="3">
        <f t="shared" si="3"/>
        <v>5.1867534772955188E-3</v>
      </c>
    </row>
    <row r="1007" spans="1:3" ht="13.2" x14ac:dyDescent="0.25">
      <c r="A1007" s="6">
        <v>1005</v>
      </c>
      <c r="B1007" s="7">
        <v>77.099998474121094</v>
      </c>
      <c r="C1007" s="3">
        <f t="shared" si="3"/>
        <v>-2.8493896148340369E-3</v>
      </c>
    </row>
    <row r="1008" spans="1:3" ht="13.2" x14ac:dyDescent="0.25">
      <c r="A1008" s="6">
        <v>1006</v>
      </c>
      <c r="B1008" s="7">
        <v>76.25</v>
      </c>
      <c r="C1008" s="3">
        <f t="shared" si="3"/>
        <v>-1.1085845290855932E-2</v>
      </c>
    </row>
    <row r="1009" spans="1:3" ht="13.2" x14ac:dyDescent="0.25">
      <c r="A1009" s="6">
        <v>1007</v>
      </c>
      <c r="B1009" s="7">
        <v>76.010002136230398</v>
      </c>
      <c r="C1009" s="3">
        <f t="shared" si="3"/>
        <v>-3.1524768049755779E-3</v>
      </c>
    </row>
    <row r="1010" spans="1:3" ht="13.2" x14ac:dyDescent="0.25">
      <c r="A1010" s="6">
        <v>1008</v>
      </c>
      <c r="B1010" s="7">
        <v>74.599998474121094</v>
      </c>
      <c r="C1010" s="3">
        <f t="shared" si="3"/>
        <v>-1.8724451926971291E-2</v>
      </c>
    </row>
    <row r="1011" spans="1:3" ht="13.2" x14ac:dyDescent="0.25">
      <c r="A1011" s="6">
        <v>1009</v>
      </c>
      <c r="B1011" s="7">
        <v>74.739997863769503</v>
      </c>
      <c r="C1011" s="3">
        <f t="shared" si="3"/>
        <v>1.8749087196050997E-3</v>
      </c>
    </row>
    <row r="1012" spans="1:3" ht="13.2" x14ac:dyDescent="0.25">
      <c r="A1012" s="6">
        <v>1010</v>
      </c>
      <c r="B1012" s="7">
        <v>74.830001831054602</v>
      </c>
      <c r="C1012" s="3">
        <f t="shared" si="3"/>
        <v>1.2035030866130688E-3</v>
      </c>
    </row>
    <row r="1013" spans="1:3" ht="13.2" x14ac:dyDescent="0.25">
      <c r="A1013" s="6">
        <v>1011</v>
      </c>
      <c r="B1013" s="7">
        <v>76.809997558593693</v>
      </c>
      <c r="C1013" s="3">
        <f t="shared" si="3"/>
        <v>2.6115909663791674E-2</v>
      </c>
    </row>
    <row r="1014" spans="1:3" ht="13.2" x14ac:dyDescent="0.25">
      <c r="A1014" s="6">
        <v>1012</v>
      </c>
      <c r="B1014" s="7">
        <v>77.519996643066406</v>
      </c>
      <c r="C1014" s="3">
        <f t="shared" si="3"/>
        <v>9.2011160528287037E-3</v>
      </c>
    </row>
    <row r="1015" spans="1:3" ht="13.2" x14ac:dyDescent="0.25">
      <c r="A1015" s="6">
        <v>1013</v>
      </c>
      <c r="B1015" s="7">
        <v>76.099998474121094</v>
      </c>
      <c r="C1015" s="3">
        <f t="shared" si="3"/>
        <v>-1.8487679461744125E-2</v>
      </c>
    </row>
    <row r="1016" spans="1:3" ht="13.2" x14ac:dyDescent="0.25">
      <c r="A1016" s="6">
        <v>1014</v>
      </c>
      <c r="B1016" s="7">
        <v>75.680000305175696</v>
      </c>
      <c r="C1016" s="3">
        <f t="shared" si="3"/>
        <v>-5.5343160405975653E-3</v>
      </c>
    </row>
    <row r="1017" spans="1:3" ht="13.2" x14ac:dyDescent="0.25">
      <c r="A1017" s="6">
        <v>1015</v>
      </c>
      <c r="B1017" s="7">
        <v>74.870002746582003</v>
      </c>
      <c r="C1017" s="3">
        <f t="shared" si="3"/>
        <v>-1.0760615848797945E-2</v>
      </c>
    </row>
    <row r="1018" spans="1:3" ht="13.2" x14ac:dyDescent="0.25">
      <c r="A1018" s="6">
        <v>1016</v>
      </c>
      <c r="B1018" s="7">
        <v>73.419998168945298</v>
      </c>
      <c r="C1018" s="3">
        <f t="shared" si="3"/>
        <v>-1.9556959798039283E-2</v>
      </c>
    </row>
    <row r="1019" spans="1:3" ht="13.2" x14ac:dyDescent="0.25">
      <c r="A1019" s="6">
        <v>1017</v>
      </c>
      <c r="B1019" s="7">
        <v>75.089996337890597</v>
      </c>
      <c r="C1019" s="3">
        <f t="shared" si="3"/>
        <v>2.2490992212955342E-2</v>
      </c>
    </row>
    <row r="1020" spans="1:3" ht="13.2" x14ac:dyDescent="0.25">
      <c r="A1020" s="6">
        <v>1018</v>
      </c>
      <c r="B1020" s="7">
        <v>76.169998168945298</v>
      </c>
      <c r="C1020" s="3">
        <f t="shared" si="3"/>
        <v>1.4280315003453604E-2</v>
      </c>
    </row>
    <row r="1021" spans="1:3" ht="13.2" x14ac:dyDescent="0.25">
      <c r="A1021" s="6">
        <v>1019</v>
      </c>
      <c r="B1021" s="7">
        <v>75.5</v>
      </c>
      <c r="C1021" s="3">
        <f t="shared" si="3"/>
        <v>-8.8350040906640444E-3</v>
      </c>
    </row>
    <row r="1022" spans="1:3" ht="13.2" x14ac:dyDescent="0.25">
      <c r="A1022" s="6">
        <v>1020</v>
      </c>
      <c r="B1022" s="7">
        <v>74.949996948242102</v>
      </c>
      <c r="C1022" s="3">
        <f t="shared" si="3"/>
        <v>-7.3114724236233225E-3</v>
      </c>
    </row>
    <row r="1023" spans="1:3" ht="13.2" x14ac:dyDescent="0.25">
      <c r="A1023" s="6">
        <v>1021</v>
      </c>
      <c r="B1023" s="7">
        <v>75.349998474121094</v>
      </c>
      <c r="C1023" s="3">
        <f t="shared" ref="C1023:C1260" si="4">LN(B1023/B1022)</f>
        <v>5.322720990598967E-3</v>
      </c>
    </row>
    <row r="1024" spans="1:3" ht="13.2" x14ac:dyDescent="0.25">
      <c r="A1024" s="6">
        <v>1022</v>
      </c>
      <c r="B1024" s="7">
        <v>73.440002441406193</v>
      </c>
      <c r="C1024" s="3">
        <f t="shared" si="4"/>
        <v>-2.567512526617188E-2</v>
      </c>
    </row>
    <row r="1025" spans="1:3" ht="13.2" x14ac:dyDescent="0.25">
      <c r="A1025" s="6">
        <v>1023</v>
      </c>
      <c r="B1025" s="7">
        <v>73.400001525878906</v>
      </c>
      <c r="C1025" s="3">
        <f t="shared" si="4"/>
        <v>-5.4482314677224252E-4</v>
      </c>
    </row>
    <row r="1026" spans="1:3" ht="13.2" x14ac:dyDescent="0.25">
      <c r="A1026" s="6">
        <v>1024</v>
      </c>
      <c r="B1026" s="7">
        <v>76.099998474121094</v>
      </c>
      <c r="C1026" s="3">
        <f t="shared" si="4"/>
        <v>3.6124288407658231E-2</v>
      </c>
    </row>
    <row r="1027" spans="1:3" ht="13.2" x14ac:dyDescent="0.25">
      <c r="A1027" s="6">
        <v>1025</v>
      </c>
      <c r="B1027" s="7">
        <v>77.75</v>
      </c>
      <c r="C1027" s="3">
        <f t="shared" si="4"/>
        <v>2.1450306242674768E-2</v>
      </c>
    </row>
    <row r="1028" spans="1:3" ht="13.2" x14ac:dyDescent="0.25">
      <c r="A1028" s="6">
        <v>1026</v>
      </c>
      <c r="B1028" s="7">
        <v>77.419998168945298</v>
      </c>
      <c r="C1028" s="3">
        <f t="shared" si="4"/>
        <v>-4.2534295607678813E-3</v>
      </c>
    </row>
    <row r="1029" spans="1:3" ht="13.2" x14ac:dyDescent="0.25">
      <c r="A1029" s="6">
        <v>1027</v>
      </c>
      <c r="B1029" s="7">
        <v>78.190002441406193</v>
      </c>
      <c r="C1029" s="3">
        <f t="shared" si="4"/>
        <v>9.8966718618673493E-3</v>
      </c>
    </row>
    <row r="1030" spans="1:3" ht="13.2" x14ac:dyDescent="0.25">
      <c r="A1030" s="6">
        <v>1028</v>
      </c>
      <c r="B1030" s="7">
        <v>78.209999084472599</v>
      </c>
      <c r="C1030" s="3">
        <f t="shared" si="4"/>
        <v>2.5571154706236155E-4</v>
      </c>
    </row>
    <row r="1031" spans="1:3" ht="13.2" x14ac:dyDescent="0.25">
      <c r="A1031" s="6">
        <v>1029</v>
      </c>
      <c r="B1031" s="7">
        <v>78.440002441406193</v>
      </c>
      <c r="C1031" s="3">
        <f t="shared" si="4"/>
        <v>2.9365275451449812E-3</v>
      </c>
    </row>
    <row r="1032" spans="1:3" ht="13.2" x14ac:dyDescent="0.25">
      <c r="A1032" s="6">
        <v>1030</v>
      </c>
      <c r="B1032" s="7">
        <v>77.419998168945298</v>
      </c>
      <c r="C1032" s="3">
        <f t="shared" si="4"/>
        <v>-1.3088910954074693E-2</v>
      </c>
    </row>
    <row r="1033" spans="1:3" ht="13.2" x14ac:dyDescent="0.25">
      <c r="A1033" s="6">
        <v>1031</v>
      </c>
      <c r="B1033" s="7">
        <v>77.290000915527301</v>
      </c>
      <c r="C1033" s="3">
        <f t="shared" si="4"/>
        <v>-1.6805285344434877E-3</v>
      </c>
    </row>
    <row r="1034" spans="1:3" ht="13.2" x14ac:dyDescent="0.25">
      <c r="A1034" s="6">
        <v>1032</v>
      </c>
      <c r="B1034" s="7">
        <v>73.800003051757798</v>
      </c>
      <c r="C1034" s="3">
        <f t="shared" si="4"/>
        <v>-4.6205820005974479E-2</v>
      </c>
    </row>
    <row r="1035" spans="1:3" ht="13.2" x14ac:dyDescent="0.25">
      <c r="A1035" s="6">
        <v>1033</v>
      </c>
      <c r="B1035" s="7">
        <v>72.800003051757798</v>
      </c>
      <c r="C1035" s="3">
        <f t="shared" si="4"/>
        <v>-1.364277583576831E-2</v>
      </c>
    </row>
    <row r="1036" spans="1:3" ht="13.2" x14ac:dyDescent="0.25">
      <c r="A1036" s="6">
        <v>1034</v>
      </c>
      <c r="B1036" s="7">
        <v>75.480003356933594</v>
      </c>
      <c r="C1036" s="3">
        <f t="shared" si="4"/>
        <v>3.6151767852437018E-2</v>
      </c>
    </row>
    <row r="1037" spans="1:3" ht="13.2" x14ac:dyDescent="0.25">
      <c r="A1037" s="6">
        <v>1035</v>
      </c>
      <c r="B1037" s="7">
        <v>79.790000915527301</v>
      </c>
      <c r="C1037" s="3">
        <f t="shared" si="4"/>
        <v>5.5530429819574227E-2</v>
      </c>
    </row>
    <row r="1038" spans="1:3" ht="13.2" x14ac:dyDescent="0.25">
      <c r="A1038" s="6">
        <v>1036</v>
      </c>
      <c r="B1038" s="7">
        <v>79.379997253417898</v>
      </c>
      <c r="C1038" s="3">
        <f t="shared" si="4"/>
        <v>-5.1517820399114523E-3</v>
      </c>
    </row>
    <row r="1039" spans="1:3" ht="13.2" x14ac:dyDescent="0.25">
      <c r="A1039" s="6">
        <v>1037</v>
      </c>
      <c r="B1039" s="7">
        <v>80.489997863769503</v>
      </c>
      <c r="C1039" s="3">
        <f t="shared" si="4"/>
        <v>1.3886513810831169E-2</v>
      </c>
    </row>
    <row r="1040" spans="1:3" ht="13.2" x14ac:dyDescent="0.25">
      <c r="A1040" s="6">
        <v>1038</v>
      </c>
      <c r="B1040" s="7">
        <v>78.809997558593693</v>
      </c>
      <c r="C1040" s="3">
        <f t="shared" si="4"/>
        <v>-2.1093065178144979E-2</v>
      </c>
    </row>
    <row r="1041" spans="1:3" ht="13.2" x14ac:dyDescent="0.25">
      <c r="A1041" s="6">
        <v>1039</v>
      </c>
      <c r="B1041" s="7">
        <v>78.830001831054602</v>
      </c>
      <c r="C1041" s="3">
        <f t="shared" si="4"/>
        <v>2.5379691253148514E-4</v>
      </c>
    </row>
    <row r="1042" spans="1:3" ht="13.2" x14ac:dyDescent="0.25">
      <c r="A1042" s="6">
        <v>1040</v>
      </c>
      <c r="B1042" s="7">
        <v>79.730003356933594</v>
      </c>
      <c r="C1042" s="3">
        <f t="shared" si="4"/>
        <v>1.1352310318466306E-2</v>
      </c>
    </row>
    <row r="1043" spans="1:3" ht="13.2" x14ac:dyDescent="0.25">
      <c r="A1043" s="6">
        <v>1041</v>
      </c>
      <c r="B1043" s="7">
        <v>80.099998474121094</v>
      </c>
      <c r="C1043" s="3">
        <f t="shared" si="4"/>
        <v>4.6298664064658226E-3</v>
      </c>
    </row>
    <row r="1044" spans="1:3" ht="13.2" x14ac:dyDescent="0.25">
      <c r="A1044" s="6">
        <v>1042</v>
      </c>
      <c r="B1044" s="7">
        <v>79.779998779296804</v>
      </c>
      <c r="C1044" s="3">
        <f t="shared" si="4"/>
        <v>-4.0030038482460357E-3</v>
      </c>
    </row>
    <row r="1045" spans="1:3" ht="13.2" x14ac:dyDescent="0.25">
      <c r="A1045" s="6">
        <v>1043</v>
      </c>
      <c r="B1045" s="7">
        <v>81.199996948242102</v>
      </c>
      <c r="C1045" s="3">
        <f t="shared" si="4"/>
        <v>1.7642378408013006E-2</v>
      </c>
    </row>
    <row r="1046" spans="1:3" ht="13.2" x14ac:dyDescent="0.25">
      <c r="A1046" s="6">
        <v>1044</v>
      </c>
      <c r="B1046" s="7">
        <v>85.110000610351506</v>
      </c>
      <c r="C1046" s="3">
        <f t="shared" si="4"/>
        <v>4.702933507578877E-2</v>
      </c>
    </row>
    <row r="1047" spans="1:3" ht="13.2" x14ac:dyDescent="0.25">
      <c r="A1047" s="6">
        <v>1045</v>
      </c>
      <c r="B1047" s="7">
        <v>88.410003662109304</v>
      </c>
      <c r="C1047" s="3">
        <f t="shared" si="4"/>
        <v>3.8040582179407277E-2</v>
      </c>
    </row>
    <row r="1048" spans="1:3" ht="13.2" x14ac:dyDescent="0.25">
      <c r="A1048" s="6">
        <v>1046</v>
      </c>
      <c r="B1048" s="7">
        <v>89.050003051757798</v>
      </c>
      <c r="C1048" s="3">
        <f t="shared" si="4"/>
        <v>7.2129171662284105E-3</v>
      </c>
    </row>
    <row r="1049" spans="1:3" ht="13.2" x14ac:dyDescent="0.25">
      <c r="A1049" s="6">
        <v>1047</v>
      </c>
      <c r="B1049" s="7">
        <v>90.470001220703097</v>
      </c>
      <c r="C1049" s="3">
        <f t="shared" si="4"/>
        <v>1.5820273524724326E-2</v>
      </c>
    </row>
    <row r="1050" spans="1:3" ht="13.2" x14ac:dyDescent="0.25">
      <c r="A1050" s="6">
        <v>1048</v>
      </c>
      <c r="B1050" s="7">
        <v>87.690002441406193</v>
      </c>
      <c r="C1050" s="3">
        <f t="shared" si="4"/>
        <v>-3.1210421897961495E-2</v>
      </c>
    </row>
    <row r="1051" spans="1:3" ht="13.2" x14ac:dyDescent="0.25">
      <c r="A1051" s="6">
        <v>1049</v>
      </c>
      <c r="B1051" s="7">
        <v>89.510002136230398</v>
      </c>
      <c r="C1051" s="3">
        <f t="shared" si="4"/>
        <v>2.0542479116083336E-2</v>
      </c>
    </row>
    <row r="1052" spans="1:3" ht="13.2" x14ac:dyDescent="0.25">
      <c r="A1052" s="6">
        <v>1050</v>
      </c>
      <c r="B1052" s="7">
        <v>92.589996337890597</v>
      </c>
      <c r="C1052" s="3">
        <f t="shared" si="4"/>
        <v>3.3830730159389082E-2</v>
      </c>
    </row>
    <row r="1053" spans="1:3" ht="13.2" x14ac:dyDescent="0.25">
      <c r="A1053" s="6">
        <v>1051</v>
      </c>
      <c r="B1053" s="7">
        <v>92.559997558593693</v>
      </c>
      <c r="C1053" s="3">
        <f t="shared" si="4"/>
        <v>-3.2404839911780007E-4</v>
      </c>
    </row>
    <row r="1054" spans="1:3" ht="13.2" x14ac:dyDescent="0.25">
      <c r="A1054" s="6">
        <v>1052</v>
      </c>
      <c r="B1054" s="7">
        <v>93.769996643066406</v>
      </c>
      <c r="C1054" s="3">
        <f t="shared" si="4"/>
        <v>1.2987883122930661E-2</v>
      </c>
    </row>
    <row r="1055" spans="1:3" ht="13.2" x14ac:dyDescent="0.25">
      <c r="A1055" s="6">
        <v>1053</v>
      </c>
      <c r="B1055" s="7">
        <v>93.970001220703097</v>
      </c>
      <c r="C1055" s="3">
        <f t="shared" si="4"/>
        <v>2.1306557534437037E-3</v>
      </c>
    </row>
    <row r="1056" spans="1:3" ht="13.2" x14ac:dyDescent="0.25">
      <c r="A1056" s="6">
        <v>1054</v>
      </c>
      <c r="B1056" s="7">
        <v>94.379997253417898</v>
      </c>
      <c r="C1056" s="3">
        <f t="shared" si="4"/>
        <v>4.3535618116036685E-3</v>
      </c>
    </row>
    <row r="1057" spans="1:3" ht="13.2" x14ac:dyDescent="0.25">
      <c r="A1057" s="6">
        <v>1055</v>
      </c>
      <c r="B1057" s="7">
        <v>93.470001220703097</v>
      </c>
      <c r="C1057" s="3">
        <f t="shared" si="4"/>
        <v>-9.6886149425957444E-3</v>
      </c>
    </row>
    <row r="1058" spans="1:3" ht="13.2" x14ac:dyDescent="0.25">
      <c r="A1058" s="6">
        <v>1056</v>
      </c>
      <c r="B1058" s="7">
        <v>90.010002136230398</v>
      </c>
      <c r="C1058" s="3">
        <f t="shared" si="4"/>
        <v>-3.7719743252080495E-2</v>
      </c>
    </row>
    <row r="1059" spans="1:3" ht="13.2" x14ac:dyDescent="0.25">
      <c r="A1059" s="6">
        <v>1057</v>
      </c>
      <c r="B1059" s="7">
        <v>88.449996948242102</v>
      </c>
      <c r="C1059" s="3">
        <f t="shared" si="4"/>
        <v>-1.7483412899089251E-2</v>
      </c>
    </row>
    <row r="1060" spans="1:3" ht="13.2" x14ac:dyDescent="0.25">
      <c r="A1060" s="6">
        <v>1058</v>
      </c>
      <c r="B1060" s="7">
        <v>91</v>
      </c>
      <c r="C1060" s="3">
        <f t="shared" si="4"/>
        <v>2.8422120413689547E-2</v>
      </c>
    </row>
    <row r="1061" spans="1:3" ht="13.2" x14ac:dyDescent="0.25">
      <c r="A1061" s="6">
        <v>1059</v>
      </c>
      <c r="B1061" s="7">
        <v>91.860000610351506</v>
      </c>
      <c r="C1061" s="3">
        <f t="shared" si="4"/>
        <v>9.4061790251639132E-3</v>
      </c>
    </row>
    <row r="1062" spans="1:3" ht="13.2" x14ac:dyDescent="0.25">
      <c r="A1062" s="6">
        <v>1060</v>
      </c>
      <c r="B1062" s="7">
        <v>87.870002746582003</v>
      </c>
      <c r="C1062" s="3">
        <f t="shared" si="4"/>
        <v>-4.440720477692784E-2</v>
      </c>
    </row>
    <row r="1063" spans="1:3" ht="13.2" x14ac:dyDescent="0.25">
      <c r="A1063" s="6">
        <v>1061</v>
      </c>
      <c r="B1063" s="7">
        <v>86.529998779296804</v>
      </c>
      <c r="C1063" s="3">
        <f t="shared" si="4"/>
        <v>-1.5367320253721665E-2</v>
      </c>
    </row>
    <row r="1064" spans="1:3" ht="13.2" x14ac:dyDescent="0.25">
      <c r="A1064" s="6">
        <v>1062</v>
      </c>
      <c r="B1064" s="7">
        <v>84.949996948242102</v>
      </c>
      <c r="C1064" s="3">
        <f t="shared" si="4"/>
        <v>-1.8428348317589941E-2</v>
      </c>
    </row>
    <row r="1065" spans="1:3" ht="13.2" x14ac:dyDescent="0.25">
      <c r="A1065" s="6">
        <v>1063</v>
      </c>
      <c r="B1065" s="7">
        <v>86.029998779296804</v>
      </c>
      <c r="C1065" s="3">
        <f t="shared" si="4"/>
        <v>1.2633246250208743E-2</v>
      </c>
    </row>
    <row r="1066" spans="1:3" ht="13.2" x14ac:dyDescent="0.25">
      <c r="A1066" s="6">
        <v>1064</v>
      </c>
      <c r="B1066" s="7">
        <v>86.779998779296804</v>
      </c>
      <c r="C1066" s="3">
        <f t="shared" si="4"/>
        <v>8.6801078595793672E-3</v>
      </c>
    </row>
    <row r="1067" spans="1:3" ht="13.2" x14ac:dyDescent="0.25">
      <c r="A1067" s="6">
        <v>1065</v>
      </c>
      <c r="B1067" s="7">
        <v>84</v>
      </c>
      <c r="C1067" s="3">
        <f t="shared" si="4"/>
        <v>-3.2559367460248859E-2</v>
      </c>
    </row>
    <row r="1068" spans="1:3" ht="13.2" x14ac:dyDescent="0.25">
      <c r="A1068" s="6">
        <v>1066</v>
      </c>
      <c r="B1068" s="7">
        <v>83.589996337890597</v>
      </c>
      <c r="C1068" s="3">
        <f t="shared" si="4"/>
        <v>-4.8929469426267211E-3</v>
      </c>
    </row>
    <row r="1069" spans="1:3" ht="13.2" x14ac:dyDescent="0.25">
      <c r="A1069" s="6">
        <v>1067</v>
      </c>
      <c r="B1069" s="7">
        <v>83.669998168945298</v>
      </c>
      <c r="C1069" s="3">
        <f t="shared" si="4"/>
        <v>9.5661652257600491E-4</v>
      </c>
    </row>
    <row r="1070" spans="1:3" ht="13.2" x14ac:dyDescent="0.25">
      <c r="A1070" s="6">
        <v>1068</v>
      </c>
      <c r="B1070" s="7">
        <v>84.949996948242102</v>
      </c>
      <c r="C1070" s="3">
        <f t="shared" si="4"/>
        <v>1.5182343770511503E-2</v>
      </c>
    </row>
    <row r="1071" spans="1:3" ht="13.2" x14ac:dyDescent="0.25">
      <c r="A1071" s="6">
        <v>1069</v>
      </c>
      <c r="B1071" s="7">
        <v>82.220001220703097</v>
      </c>
      <c r="C1071" s="3">
        <f t="shared" si="4"/>
        <v>-3.2664215877251934E-2</v>
      </c>
    </row>
    <row r="1072" spans="1:3" ht="13.2" x14ac:dyDescent="0.25">
      <c r="A1072" s="6">
        <v>1070</v>
      </c>
      <c r="B1072" s="7">
        <v>84.919998168945298</v>
      </c>
      <c r="C1072" s="3">
        <f t="shared" si="4"/>
        <v>3.231101895641874E-2</v>
      </c>
    </row>
    <row r="1073" spans="1:3" ht="13.2" x14ac:dyDescent="0.25">
      <c r="A1073" s="6">
        <v>1071</v>
      </c>
      <c r="B1073" s="7">
        <v>87.300003051757798</v>
      </c>
      <c r="C1073" s="3">
        <f t="shared" si="4"/>
        <v>2.7640882529748625E-2</v>
      </c>
    </row>
    <row r="1074" spans="1:3" ht="13.2" x14ac:dyDescent="0.25">
      <c r="A1074" s="6">
        <v>1072</v>
      </c>
      <c r="B1074" s="7">
        <v>87.510002136230398</v>
      </c>
      <c r="C1074" s="3">
        <f t="shared" si="4"/>
        <v>2.4025991563213184E-3</v>
      </c>
    </row>
    <row r="1075" spans="1:3" ht="13.2" x14ac:dyDescent="0.25">
      <c r="A1075" s="6">
        <v>1073</v>
      </c>
      <c r="B1075" s="7">
        <v>88.199996948242102</v>
      </c>
      <c r="C1075" s="3">
        <f t="shared" si="4"/>
        <v>7.8538314533040908E-3</v>
      </c>
    </row>
    <row r="1076" spans="1:3" ht="13.2" x14ac:dyDescent="0.25">
      <c r="A1076" s="6">
        <v>1074</v>
      </c>
      <c r="B1076" s="7">
        <v>89.580001831054602</v>
      </c>
      <c r="C1076" s="3">
        <f t="shared" si="4"/>
        <v>1.5525172807278427E-2</v>
      </c>
    </row>
    <row r="1077" spans="1:3" ht="13.2" x14ac:dyDescent="0.25">
      <c r="A1077" s="6">
        <v>1075</v>
      </c>
      <c r="B1077" s="7">
        <v>88.709999084472599</v>
      </c>
      <c r="C1077" s="3">
        <f t="shared" si="4"/>
        <v>-9.7594890075513325E-3</v>
      </c>
    </row>
    <row r="1078" spans="1:3" ht="13.2" x14ac:dyDescent="0.25">
      <c r="A1078" s="6">
        <v>1076</v>
      </c>
      <c r="B1078" s="7">
        <v>88.720001220703097</v>
      </c>
      <c r="C1078" s="3">
        <f t="shared" si="4"/>
        <v>1.1274458912110862E-4</v>
      </c>
    </row>
    <row r="1079" spans="1:3" ht="13.2" x14ac:dyDescent="0.25">
      <c r="A1079" s="6">
        <v>1077</v>
      </c>
      <c r="B1079" s="7">
        <v>91.199996948242102</v>
      </c>
      <c r="C1079" s="3">
        <f t="shared" si="4"/>
        <v>2.7569506816863938E-2</v>
      </c>
    </row>
    <row r="1080" spans="1:3" ht="13.2" x14ac:dyDescent="0.25">
      <c r="A1080" s="6">
        <v>1078</v>
      </c>
      <c r="B1080" s="7">
        <v>89.199996948242102</v>
      </c>
      <c r="C1080" s="3">
        <f t="shared" si="4"/>
        <v>-2.2173858244596924E-2</v>
      </c>
    </row>
    <row r="1081" spans="1:3" ht="13.2" x14ac:dyDescent="0.25">
      <c r="A1081" s="6">
        <v>1079</v>
      </c>
      <c r="B1081" s="7">
        <v>89.25</v>
      </c>
      <c r="C1081" s="3">
        <f t="shared" si="4"/>
        <v>5.6041528631791174E-4</v>
      </c>
    </row>
    <row r="1082" spans="1:3" ht="13.2" x14ac:dyDescent="0.25">
      <c r="A1082" s="6">
        <v>1080</v>
      </c>
      <c r="B1082" s="7">
        <v>89.900001525878906</v>
      </c>
      <c r="C1082" s="3">
        <f t="shared" si="4"/>
        <v>7.2565377908950868E-3</v>
      </c>
    </row>
    <row r="1083" spans="1:3" ht="13.2" x14ac:dyDescent="0.25">
      <c r="A1083" s="6">
        <v>1081</v>
      </c>
      <c r="B1083" s="7">
        <v>87.099998474121094</v>
      </c>
      <c r="C1083" s="3">
        <f t="shared" si="4"/>
        <v>-3.1641092110888135E-2</v>
      </c>
    </row>
    <row r="1084" spans="1:3" ht="13.2" x14ac:dyDescent="0.25">
      <c r="A1084" s="6">
        <v>1082</v>
      </c>
      <c r="B1084" s="7">
        <v>85.410003662109304</v>
      </c>
      <c r="C1084" s="3">
        <f t="shared" si="4"/>
        <v>-1.9593633504879117E-2</v>
      </c>
    </row>
    <row r="1085" spans="1:3" ht="13.2" x14ac:dyDescent="0.25">
      <c r="A1085" s="6">
        <v>1083</v>
      </c>
      <c r="B1085" s="7">
        <v>86.230003356933594</v>
      </c>
      <c r="C1085" s="3">
        <f t="shared" si="4"/>
        <v>9.5549510593526191E-3</v>
      </c>
    </row>
    <row r="1086" spans="1:3" ht="13.2" x14ac:dyDescent="0.25">
      <c r="A1086" s="6">
        <v>1084</v>
      </c>
      <c r="B1086" s="7">
        <v>84.720001220703097</v>
      </c>
      <c r="C1086" s="3">
        <f t="shared" si="4"/>
        <v>-1.7666468192401068E-2</v>
      </c>
    </row>
    <row r="1087" spans="1:3" ht="13.2" x14ac:dyDescent="0.25">
      <c r="A1087" s="6">
        <v>1085</v>
      </c>
      <c r="B1087" s="7">
        <v>85.599998474121094</v>
      </c>
      <c r="C1087" s="3">
        <f t="shared" si="4"/>
        <v>1.0333549620180512E-2</v>
      </c>
    </row>
    <row r="1088" spans="1:3" ht="13.2" x14ac:dyDescent="0.25">
      <c r="A1088" s="6">
        <v>1086</v>
      </c>
      <c r="B1088" s="7">
        <v>86</v>
      </c>
      <c r="C1088" s="3">
        <f t="shared" si="4"/>
        <v>4.6620309314996744E-3</v>
      </c>
    </row>
    <row r="1089" spans="1:3" ht="13.2" x14ac:dyDescent="0.25">
      <c r="A1089" s="6">
        <v>1087</v>
      </c>
      <c r="B1089" s="7">
        <v>86.650001525878906</v>
      </c>
      <c r="C1089" s="3">
        <f t="shared" si="4"/>
        <v>7.529737517788784E-3</v>
      </c>
    </row>
    <row r="1090" spans="1:3" ht="13.2" x14ac:dyDescent="0.25">
      <c r="A1090" s="6">
        <v>1088</v>
      </c>
      <c r="B1090" s="7">
        <v>88</v>
      </c>
      <c r="C1090" s="3">
        <f t="shared" si="4"/>
        <v>1.5459780706909966E-2</v>
      </c>
    </row>
    <row r="1091" spans="1:3" ht="13.2" x14ac:dyDescent="0.25">
      <c r="A1091" s="6">
        <v>1089</v>
      </c>
      <c r="B1091" s="7">
        <v>86.769996643066406</v>
      </c>
      <c r="C1091" s="3">
        <f t="shared" si="4"/>
        <v>-1.4075913360530351E-2</v>
      </c>
    </row>
    <row r="1092" spans="1:3" ht="13.2" x14ac:dyDescent="0.25">
      <c r="A1092" s="6">
        <v>1090</v>
      </c>
      <c r="B1092" s="7">
        <v>86.110000610351506</v>
      </c>
      <c r="C1092" s="3">
        <f t="shared" si="4"/>
        <v>-7.6353453215578177E-3</v>
      </c>
    </row>
    <row r="1093" spans="1:3" ht="13.2" x14ac:dyDescent="0.25">
      <c r="A1093" s="6">
        <v>1091</v>
      </c>
      <c r="B1093" s="7">
        <v>86.050003051757798</v>
      </c>
      <c r="C1093" s="3">
        <f t="shared" si="4"/>
        <v>-6.9699767363379033E-4</v>
      </c>
    </row>
    <row r="1094" spans="1:3" ht="13.2" x14ac:dyDescent="0.25">
      <c r="A1094" s="6">
        <v>1092</v>
      </c>
      <c r="B1094" s="7">
        <v>85.440002441406193</v>
      </c>
      <c r="C1094" s="3">
        <f t="shared" si="4"/>
        <v>-7.1141543360894585E-3</v>
      </c>
    </row>
    <row r="1095" spans="1:3" ht="13.2" x14ac:dyDescent="0.25">
      <c r="A1095" s="6">
        <v>1093</v>
      </c>
      <c r="B1095" s="7">
        <v>84.980003356933594</v>
      </c>
      <c r="C1095" s="3">
        <f t="shared" si="4"/>
        <v>-5.3984295970990722E-3</v>
      </c>
    </row>
    <row r="1096" spans="1:3" ht="13.2" x14ac:dyDescent="0.25">
      <c r="A1096" s="6">
        <v>1094</v>
      </c>
      <c r="B1096" s="7">
        <v>85.470001220703097</v>
      </c>
      <c r="C1096" s="3">
        <f t="shared" si="4"/>
        <v>5.7494772708712519E-3</v>
      </c>
    </row>
    <row r="1097" spans="1:3" ht="13.2" x14ac:dyDescent="0.25">
      <c r="A1097" s="6">
        <v>1095</v>
      </c>
      <c r="B1097" s="7">
        <v>82.449996948242102</v>
      </c>
      <c r="C1097" s="3">
        <f t="shared" si="4"/>
        <v>-3.5973439467997061E-2</v>
      </c>
    </row>
    <row r="1098" spans="1:3" ht="13.2" x14ac:dyDescent="0.25">
      <c r="A1098" s="6">
        <v>1096</v>
      </c>
      <c r="B1098" s="7">
        <v>83.110000610351506</v>
      </c>
      <c r="C1098" s="3">
        <f t="shared" si="4"/>
        <v>7.9730269166645926E-3</v>
      </c>
    </row>
    <row r="1099" spans="1:3" ht="13.2" x14ac:dyDescent="0.25">
      <c r="A1099" s="6">
        <v>1097</v>
      </c>
      <c r="B1099" s="7">
        <v>83.110000610351506</v>
      </c>
      <c r="C1099" s="3">
        <f t="shared" si="4"/>
        <v>0</v>
      </c>
    </row>
    <row r="1100" spans="1:3" ht="13.2" x14ac:dyDescent="0.25">
      <c r="A1100" s="6">
        <v>1098</v>
      </c>
      <c r="B1100" s="7">
        <v>84.199996948242102</v>
      </c>
      <c r="C1100" s="3">
        <f t="shared" si="4"/>
        <v>1.3029846095290124E-2</v>
      </c>
    </row>
    <row r="1101" spans="1:3" ht="13.2" x14ac:dyDescent="0.25">
      <c r="A1101" s="6">
        <v>1099</v>
      </c>
      <c r="B1101" s="7">
        <v>83.639999389648395</v>
      </c>
      <c r="C1101" s="3">
        <f t="shared" si="4"/>
        <v>-6.6730177410569535E-3</v>
      </c>
    </row>
    <row r="1102" spans="1:3" ht="13.2" x14ac:dyDescent="0.25">
      <c r="A1102" s="6">
        <v>1100</v>
      </c>
      <c r="B1102" s="7">
        <v>82.099998474121094</v>
      </c>
      <c r="C1102" s="3">
        <f t="shared" si="4"/>
        <v>-1.8583869390299389E-2</v>
      </c>
    </row>
    <row r="1103" spans="1:3" ht="13.2" x14ac:dyDescent="0.25">
      <c r="A1103" s="6">
        <v>1101</v>
      </c>
      <c r="B1103" s="7">
        <v>83.839996337890597</v>
      </c>
      <c r="C1103" s="3">
        <f t="shared" si="4"/>
        <v>2.0972179020222633E-2</v>
      </c>
    </row>
    <row r="1104" spans="1:3" ht="13.2" x14ac:dyDescent="0.25">
      <c r="A1104" s="6">
        <v>1102</v>
      </c>
      <c r="B1104" s="7">
        <v>84.400001525878906</v>
      </c>
      <c r="C1104" s="3">
        <f t="shared" si="4"/>
        <v>6.6572427880541392E-3</v>
      </c>
    </row>
    <row r="1105" spans="1:3" ht="13.2" x14ac:dyDescent="0.25">
      <c r="A1105" s="6">
        <v>1103</v>
      </c>
      <c r="B1105" s="7">
        <v>84.599998474121094</v>
      </c>
      <c r="C1105" s="3">
        <f t="shared" si="4"/>
        <v>2.3668288947384106E-3</v>
      </c>
    </row>
    <row r="1106" spans="1:3" ht="13.2" x14ac:dyDescent="0.25">
      <c r="A1106" s="6">
        <v>1104</v>
      </c>
      <c r="B1106" s="7">
        <v>84.269996643066406</v>
      </c>
      <c r="C1106" s="3">
        <f t="shared" si="4"/>
        <v>-3.9083586269751305E-3</v>
      </c>
    </row>
    <row r="1107" spans="1:3" ht="13.2" x14ac:dyDescent="0.25">
      <c r="A1107" s="6">
        <v>1105</v>
      </c>
      <c r="B1107" s="7">
        <v>90.260002136230398</v>
      </c>
      <c r="C1107" s="3">
        <f t="shared" si="4"/>
        <v>6.8668528117566782E-2</v>
      </c>
    </row>
    <row r="1108" spans="1:3" ht="13.2" x14ac:dyDescent="0.25">
      <c r="A1108" s="6">
        <v>1106</v>
      </c>
      <c r="B1108" s="7">
        <v>90.379997253417898</v>
      </c>
      <c r="C1108" s="3">
        <f t="shared" si="4"/>
        <v>1.3285555274891218E-3</v>
      </c>
    </row>
    <row r="1109" spans="1:3" ht="13.2" x14ac:dyDescent="0.25">
      <c r="A1109" s="6">
        <v>1107</v>
      </c>
      <c r="B1109" s="7">
        <v>97.010002136230398</v>
      </c>
      <c r="C1109" s="3">
        <f t="shared" si="4"/>
        <v>7.0791114400051106E-2</v>
      </c>
    </row>
    <row r="1110" spans="1:3" ht="13.2" x14ac:dyDescent="0.25">
      <c r="A1110" s="6">
        <v>1108</v>
      </c>
      <c r="B1110" s="7">
        <v>92.110000610351506</v>
      </c>
      <c r="C1110" s="3">
        <f t="shared" si="4"/>
        <v>-5.1830566367438706E-2</v>
      </c>
    </row>
    <row r="1111" spans="1:3" ht="13.2" x14ac:dyDescent="0.25">
      <c r="A1111" s="6">
        <v>1109</v>
      </c>
      <c r="B1111" s="7">
        <v>95.150001525878906</v>
      </c>
      <c r="C1111" s="3">
        <f t="shared" si="4"/>
        <v>3.2471088152243817E-2</v>
      </c>
    </row>
    <row r="1112" spans="1:3" ht="13.2" x14ac:dyDescent="0.25">
      <c r="A1112" s="6">
        <v>1110</v>
      </c>
      <c r="B1112" s="7">
        <v>96.620002746582003</v>
      </c>
      <c r="C1112" s="3">
        <f t="shared" si="4"/>
        <v>1.5331177774179992E-2</v>
      </c>
    </row>
    <row r="1113" spans="1:3" ht="13.2" x14ac:dyDescent="0.25">
      <c r="A1113" s="6">
        <v>1111</v>
      </c>
      <c r="B1113" s="7">
        <v>97.949996948242102</v>
      </c>
      <c r="C1113" s="3">
        <f t="shared" si="4"/>
        <v>1.367132568136579E-2</v>
      </c>
    </row>
    <row r="1114" spans="1:3" ht="13.2" x14ac:dyDescent="0.25">
      <c r="A1114" s="6">
        <v>1112</v>
      </c>
      <c r="B1114" s="7">
        <v>98.120002746582003</v>
      </c>
      <c r="C1114" s="3">
        <f t="shared" si="4"/>
        <v>1.7341341480925361E-3</v>
      </c>
    </row>
    <row r="1115" spans="1:3" ht="13.2" x14ac:dyDescent="0.25">
      <c r="A1115" s="6">
        <v>1113</v>
      </c>
      <c r="B1115" s="7">
        <v>98.010002136230398</v>
      </c>
      <c r="C1115" s="3">
        <f t="shared" si="4"/>
        <v>-1.1217113052256118E-3</v>
      </c>
    </row>
    <row r="1116" spans="1:3" ht="13.2" x14ac:dyDescent="0.25">
      <c r="A1116" s="6">
        <v>1114</v>
      </c>
      <c r="B1116" s="7">
        <v>98.300003051757798</v>
      </c>
      <c r="C1116" s="3">
        <f t="shared" si="4"/>
        <v>2.9545221213357082E-3</v>
      </c>
    </row>
    <row r="1117" spans="1:3" ht="13.2" x14ac:dyDescent="0.25">
      <c r="A1117" s="6">
        <v>1115</v>
      </c>
      <c r="B1117" s="7">
        <v>99.989997863769503</v>
      </c>
      <c r="C1117" s="3">
        <f t="shared" si="4"/>
        <v>1.7046101424847117E-2</v>
      </c>
    </row>
    <row r="1118" spans="1:3" ht="13.2" x14ac:dyDescent="0.25">
      <c r="A1118" s="6">
        <v>1116</v>
      </c>
      <c r="B1118" s="7">
        <v>99.139999389648395</v>
      </c>
      <c r="C1118" s="3">
        <f t="shared" si="4"/>
        <v>-8.537173187350193E-3</v>
      </c>
    </row>
    <row r="1119" spans="1:3" ht="13.2" x14ac:dyDescent="0.25">
      <c r="A1119" s="6">
        <v>1117</v>
      </c>
      <c r="B1119" s="7">
        <v>102.06999969482401</v>
      </c>
      <c r="C1119" s="3">
        <f t="shared" si="4"/>
        <v>2.9125862989571101E-2</v>
      </c>
    </row>
    <row r="1120" spans="1:3" ht="13.2" x14ac:dyDescent="0.25">
      <c r="A1120" s="6">
        <v>1118</v>
      </c>
      <c r="B1120" s="7">
        <v>102.11000061035099</v>
      </c>
      <c r="C1120" s="3">
        <f t="shared" si="4"/>
        <v>3.9182011929636827E-4</v>
      </c>
    </row>
    <row r="1121" spans="1:3" ht="13.2" x14ac:dyDescent="0.25">
      <c r="A1121" s="6">
        <v>1119</v>
      </c>
      <c r="B1121" s="7">
        <v>103.699996948242</v>
      </c>
      <c r="C1121" s="3">
        <f t="shared" si="4"/>
        <v>1.5451416261930037E-2</v>
      </c>
    </row>
    <row r="1122" spans="1:3" ht="13.2" x14ac:dyDescent="0.25">
      <c r="A1122" s="6">
        <v>1120</v>
      </c>
      <c r="B1122" s="7">
        <v>105.669998168945</v>
      </c>
      <c r="C1122" s="3">
        <f t="shared" si="4"/>
        <v>1.8818927318125959E-2</v>
      </c>
    </row>
    <row r="1123" spans="1:3" ht="13.2" x14ac:dyDescent="0.25">
      <c r="A1123" s="6">
        <v>1121</v>
      </c>
      <c r="B1123" s="7">
        <v>108.900001525878</v>
      </c>
      <c r="C1123" s="3">
        <f t="shared" si="4"/>
        <v>3.0109030825760576E-2</v>
      </c>
    </row>
    <row r="1124" spans="1:3" ht="13.2" x14ac:dyDescent="0.25">
      <c r="A1124" s="6">
        <v>1122</v>
      </c>
      <c r="B1124" s="7">
        <v>106.470001220703</v>
      </c>
      <c r="C1124" s="3">
        <f t="shared" si="4"/>
        <v>-2.2566777158905864E-2</v>
      </c>
    </row>
    <row r="1125" spans="1:3" ht="13.2" x14ac:dyDescent="0.25">
      <c r="A1125" s="6">
        <v>1123</v>
      </c>
      <c r="B1125" s="7">
        <v>105.430000305175</v>
      </c>
      <c r="C1125" s="3">
        <f t="shared" si="4"/>
        <v>-9.8160383083114554E-3</v>
      </c>
    </row>
    <row r="1126" spans="1:3" ht="13.2" x14ac:dyDescent="0.25">
      <c r="A1126" s="6">
        <v>1124</v>
      </c>
      <c r="B1126" s="7">
        <v>103.309997558593</v>
      </c>
      <c r="C1126" s="3">
        <f t="shared" si="4"/>
        <v>-2.0313075253934755E-2</v>
      </c>
    </row>
    <row r="1127" spans="1:3" ht="13.2" x14ac:dyDescent="0.25">
      <c r="A1127" s="6">
        <v>1125</v>
      </c>
      <c r="B1127" s="7">
        <v>104.09999847412099</v>
      </c>
      <c r="C1127" s="3">
        <f t="shared" si="4"/>
        <v>7.6178077336054159E-3</v>
      </c>
    </row>
    <row r="1128" spans="1:3" ht="13.2" x14ac:dyDescent="0.25">
      <c r="A1128" s="6">
        <v>1126</v>
      </c>
      <c r="B1128" s="7">
        <v>104.36000061035099</v>
      </c>
      <c r="C1128" s="3">
        <f t="shared" si="4"/>
        <v>2.4945051539387959E-3</v>
      </c>
    </row>
    <row r="1129" spans="1:3" ht="13.2" x14ac:dyDescent="0.25">
      <c r="A1129" s="6">
        <v>1127</v>
      </c>
      <c r="B1129" s="7">
        <v>102.650001525878</v>
      </c>
      <c r="C1129" s="3">
        <f t="shared" si="4"/>
        <v>-1.6521307787238707E-2</v>
      </c>
    </row>
    <row r="1130" spans="1:3" ht="13.2" x14ac:dyDescent="0.25">
      <c r="A1130" s="6">
        <v>1128</v>
      </c>
      <c r="B1130" s="7">
        <v>104</v>
      </c>
      <c r="C1130" s="3">
        <f t="shared" si="4"/>
        <v>1.3065740811569077E-2</v>
      </c>
    </row>
    <row r="1131" spans="1:3" ht="13.2" x14ac:dyDescent="0.25">
      <c r="A1131" s="6">
        <v>1129</v>
      </c>
      <c r="B1131" s="7">
        <v>103.050003051757</v>
      </c>
      <c r="C1131" s="3">
        <f t="shared" si="4"/>
        <v>-9.1765621905722274E-3</v>
      </c>
    </row>
    <row r="1132" spans="1:3" ht="13.2" x14ac:dyDescent="0.25">
      <c r="A1132" s="6">
        <v>1130</v>
      </c>
      <c r="B1132" s="7">
        <v>100.720001220703</v>
      </c>
      <c r="C1132" s="3">
        <f t="shared" si="4"/>
        <v>-2.286993509494117E-2</v>
      </c>
    </row>
    <row r="1133" spans="1:3" ht="13.2" x14ac:dyDescent="0.25">
      <c r="A1133" s="6">
        <v>1131</v>
      </c>
      <c r="B1133" s="7">
        <v>99.519996643066406</v>
      </c>
      <c r="C1133" s="3">
        <f t="shared" si="4"/>
        <v>-1.1985806596236515E-2</v>
      </c>
    </row>
    <row r="1134" spans="1:3" ht="13.2" x14ac:dyDescent="0.25">
      <c r="A1134" s="6">
        <v>1132</v>
      </c>
      <c r="B1134" s="7">
        <v>100.34999847412099</v>
      </c>
      <c r="C1134" s="3">
        <f t="shared" si="4"/>
        <v>8.30546477715359E-3</v>
      </c>
    </row>
    <row r="1135" spans="1:3" ht="13.2" x14ac:dyDescent="0.25">
      <c r="A1135" s="6">
        <v>1133</v>
      </c>
      <c r="B1135" s="7">
        <v>103.309997558593</v>
      </c>
      <c r="C1135" s="3">
        <f t="shared" si="4"/>
        <v>2.9070093192721632E-2</v>
      </c>
    </row>
    <row r="1136" spans="1:3" ht="13.2" x14ac:dyDescent="0.25">
      <c r="A1136" s="6">
        <v>1134</v>
      </c>
      <c r="B1136" s="7">
        <v>106.69000244140599</v>
      </c>
      <c r="C1136" s="3">
        <f t="shared" si="4"/>
        <v>3.2193302857046954E-2</v>
      </c>
    </row>
    <row r="1137" spans="1:3" ht="13.2" x14ac:dyDescent="0.25">
      <c r="A1137" s="6">
        <v>1135</v>
      </c>
      <c r="B1137" s="7">
        <v>108.83999633789</v>
      </c>
      <c r="C1137" s="3">
        <f t="shared" si="4"/>
        <v>1.9951424181770646E-2</v>
      </c>
    </row>
    <row r="1138" spans="1:3" ht="13.2" x14ac:dyDescent="0.25">
      <c r="A1138" s="6">
        <v>1136</v>
      </c>
      <c r="B1138" s="7">
        <v>105.86000061035099</v>
      </c>
      <c r="C1138" s="3">
        <f t="shared" si="4"/>
        <v>-2.77614080728311E-2</v>
      </c>
    </row>
    <row r="1139" spans="1:3" ht="13.2" x14ac:dyDescent="0.25">
      <c r="A1139" s="6">
        <v>1137</v>
      </c>
      <c r="B1139" s="7">
        <v>104.98999786376901</v>
      </c>
      <c r="C1139" s="3">
        <f t="shared" si="4"/>
        <v>-8.2523850156299462E-3</v>
      </c>
    </row>
    <row r="1140" spans="1:3" ht="13.2" x14ac:dyDescent="0.25">
      <c r="A1140" s="6">
        <v>1138</v>
      </c>
      <c r="B1140" s="7">
        <v>105.08000183105401</v>
      </c>
      <c r="C1140" s="3">
        <f t="shared" si="4"/>
        <v>8.5689506281726115E-4</v>
      </c>
    </row>
    <row r="1141" spans="1:3" ht="13.2" x14ac:dyDescent="0.25">
      <c r="A1141" s="6">
        <v>1139</v>
      </c>
      <c r="B1141" s="7">
        <v>105.98999786376901</v>
      </c>
      <c r="C1141" s="3">
        <f t="shared" si="4"/>
        <v>8.6227476414673099E-3</v>
      </c>
    </row>
    <row r="1142" spans="1:3" ht="13.2" x14ac:dyDescent="0.25">
      <c r="A1142" s="6">
        <v>1140</v>
      </c>
      <c r="B1142" s="7">
        <v>104.480003356933</v>
      </c>
      <c r="C1142" s="3">
        <f t="shared" si="4"/>
        <v>-1.434903222610897E-2</v>
      </c>
    </row>
    <row r="1143" spans="1:3" ht="13.2" x14ac:dyDescent="0.25">
      <c r="A1143" s="6">
        <v>1141</v>
      </c>
      <c r="B1143" s="7">
        <v>101.720001220703</v>
      </c>
      <c r="C1143" s="3">
        <f t="shared" si="4"/>
        <v>-2.6771745103492339E-2</v>
      </c>
    </row>
    <row r="1144" spans="1:3" ht="13.2" x14ac:dyDescent="0.25">
      <c r="A1144" s="6">
        <v>1142</v>
      </c>
      <c r="B1144" s="7">
        <v>104.050003051757</v>
      </c>
      <c r="C1144" s="3">
        <f t="shared" si="4"/>
        <v>2.2647629614821321E-2</v>
      </c>
    </row>
    <row r="1145" spans="1:3" ht="13.2" x14ac:dyDescent="0.25">
      <c r="A1145" s="6">
        <v>1143</v>
      </c>
      <c r="B1145" s="7">
        <v>103.800003051757</v>
      </c>
      <c r="C1145" s="3">
        <f t="shared" si="4"/>
        <v>-2.4055820372151804E-3</v>
      </c>
    </row>
    <row r="1146" spans="1:3" ht="13.2" x14ac:dyDescent="0.25">
      <c r="A1146" s="6">
        <v>1144</v>
      </c>
      <c r="B1146" s="7">
        <v>102.309997558593</v>
      </c>
      <c r="C1146" s="3">
        <f t="shared" si="4"/>
        <v>-1.4458604104134474E-2</v>
      </c>
    </row>
    <row r="1147" spans="1:3" ht="13.2" x14ac:dyDescent="0.25">
      <c r="A1147" s="6">
        <v>1145</v>
      </c>
      <c r="B1147" s="7">
        <v>103.51999664306599</v>
      </c>
      <c r="C1147" s="3">
        <f t="shared" si="4"/>
        <v>1.1757402296701287E-2</v>
      </c>
    </row>
    <row r="1148" spans="1:3" ht="13.2" x14ac:dyDescent="0.25">
      <c r="A1148" s="6">
        <v>1146</v>
      </c>
      <c r="B1148" s="7">
        <v>104.31999969482401</v>
      </c>
      <c r="C1148" s="3">
        <f t="shared" si="4"/>
        <v>7.6982969282482962E-3</v>
      </c>
    </row>
    <row r="1149" spans="1:3" ht="13.2" x14ac:dyDescent="0.25">
      <c r="A1149" s="6">
        <v>1147</v>
      </c>
      <c r="B1149" s="7">
        <v>105.48999786376901</v>
      </c>
      <c r="C1149" s="3">
        <f t="shared" si="4"/>
        <v>1.1153046190203202E-2</v>
      </c>
    </row>
    <row r="1150" spans="1:3" ht="13.2" x14ac:dyDescent="0.25">
      <c r="A1150" s="6">
        <v>1148</v>
      </c>
      <c r="B1150" s="7">
        <v>112.58999633789</v>
      </c>
      <c r="C1150" s="3">
        <f t="shared" si="4"/>
        <v>6.5136727845807915E-2</v>
      </c>
    </row>
    <row r="1151" spans="1:3" ht="13.2" x14ac:dyDescent="0.25">
      <c r="A1151" s="6">
        <v>1149</v>
      </c>
      <c r="B1151" s="7">
        <v>114.980003356933</v>
      </c>
      <c r="C1151" s="3">
        <f t="shared" si="4"/>
        <v>2.1005360101973097E-2</v>
      </c>
    </row>
    <row r="1152" spans="1:3" ht="13.2" x14ac:dyDescent="0.25">
      <c r="A1152" s="6">
        <v>1150</v>
      </c>
      <c r="B1152" s="7">
        <v>114.11000061035099</v>
      </c>
      <c r="C1152" s="3">
        <f t="shared" si="4"/>
        <v>-7.5953285955603599E-3</v>
      </c>
    </row>
    <row r="1153" spans="1:3" ht="13.2" x14ac:dyDescent="0.25">
      <c r="A1153" s="6">
        <v>1151</v>
      </c>
      <c r="B1153" s="7">
        <v>108.5</v>
      </c>
      <c r="C1153" s="3">
        <f t="shared" si="4"/>
        <v>-5.0412727814869031E-2</v>
      </c>
    </row>
    <row r="1154" spans="1:3" ht="13.2" x14ac:dyDescent="0.25">
      <c r="A1154" s="6">
        <v>1152</v>
      </c>
      <c r="B1154" s="7">
        <v>106.120002746582</v>
      </c>
      <c r="C1154" s="3">
        <f t="shared" si="4"/>
        <v>-2.2179617829124875E-2</v>
      </c>
    </row>
    <row r="1155" spans="1:3" ht="13.2" x14ac:dyDescent="0.25">
      <c r="A1155" s="6">
        <v>1153</v>
      </c>
      <c r="B1155" s="7">
        <v>104.01999664306599</v>
      </c>
      <c r="C1155" s="3">
        <f t="shared" si="4"/>
        <v>-1.9987399078468894E-2</v>
      </c>
    </row>
    <row r="1156" spans="1:3" ht="13.2" x14ac:dyDescent="0.25">
      <c r="A1156" s="6">
        <v>1154</v>
      </c>
      <c r="B1156" s="7">
        <v>105.5</v>
      </c>
      <c r="C1156" s="3">
        <f t="shared" si="4"/>
        <v>1.4127796843200802E-2</v>
      </c>
    </row>
    <row r="1157" spans="1:3" ht="13.2" x14ac:dyDescent="0.25">
      <c r="A1157" s="6">
        <v>1155</v>
      </c>
      <c r="B1157" s="7">
        <v>105.300003051757</v>
      </c>
      <c r="C1157" s="3">
        <f t="shared" si="4"/>
        <v>-1.8975047946438194E-3</v>
      </c>
    </row>
    <row r="1158" spans="1:3" ht="13.2" x14ac:dyDescent="0.25">
      <c r="A1158" s="6">
        <v>1156</v>
      </c>
      <c r="B1158" s="7">
        <v>105.540000915527</v>
      </c>
      <c r="C1158" s="3">
        <f t="shared" si="4"/>
        <v>2.2765885307363975E-3</v>
      </c>
    </row>
    <row r="1159" spans="1:3" ht="13.2" x14ac:dyDescent="0.25">
      <c r="A1159" s="6">
        <v>1157</v>
      </c>
      <c r="B1159" s="7">
        <v>105.709999084472</v>
      </c>
      <c r="C1159" s="3">
        <f t="shared" si="4"/>
        <v>1.6094504676066078E-3</v>
      </c>
    </row>
    <row r="1160" spans="1:3" ht="13.2" x14ac:dyDescent="0.25">
      <c r="A1160" s="6">
        <v>1158</v>
      </c>
      <c r="B1160" s="7">
        <v>104.680000305175</v>
      </c>
      <c r="C1160" s="3">
        <f t="shared" si="4"/>
        <v>-9.7914065425621106E-3</v>
      </c>
    </row>
    <row r="1161" spans="1:3" ht="13.2" x14ac:dyDescent="0.25">
      <c r="A1161" s="6">
        <v>1159</v>
      </c>
      <c r="B1161" s="7">
        <v>97.870002746582003</v>
      </c>
      <c r="C1161" s="3">
        <f t="shared" si="4"/>
        <v>-6.7267985075956521E-2</v>
      </c>
    </row>
    <row r="1162" spans="1:3" ht="13.2" x14ac:dyDescent="0.25">
      <c r="A1162" s="6">
        <v>1160</v>
      </c>
      <c r="B1162" s="7">
        <v>95.25</v>
      </c>
      <c r="C1162" s="3">
        <f t="shared" si="4"/>
        <v>-2.7135081494491599E-2</v>
      </c>
    </row>
    <row r="1163" spans="1:3" ht="13.2" x14ac:dyDescent="0.25">
      <c r="A1163" s="6">
        <v>1161</v>
      </c>
      <c r="B1163" s="7">
        <v>98.309997558593693</v>
      </c>
      <c r="C1163" s="3">
        <f t="shared" si="4"/>
        <v>3.1620712538268661E-2</v>
      </c>
    </row>
    <row r="1164" spans="1:3" ht="13.2" x14ac:dyDescent="0.25">
      <c r="A1164" s="6">
        <v>1162</v>
      </c>
      <c r="B1164" s="7">
        <v>99.449996948242102</v>
      </c>
      <c r="C1164" s="3">
        <f t="shared" si="4"/>
        <v>1.1529248068547607E-2</v>
      </c>
    </row>
    <row r="1165" spans="1:3" ht="13.2" x14ac:dyDescent="0.25">
      <c r="A1165" s="6">
        <v>1163</v>
      </c>
      <c r="B1165" s="7">
        <v>95.459999084472599</v>
      </c>
      <c r="C1165" s="3">
        <f t="shared" si="4"/>
        <v>-4.0947672626567753E-2</v>
      </c>
    </row>
    <row r="1166" spans="1:3" ht="13.2" x14ac:dyDescent="0.25">
      <c r="A1166" s="6">
        <v>1164</v>
      </c>
      <c r="B1166" s="7">
        <v>96.209999084472599</v>
      </c>
      <c r="C1166" s="3">
        <f t="shared" si="4"/>
        <v>7.825990870186518E-3</v>
      </c>
    </row>
    <row r="1167" spans="1:3" ht="13.2" x14ac:dyDescent="0.25">
      <c r="A1167" s="6">
        <v>1165</v>
      </c>
      <c r="B1167" s="7">
        <v>95.949996948242102</v>
      </c>
      <c r="C1167" s="3">
        <f t="shared" si="4"/>
        <v>-2.7061022092473718E-3</v>
      </c>
    </row>
    <row r="1168" spans="1:3" ht="13.2" x14ac:dyDescent="0.25">
      <c r="A1168" s="6">
        <v>1166</v>
      </c>
      <c r="B1168" s="7">
        <v>94.629997253417898</v>
      </c>
      <c r="C1168" s="3">
        <f t="shared" si="4"/>
        <v>-1.3852669152290375E-2</v>
      </c>
    </row>
    <row r="1169" spans="1:3" ht="13.2" x14ac:dyDescent="0.25">
      <c r="A1169" s="6">
        <v>1167</v>
      </c>
      <c r="B1169" s="7">
        <v>94.410003662109304</v>
      </c>
      <c r="C1169" s="3">
        <f t="shared" si="4"/>
        <v>-2.327482961861649E-3</v>
      </c>
    </row>
    <row r="1170" spans="1:3" ht="13.2" x14ac:dyDescent="0.25">
      <c r="A1170" s="6">
        <v>1168</v>
      </c>
      <c r="B1170" s="7">
        <v>93.550003051757798</v>
      </c>
      <c r="C1170" s="3">
        <f t="shared" si="4"/>
        <v>-9.1509531920719294E-3</v>
      </c>
    </row>
    <row r="1171" spans="1:3" ht="13.2" x14ac:dyDescent="0.25">
      <c r="A1171" s="6">
        <v>1169</v>
      </c>
      <c r="B1171" s="7">
        <v>93.809997558593693</v>
      </c>
      <c r="C1171" s="3">
        <f t="shared" si="4"/>
        <v>2.7753487710738358E-3</v>
      </c>
    </row>
    <row r="1172" spans="1:3" ht="13.2" x14ac:dyDescent="0.25">
      <c r="A1172" s="6">
        <v>1170</v>
      </c>
      <c r="B1172" s="7">
        <v>97.650001525878906</v>
      </c>
      <c r="C1172" s="3">
        <f t="shared" si="4"/>
        <v>4.0118238835839898E-2</v>
      </c>
    </row>
    <row r="1173" spans="1:3" ht="13.2" x14ac:dyDescent="0.25">
      <c r="A1173" s="6">
        <v>1171</v>
      </c>
      <c r="B1173" s="7">
        <v>95.5</v>
      </c>
      <c r="C1173" s="3">
        <f t="shared" si="4"/>
        <v>-2.2263425462003297E-2</v>
      </c>
    </row>
    <row r="1174" spans="1:3" ht="13.2" x14ac:dyDescent="0.25">
      <c r="A1174" s="6">
        <v>1172</v>
      </c>
      <c r="B1174" s="7">
        <v>99.989997863769503</v>
      </c>
      <c r="C1174" s="3">
        <f t="shared" si="4"/>
        <v>4.5943912136631834E-2</v>
      </c>
    </row>
    <row r="1175" spans="1:3" ht="13.2" x14ac:dyDescent="0.25">
      <c r="A1175" s="6">
        <v>1173</v>
      </c>
      <c r="B1175" s="7">
        <v>96.900001525878906</v>
      </c>
      <c r="C1175" s="3">
        <f t="shared" si="4"/>
        <v>-3.139062497965163E-2</v>
      </c>
    </row>
    <row r="1176" spans="1:3" ht="13.2" x14ac:dyDescent="0.25">
      <c r="A1176" s="6">
        <v>1174</v>
      </c>
      <c r="B1176" s="7">
        <v>96.150001525878906</v>
      </c>
      <c r="C1176" s="3">
        <f t="shared" si="4"/>
        <v>-7.7700467391006878E-3</v>
      </c>
    </row>
    <row r="1177" spans="1:3" ht="13.2" x14ac:dyDescent="0.25">
      <c r="A1177" s="6">
        <v>1175</v>
      </c>
      <c r="B1177" s="7">
        <v>94.830001831054602</v>
      </c>
      <c r="C1177" s="3">
        <f t="shared" si="4"/>
        <v>-1.3823653700116635E-2</v>
      </c>
    </row>
    <row r="1178" spans="1:3" ht="13.2" x14ac:dyDescent="0.25">
      <c r="A1178" s="6">
        <v>1176</v>
      </c>
      <c r="B1178" s="7">
        <v>96.489997863769503</v>
      </c>
      <c r="C1178" s="3">
        <f t="shared" si="4"/>
        <v>1.7353519688446891E-2</v>
      </c>
    </row>
    <row r="1179" spans="1:3" ht="13.2" x14ac:dyDescent="0.25">
      <c r="A1179" s="6">
        <v>1177</v>
      </c>
      <c r="B1179" s="7">
        <v>96.120002746582003</v>
      </c>
      <c r="C1179" s="3">
        <f t="shared" si="4"/>
        <v>-3.8419144501154971E-3</v>
      </c>
    </row>
    <row r="1180" spans="1:3" ht="13.2" x14ac:dyDescent="0.25">
      <c r="A1180" s="6">
        <v>1178</v>
      </c>
      <c r="B1180" s="7">
        <v>98.709999084472599</v>
      </c>
      <c r="C1180" s="3">
        <f t="shared" si="4"/>
        <v>2.6588809712097251E-2</v>
      </c>
    </row>
    <row r="1181" spans="1:3" ht="13.2" x14ac:dyDescent="0.25">
      <c r="A1181" s="6">
        <v>1179</v>
      </c>
      <c r="B1181" s="7">
        <v>101.01000213623</v>
      </c>
      <c r="C1181" s="3">
        <f t="shared" si="4"/>
        <v>2.3033293834914651E-2</v>
      </c>
    </row>
    <row r="1182" spans="1:3" ht="13.2" x14ac:dyDescent="0.25">
      <c r="A1182" s="6">
        <v>1180</v>
      </c>
      <c r="B1182" s="7">
        <v>101.639999389648</v>
      </c>
      <c r="C1182" s="3">
        <f t="shared" si="4"/>
        <v>6.2176094571351074E-3</v>
      </c>
    </row>
    <row r="1183" spans="1:3" ht="13.2" x14ac:dyDescent="0.25">
      <c r="A1183" s="6">
        <v>1181</v>
      </c>
      <c r="B1183" s="7">
        <v>106.309997558593</v>
      </c>
      <c r="C1183" s="3">
        <f t="shared" si="4"/>
        <v>4.4922178888607923E-2</v>
      </c>
    </row>
    <row r="1184" spans="1:3" ht="13.2" x14ac:dyDescent="0.25">
      <c r="A1184" s="6">
        <v>1182</v>
      </c>
      <c r="B1184" s="7">
        <v>105.91000366210901</v>
      </c>
      <c r="C1184" s="3">
        <f t="shared" si="4"/>
        <v>-3.7696199024000237E-3</v>
      </c>
    </row>
    <row r="1185" spans="1:3" ht="13.2" x14ac:dyDescent="0.25">
      <c r="A1185" s="6">
        <v>1183</v>
      </c>
      <c r="B1185" s="7">
        <v>106.620002746582</v>
      </c>
      <c r="C1185" s="3">
        <f t="shared" si="4"/>
        <v>6.681425721957384E-3</v>
      </c>
    </row>
    <row r="1186" spans="1:3" ht="13.2" x14ac:dyDescent="0.25">
      <c r="A1186" s="6">
        <v>1184</v>
      </c>
      <c r="B1186" s="7">
        <v>108.180000305175</v>
      </c>
      <c r="C1186" s="3">
        <f t="shared" si="4"/>
        <v>1.4525372109182502E-2</v>
      </c>
    </row>
    <row r="1187" spans="1:3" ht="13.2" x14ac:dyDescent="0.25">
      <c r="A1187" s="6">
        <v>1185</v>
      </c>
      <c r="B1187" s="7">
        <v>109.5</v>
      </c>
      <c r="C1187" s="3">
        <f t="shared" si="4"/>
        <v>1.2128039992281896E-2</v>
      </c>
    </row>
    <row r="1188" spans="1:3" ht="13.2" x14ac:dyDescent="0.25">
      <c r="A1188" s="6">
        <v>1186</v>
      </c>
      <c r="B1188" s="7">
        <v>111.889999389648</v>
      </c>
      <c r="C1188" s="3">
        <f t="shared" si="4"/>
        <v>2.1591691108145232E-2</v>
      </c>
    </row>
    <row r="1189" spans="1:3" ht="13.2" x14ac:dyDescent="0.25">
      <c r="A1189" s="6">
        <v>1187</v>
      </c>
      <c r="B1189" s="7">
        <v>111.629997253417</v>
      </c>
      <c r="C1189" s="3">
        <f t="shared" si="4"/>
        <v>-2.3264339424049676E-3</v>
      </c>
    </row>
    <row r="1190" spans="1:3" ht="13.2" x14ac:dyDescent="0.25">
      <c r="A1190" s="6">
        <v>1188</v>
      </c>
      <c r="B1190" s="7">
        <v>111.56999969482401</v>
      </c>
      <c r="C1190" s="3">
        <f t="shared" si="4"/>
        <v>-5.3761255249462701E-4</v>
      </c>
    </row>
    <row r="1191" spans="1:3" ht="13.2" x14ac:dyDescent="0.25">
      <c r="A1191" s="6">
        <v>1189</v>
      </c>
      <c r="B1191" s="7">
        <v>109.680000305175</v>
      </c>
      <c r="C1191" s="3">
        <f t="shared" si="4"/>
        <v>-1.7085155833329788E-2</v>
      </c>
    </row>
    <row r="1192" spans="1:3" ht="13.2" x14ac:dyDescent="0.25">
      <c r="A1192" s="6">
        <v>1190</v>
      </c>
      <c r="B1192" s="7">
        <v>106.199996948242</v>
      </c>
      <c r="C1192" s="3">
        <f t="shared" si="4"/>
        <v>-3.2242957964584422E-2</v>
      </c>
    </row>
    <row r="1193" spans="1:3" ht="13.2" x14ac:dyDescent="0.25">
      <c r="A1193" s="6">
        <v>1191</v>
      </c>
      <c r="B1193" s="7">
        <v>105.699996948242</v>
      </c>
      <c r="C1193" s="3">
        <f t="shared" si="4"/>
        <v>-4.7192160675782044E-3</v>
      </c>
    </row>
    <row r="1194" spans="1:3" ht="13.2" x14ac:dyDescent="0.25">
      <c r="A1194" s="6">
        <v>1192</v>
      </c>
      <c r="B1194" s="7">
        <v>101.73999786376901</v>
      </c>
      <c r="C1194" s="3">
        <f t="shared" si="4"/>
        <v>-3.8184345606652917E-2</v>
      </c>
    </row>
    <row r="1195" spans="1:3" ht="13.2" x14ac:dyDescent="0.25">
      <c r="A1195" s="6">
        <v>1193</v>
      </c>
      <c r="B1195" s="7">
        <v>103.25</v>
      </c>
      <c r="C1195" s="3">
        <f t="shared" si="4"/>
        <v>1.4732713443486298E-2</v>
      </c>
    </row>
    <row r="1196" spans="1:3" ht="13.2" x14ac:dyDescent="0.25">
      <c r="A1196" s="6">
        <v>1194</v>
      </c>
      <c r="B1196" s="7">
        <v>103.889999389648</v>
      </c>
      <c r="C1196" s="3">
        <f t="shared" si="4"/>
        <v>6.1794093663149292E-3</v>
      </c>
    </row>
    <row r="1197" spans="1:3" ht="13.2" x14ac:dyDescent="0.25">
      <c r="A1197" s="6">
        <v>1195</v>
      </c>
      <c r="B1197" s="7">
        <v>102.25</v>
      </c>
      <c r="C1197" s="3">
        <f t="shared" si="4"/>
        <v>-1.5911846284545905E-2</v>
      </c>
    </row>
    <row r="1198" spans="1:3" ht="13.2" x14ac:dyDescent="0.25">
      <c r="A1198" s="6">
        <v>1196</v>
      </c>
      <c r="B1198" s="7">
        <v>103.23999786376901</v>
      </c>
      <c r="C1198" s="3">
        <f t="shared" si="4"/>
        <v>9.6355592356091695E-3</v>
      </c>
    </row>
    <row r="1199" spans="1:3" ht="13.2" x14ac:dyDescent="0.25">
      <c r="A1199" s="6">
        <v>1197</v>
      </c>
      <c r="B1199" s="7">
        <v>101.76999664306599</v>
      </c>
      <c r="C1199" s="3">
        <f t="shared" si="4"/>
        <v>-1.4341021940177459E-2</v>
      </c>
    </row>
    <row r="1200" spans="1:3" ht="13.2" x14ac:dyDescent="0.25">
      <c r="A1200" s="6">
        <v>1198</v>
      </c>
      <c r="B1200" s="7">
        <v>103.25</v>
      </c>
      <c r="C1200" s="3">
        <f t="shared" si="4"/>
        <v>1.4437899622799365E-2</v>
      </c>
    </row>
    <row r="1201" spans="1:3" ht="13.2" x14ac:dyDescent="0.25">
      <c r="A1201" s="6">
        <v>1199</v>
      </c>
      <c r="B1201" s="7">
        <v>102.540000915527</v>
      </c>
      <c r="C1201" s="3">
        <f t="shared" si="4"/>
        <v>-6.900256557101199E-3</v>
      </c>
    </row>
    <row r="1202" spans="1:3" ht="13.2" x14ac:dyDescent="0.25">
      <c r="A1202" s="6">
        <v>1200</v>
      </c>
      <c r="B1202" s="7">
        <v>102.98999786376901</v>
      </c>
      <c r="C1202" s="3">
        <f t="shared" si="4"/>
        <v>4.3789001115486278E-3</v>
      </c>
    </row>
    <row r="1203" spans="1:3" ht="13.2" x14ac:dyDescent="0.25">
      <c r="A1203" s="6">
        <v>1201</v>
      </c>
      <c r="B1203" s="7">
        <v>104.77999877929599</v>
      </c>
      <c r="C1203" s="3">
        <f t="shared" si="4"/>
        <v>1.7231026934321745E-2</v>
      </c>
    </row>
    <row r="1204" spans="1:3" ht="13.2" x14ac:dyDescent="0.25">
      <c r="A1204" s="6">
        <v>1202</v>
      </c>
      <c r="B1204" s="7">
        <v>100.76000213623</v>
      </c>
      <c r="C1204" s="3">
        <f t="shared" si="4"/>
        <v>-3.9121429644331025E-2</v>
      </c>
    </row>
    <row r="1205" spans="1:3" ht="13.2" x14ac:dyDescent="0.25">
      <c r="A1205" s="6">
        <v>1203</v>
      </c>
      <c r="B1205" s="7">
        <v>101.120002746582</v>
      </c>
      <c r="C1205" s="3">
        <f t="shared" si="4"/>
        <v>3.5664848745766997E-3</v>
      </c>
    </row>
    <row r="1206" spans="1:3" ht="13.2" x14ac:dyDescent="0.25">
      <c r="A1206" s="6">
        <v>1204</v>
      </c>
      <c r="B1206" s="7">
        <v>101.169998168945</v>
      </c>
      <c r="C1206" s="3">
        <f t="shared" si="4"/>
        <v>4.9429455884783069E-4</v>
      </c>
    </row>
    <row r="1207" spans="1:3" ht="13.2" x14ac:dyDescent="0.25">
      <c r="A1207" s="6">
        <v>1205</v>
      </c>
      <c r="B1207" s="7">
        <v>100.56999969482401</v>
      </c>
      <c r="C1207" s="3">
        <f t="shared" si="4"/>
        <v>-5.9482526970792184E-3</v>
      </c>
    </row>
    <row r="1208" spans="1:3" ht="13.2" x14ac:dyDescent="0.25">
      <c r="A1208" s="6">
        <v>1206</v>
      </c>
      <c r="B1208" s="7">
        <v>102.970001220703</v>
      </c>
      <c r="C1208" s="3">
        <f t="shared" si="4"/>
        <v>2.3583696101672054E-2</v>
      </c>
    </row>
    <row r="1209" spans="1:3" ht="13.2" x14ac:dyDescent="0.25">
      <c r="A1209" s="6">
        <v>1207</v>
      </c>
      <c r="B1209" s="7">
        <v>104.730003356933</v>
      </c>
      <c r="C1209" s="3">
        <f t="shared" si="4"/>
        <v>1.6947946314669084E-2</v>
      </c>
    </row>
    <row r="1210" spans="1:3" ht="13.2" x14ac:dyDescent="0.25">
      <c r="A1210" s="6">
        <v>1208</v>
      </c>
      <c r="B1210" s="7">
        <v>105.08999633789</v>
      </c>
      <c r="C1210" s="3">
        <f t="shared" si="4"/>
        <v>3.4314491918688191E-3</v>
      </c>
    </row>
    <row r="1211" spans="1:3" ht="13.2" x14ac:dyDescent="0.25">
      <c r="A1211" s="6">
        <v>1209</v>
      </c>
      <c r="B1211" s="7">
        <v>106.059997558593</v>
      </c>
      <c r="C1211" s="3">
        <f t="shared" si="4"/>
        <v>9.187857659736209E-3</v>
      </c>
    </row>
    <row r="1212" spans="1:3" ht="13.2" x14ac:dyDescent="0.25">
      <c r="A1212" s="6">
        <v>1210</v>
      </c>
      <c r="B1212" s="7">
        <v>107.19000244140599</v>
      </c>
      <c r="C1212" s="3">
        <f t="shared" si="4"/>
        <v>1.0598034789990371E-2</v>
      </c>
    </row>
    <row r="1213" spans="1:3" ht="13.2" x14ac:dyDescent="0.25">
      <c r="A1213" s="6">
        <v>1211</v>
      </c>
      <c r="B1213" s="7">
        <v>105.470001220703</v>
      </c>
      <c r="C1213" s="3">
        <f t="shared" si="4"/>
        <v>-1.6176419617403747E-2</v>
      </c>
    </row>
    <row r="1214" spans="1:3" ht="13.2" x14ac:dyDescent="0.25">
      <c r="A1214" s="6">
        <v>1212</v>
      </c>
      <c r="B1214" s="7">
        <v>108.790000915527</v>
      </c>
      <c r="C1214" s="3">
        <f t="shared" si="4"/>
        <v>3.0992862986076491E-2</v>
      </c>
    </row>
    <row r="1215" spans="1:3" ht="13.2" x14ac:dyDescent="0.25">
      <c r="A1215" s="6">
        <v>1213</v>
      </c>
      <c r="B1215" s="7">
        <v>107.98999786376901</v>
      </c>
      <c r="C1215" s="3">
        <f t="shared" si="4"/>
        <v>-7.380816385615027E-3</v>
      </c>
    </row>
    <row r="1216" spans="1:3" ht="13.2" x14ac:dyDescent="0.25">
      <c r="A1216" s="6">
        <v>1214</v>
      </c>
      <c r="B1216" s="7">
        <v>106.449996948242</v>
      </c>
      <c r="C1216" s="3">
        <f t="shared" si="4"/>
        <v>-1.43632477918959E-2</v>
      </c>
    </row>
    <row r="1217" spans="1:3" ht="13.2" x14ac:dyDescent="0.25">
      <c r="A1217" s="6">
        <v>1215</v>
      </c>
      <c r="B1217" s="7">
        <v>103.51000213623</v>
      </c>
      <c r="C1217" s="3">
        <f t="shared" si="4"/>
        <v>-2.8007115637456031E-2</v>
      </c>
    </row>
    <row r="1218" spans="1:3" ht="13.2" x14ac:dyDescent="0.25">
      <c r="A1218" s="6">
        <v>1216</v>
      </c>
      <c r="B1218" s="7">
        <v>106</v>
      </c>
      <c r="C1218" s="3">
        <f t="shared" si="4"/>
        <v>2.3770847078499243E-2</v>
      </c>
    </row>
    <row r="1219" spans="1:3" ht="13.2" x14ac:dyDescent="0.25">
      <c r="A1219" s="6">
        <v>1217</v>
      </c>
      <c r="B1219" s="7">
        <v>104.11000061035099</v>
      </c>
      <c r="C1219" s="3">
        <f t="shared" si="4"/>
        <v>-1.7991055762846892E-2</v>
      </c>
    </row>
    <row r="1220" spans="1:3" ht="13.2" x14ac:dyDescent="0.25">
      <c r="A1220" s="6">
        <v>1218</v>
      </c>
      <c r="B1220" s="7">
        <v>106.470001220703</v>
      </c>
      <c r="C1220" s="3">
        <f t="shared" si="4"/>
        <v>2.2415228442523985E-2</v>
      </c>
    </row>
    <row r="1221" spans="1:3" ht="13.2" x14ac:dyDescent="0.25">
      <c r="A1221" s="6">
        <v>1219</v>
      </c>
      <c r="B1221" s="7">
        <v>105.01999664306599</v>
      </c>
      <c r="C1221" s="3">
        <f t="shared" si="4"/>
        <v>-1.371249054674311E-2</v>
      </c>
    </row>
    <row r="1222" spans="1:3" ht="13.2" x14ac:dyDescent="0.25">
      <c r="A1222" s="6">
        <v>1220</v>
      </c>
      <c r="B1222" s="7">
        <v>102.209999084472</v>
      </c>
      <c r="C1222" s="3">
        <f t="shared" si="4"/>
        <v>-2.7121264861339492E-2</v>
      </c>
    </row>
    <row r="1223" spans="1:3" ht="13.2" x14ac:dyDescent="0.25">
      <c r="A1223" s="6">
        <v>1221</v>
      </c>
      <c r="B1223" s="7">
        <v>99.300003051757798</v>
      </c>
      <c r="C1223" s="3">
        <f t="shared" si="4"/>
        <v>-2.8883909599828322E-2</v>
      </c>
    </row>
    <row r="1224" spans="1:3" ht="13.2" x14ac:dyDescent="0.25">
      <c r="A1224" s="6">
        <v>1222</v>
      </c>
      <c r="B1224" s="7">
        <v>101.639999389648</v>
      </c>
      <c r="C1224" s="3">
        <f t="shared" si="4"/>
        <v>2.3291550663092624E-2</v>
      </c>
    </row>
    <row r="1225" spans="1:3" ht="13.2" x14ac:dyDescent="0.25">
      <c r="A1225" s="6">
        <v>1223</v>
      </c>
      <c r="B1225" s="7">
        <v>101.150001525878</v>
      </c>
      <c r="C1225" s="3">
        <f t="shared" si="4"/>
        <v>-4.8325737478725102E-3</v>
      </c>
    </row>
    <row r="1226" spans="1:3" ht="13.2" x14ac:dyDescent="0.25">
      <c r="A1226" s="6">
        <v>1224</v>
      </c>
      <c r="B1226" s="7">
        <v>103.31999969482401</v>
      </c>
      <c r="C1226" s="3">
        <f t="shared" si="4"/>
        <v>2.1226386574889133E-2</v>
      </c>
    </row>
    <row r="1227" spans="1:3" ht="13.2" x14ac:dyDescent="0.25">
      <c r="A1227" s="6">
        <v>1225</v>
      </c>
      <c r="B1227" s="7">
        <v>100.389999389648</v>
      </c>
      <c r="C1227" s="3">
        <f t="shared" si="4"/>
        <v>-2.8768370650316104E-2</v>
      </c>
    </row>
    <row r="1228" spans="1:3" ht="13.2" x14ac:dyDescent="0.25">
      <c r="A1228" s="6">
        <v>1226</v>
      </c>
      <c r="B1228" s="7">
        <v>100.980003356933</v>
      </c>
      <c r="C1228" s="3">
        <f t="shared" si="4"/>
        <v>5.8599160506860037E-3</v>
      </c>
    </row>
    <row r="1229" spans="1:3" ht="13.2" x14ac:dyDescent="0.25">
      <c r="A1229" s="6">
        <v>1227</v>
      </c>
      <c r="B1229" s="7">
        <v>100.59999847412099</v>
      </c>
      <c r="C1229" s="3">
        <f t="shared" si="4"/>
        <v>-3.770268176456986E-3</v>
      </c>
    </row>
    <row r="1230" spans="1:3" ht="13.2" x14ac:dyDescent="0.25">
      <c r="A1230" s="6">
        <v>1228</v>
      </c>
      <c r="B1230" s="7">
        <v>99.25</v>
      </c>
      <c r="C1230" s="3">
        <f t="shared" si="4"/>
        <v>-1.3510322930555579E-2</v>
      </c>
    </row>
    <row r="1231" spans="1:3" ht="13.2" x14ac:dyDescent="0.25">
      <c r="A1231" s="6">
        <v>1229</v>
      </c>
      <c r="B1231" s="7">
        <v>99.970001220703097</v>
      </c>
      <c r="C1231" s="3">
        <f t="shared" si="4"/>
        <v>7.2282336224836121E-3</v>
      </c>
    </row>
    <row r="1232" spans="1:3" ht="13.2" x14ac:dyDescent="0.25">
      <c r="A1232" s="6">
        <v>1230</v>
      </c>
      <c r="B1232" s="7">
        <v>100.540000915527</v>
      </c>
      <c r="C1232" s="3">
        <f t="shared" si="4"/>
        <v>5.6855141807428088E-3</v>
      </c>
    </row>
    <row r="1233" spans="1:3" ht="13.2" x14ac:dyDescent="0.25">
      <c r="A1233" s="6">
        <v>1231</v>
      </c>
      <c r="B1233" s="7">
        <v>100.77999877929599</v>
      </c>
      <c r="C1233" s="3">
        <f t="shared" si="4"/>
        <v>2.3842437693636798E-3</v>
      </c>
    </row>
    <row r="1234" spans="1:3" ht="13.2" x14ac:dyDescent="0.25">
      <c r="A1234" s="6">
        <v>1232</v>
      </c>
      <c r="B1234" s="7">
        <v>102.809997558593</v>
      </c>
      <c r="C1234" s="3">
        <f t="shared" si="4"/>
        <v>1.9942689667951704E-2</v>
      </c>
    </row>
    <row r="1235" spans="1:3" ht="13.2" x14ac:dyDescent="0.25">
      <c r="A1235" s="6">
        <v>1233</v>
      </c>
      <c r="B1235" s="7">
        <v>103.16000366210901</v>
      </c>
      <c r="C1235" s="3">
        <f t="shared" si="4"/>
        <v>3.3986157046135964E-3</v>
      </c>
    </row>
    <row r="1236" spans="1:3" ht="13.2" x14ac:dyDescent="0.25">
      <c r="A1236" s="6">
        <v>1234</v>
      </c>
      <c r="B1236" s="7">
        <v>103.199996948242</v>
      </c>
      <c r="C1236" s="3">
        <f t="shared" si="4"/>
        <v>3.8760696370827955E-4</v>
      </c>
    </row>
    <row r="1237" spans="1:3" ht="13.2" x14ac:dyDescent="0.25">
      <c r="A1237" s="6">
        <v>1235</v>
      </c>
      <c r="B1237" s="7">
        <v>104.5</v>
      </c>
      <c r="C1237" s="3">
        <f t="shared" si="4"/>
        <v>1.2518247928702124E-2</v>
      </c>
    </row>
    <row r="1238" spans="1:3" ht="13.2" x14ac:dyDescent="0.25">
      <c r="A1238" s="6">
        <v>1236</v>
      </c>
      <c r="B1238" s="7">
        <v>106.02999877929599</v>
      </c>
      <c r="C1238" s="3">
        <f t="shared" si="4"/>
        <v>1.4534990020023794E-2</v>
      </c>
    </row>
    <row r="1239" spans="1:3" ht="13.2" x14ac:dyDescent="0.25">
      <c r="A1239" s="6">
        <v>1237</v>
      </c>
      <c r="B1239" s="7">
        <v>102.75</v>
      </c>
      <c r="C1239" s="3">
        <f t="shared" si="4"/>
        <v>-3.1423208048545599E-2</v>
      </c>
    </row>
    <row r="1240" spans="1:3" ht="13.2" x14ac:dyDescent="0.25">
      <c r="A1240" s="6">
        <v>1238</v>
      </c>
      <c r="B1240" s="7">
        <v>104.900001525878</v>
      </c>
      <c r="C1240" s="3">
        <f t="shared" si="4"/>
        <v>2.0708676571932177E-2</v>
      </c>
    </row>
    <row r="1241" spans="1:3" ht="13.2" x14ac:dyDescent="0.25">
      <c r="A1241" s="6">
        <v>1239</v>
      </c>
      <c r="B1241" s="7">
        <v>109.699996948242</v>
      </c>
      <c r="C1241" s="3">
        <f t="shared" si="4"/>
        <v>4.4741809513783225E-2</v>
      </c>
    </row>
    <row r="1242" spans="1:3" ht="13.2" x14ac:dyDescent="0.25">
      <c r="A1242" s="6">
        <v>1240</v>
      </c>
      <c r="B1242" s="7">
        <v>107.699996948242</v>
      </c>
      <c r="C1242" s="3">
        <f t="shared" si="4"/>
        <v>-1.8399783635445654E-2</v>
      </c>
    </row>
    <row r="1243" spans="1:3" ht="13.2" x14ac:dyDescent="0.25">
      <c r="A1243" s="6">
        <v>1241</v>
      </c>
      <c r="B1243" s="7">
        <v>112.680000305175</v>
      </c>
      <c r="C1243" s="3">
        <f t="shared" si="4"/>
        <v>4.5202389889891614E-2</v>
      </c>
    </row>
    <row r="1244" spans="1:3" ht="13.2" x14ac:dyDescent="0.25">
      <c r="A1244" s="6">
        <v>1242</v>
      </c>
      <c r="B1244" s="7">
        <v>111.400001525878</v>
      </c>
      <c r="C1244" s="3">
        <f t="shared" si="4"/>
        <v>-1.1424604526032632E-2</v>
      </c>
    </row>
    <row r="1245" spans="1:3" ht="13.2" x14ac:dyDescent="0.25">
      <c r="A1245" s="6">
        <v>1243</v>
      </c>
      <c r="B1245" s="7">
        <v>110</v>
      </c>
      <c r="C1245" s="3">
        <f t="shared" si="4"/>
        <v>-1.264697539805635E-2</v>
      </c>
    </row>
    <row r="1246" spans="1:3" ht="13.2" x14ac:dyDescent="0.25">
      <c r="A1246" s="6">
        <v>1244</v>
      </c>
      <c r="B1246" s="7">
        <v>112</v>
      </c>
      <c r="C1246" s="3">
        <f t="shared" si="4"/>
        <v>1.8018505502678212E-2</v>
      </c>
    </row>
    <row r="1247" spans="1:3" ht="13.2" x14ac:dyDescent="0.25">
      <c r="A1247" s="6">
        <v>1245</v>
      </c>
      <c r="B1247" s="7">
        <v>107.699996948242</v>
      </c>
      <c r="C1247" s="3">
        <f t="shared" si="4"/>
        <v>-3.9149315468480946E-2</v>
      </c>
    </row>
    <row r="1248" spans="1:3" ht="13.2" x14ac:dyDescent="0.25">
      <c r="A1248" s="6">
        <v>1246</v>
      </c>
      <c r="B1248" s="7">
        <v>109.94000244140599</v>
      </c>
      <c r="C1248" s="3">
        <f t="shared" si="4"/>
        <v>2.0585228812613168E-2</v>
      </c>
    </row>
    <row r="1249" spans="1:3" ht="13.2" x14ac:dyDescent="0.25">
      <c r="A1249" s="6">
        <v>1247</v>
      </c>
      <c r="B1249" s="7">
        <v>109.889999389648</v>
      </c>
      <c r="C1249" s="3">
        <f t="shared" si="4"/>
        <v>-4.5492473460280984E-4</v>
      </c>
    </row>
    <row r="1250" spans="1:3" ht="13.2" x14ac:dyDescent="0.25">
      <c r="A1250" s="6">
        <v>1248</v>
      </c>
      <c r="B1250" s="7">
        <v>106.98999786376901</v>
      </c>
      <c r="C1250" s="3">
        <f t="shared" si="4"/>
        <v>-2.6744507720750616E-2</v>
      </c>
    </row>
    <row r="1251" spans="1:3" ht="13.2" x14ac:dyDescent="0.25">
      <c r="A1251" s="6">
        <v>1249</v>
      </c>
      <c r="B1251" s="7">
        <v>107.27999877929599</v>
      </c>
      <c r="C1251" s="3">
        <f t="shared" si="4"/>
        <v>2.706875410877059E-3</v>
      </c>
    </row>
    <row r="1252" spans="1:3" ht="13.2" x14ac:dyDescent="0.25">
      <c r="A1252" s="6">
        <v>1250</v>
      </c>
      <c r="B1252" s="7">
        <v>109.16000366210901</v>
      </c>
      <c r="C1252" s="3">
        <f t="shared" si="4"/>
        <v>1.7372501793472283E-2</v>
      </c>
    </row>
    <row r="1253" spans="1:3" ht="13.2" x14ac:dyDescent="0.25">
      <c r="A1253" s="6">
        <v>1251</v>
      </c>
      <c r="B1253" s="7">
        <v>112.76999664306599</v>
      </c>
      <c r="C1253" s="3">
        <f t="shared" si="4"/>
        <v>3.2535587088003089E-2</v>
      </c>
    </row>
    <row r="1254" spans="1:3" ht="13.2" x14ac:dyDescent="0.25">
      <c r="A1254" s="6">
        <v>1252</v>
      </c>
      <c r="B1254" s="7">
        <v>110.169998168945</v>
      </c>
      <c r="C1254" s="3">
        <f t="shared" si="4"/>
        <v>-2.3325705744520846E-2</v>
      </c>
    </row>
    <row r="1255" spans="1:3" ht="13.2" x14ac:dyDescent="0.25">
      <c r="A1255" s="6">
        <v>1253</v>
      </c>
      <c r="B1255" s="7">
        <v>109.809997558593</v>
      </c>
      <c r="C1255" s="3">
        <f t="shared" si="4"/>
        <v>-3.2730333550947018E-3</v>
      </c>
    </row>
    <row r="1256" spans="1:3" ht="13.2" x14ac:dyDescent="0.25">
      <c r="A1256" s="6">
        <v>1254</v>
      </c>
      <c r="B1256" s="7">
        <v>109.27999877929599</v>
      </c>
      <c r="C1256" s="3">
        <f t="shared" si="4"/>
        <v>-4.8381927245548309E-3</v>
      </c>
    </row>
    <row r="1257" spans="1:3" ht="13.2" x14ac:dyDescent="0.25">
      <c r="A1257" s="6">
        <v>1255</v>
      </c>
      <c r="B1257" s="7">
        <v>109.120002746582</v>
      </c>
      <c r="C1257" s="3">
        <f t="shared" si="4"/>
        <v>-1.4651653866139423E-3</v>
      </c>
    </row>
    <row r="1258" spans="1:3" ht="13.2" x14ac:dyDescent="0.25">
      <c r="A1258" s="6">
        <v>1256</v>
      </c>
      <c r="B1258" s="7">
        <v>110.199996948242</v>
      </c>
      <c r="C1258" s="3">
        <f t="shared" si="4"/>
        <v>9.8486497604687376E-3</v>
      </c>
    </row>
    <row r="1259" spans="1:3" ht="13.2" x14ac:dyDescent="0.25">
      <c r="A1259" s="6">
        <v>1257</v>
      </c>
      <c r="B1259" s="7">
        <v>112.33999633789</v>
      </c>
      <c r="C1259" s="3">
        <f t="shared" si="4"/>
        <v>1.9233085479925052E-2</v>
      </c>
    </row>
    <row r="1260" spans="1:3" ht="13.2" x14ac:dyDescent="0.25">
      <c r="A1260" s="6">
        <v>1258</v>
      </c>
      <c r="B1260" s="7">
        <v>110.419998168945</v>
      </c>
      <c r="C1260" s="3">
        <f t="shared" si="4"/>
        <v>-1.7238694232575579E-2</v>
      </c>
    </row>
    <row r="1261" spans="1:3" ht="13.8" x14ac:dyDescent="0.3">
      <c r="A1261" s="1"/>
      <c r="B1261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261"/>
  <sheetViews>
    <sheetView workbookViewId="0"/>
  </sheetViews>
  <sheetFormatPr baseColWidth="10" defaultColWidth="12.6640625" defaultRowHeight="15.75" customHeight="1" x14ac:dyDescent="0.25"/>
  <cols>
    <col min="3" max="3" width="15.88671875" customWidth="1"/>
  </cols>
  <sheetData>
    <row r="1" spans="1:6" x14ac:dyDescent="0.25">
      <c r="A1" s="12"/>
      <c r="B1" s="10" t="s">
        <v>9</v>
      </c>
      <c r="C1" s="10" t="s">
        <v>10</v>
      </c>
      <c r="E1" s="4" t="s">
        <v>2</v>
      </c>
      <c r="F1" s="11">
        <f>AVERAGE(C:C)</f>
        <v>3.4343852163724262E-4</v>
      </c>
    </row>
    <row r="2" spans="1:6" x14ac:dyDescent="0.25">
      <c r="A2" s="6">
        <v>0</v>
      </c>
      <c r="B2" s="7">
        <v>110.01000213623</v>
      </c>
      <c r="E2" s="4" t="s">
        <v>3</v>
      </c>
      <c r="F2" s="11">
        <f>_xlfn.VAR.S(C:C)</f>
        <v>2.2409003598098797E-4</v>
      </c>
    </row>
    <row r="3" spans="1:6" x14ac:dyDescent="0.25">
      <c r="A3" s="6">
        <v>1</v>
      </c>
      <c r="B3" s="7">
        <v>107.699996948242</v>
      </c>
      <c r="C3" s="3">
        <f t="shared" ref="C3:C257" si="0">LN(B3/B2)</f>
        <v>-2.1221734343237941E-2</v>
      </c>
      <c r="E3" s="4" t="s">
        <v>4</v>
      </c>
      <c r="F3" s="11">
        <f>SQRT(F2)</f>
        <v>1.4969637135915752E-2</v>
      </c>
    </row>
    <row r="4" spans="1:6" x14ac:dyDescent="0.25">
      <c r="A4" s="6">
        <v>2</v>
      </c>
      <c r="B4" s="7">
        <v>107.139999389648</v>
      </c>
      <c r="C4" s="3">
        <f t="shared" si="0"/>
        <v>-5.2131710705699422E-3</v>
      </c>
    </row>
    <row r="5" spans="1:6" x14ac:dyDescent="0.25">
      <c r="A5" s="6">
        <v>3</v>
      </c>
      <c r="B5" s="7">
        <v>107.66000366210901</v>
      </c>
      <c r="C5" s="3">
        <f t="shared" si="0"/>
        <v>4.8417623922696112E-3</v>
      </c>
    </row>
    <row r="6" spans="1:6" x14ac:dyDescent="0.25">
      <c r="A6" s="6">
        <v>4</v>
      </c>
      <c r="B6" s="7">
        <v>108.25</v>
      </c>
      <c r="C6" s="3">
        <f t="shared" si="0"/>
        <v>5.4652197342859865E-3</v>
      </c>
    </row>
    <row r="7" spans="1:6" x14ac:dyDescent="0.25">
      <c r="A7" s="6">
        <v>5</v>
      </c>
      <c r="B7" s="7">
        <v>106.08000183105401</v>
      </c>
      <c r="C7" s="3">
        <f t="shared" si="0"/>
        <v>-2.02498231839798E-2</v>
      </c>
    </row>
    <row r="8" spans="1:6" x14ac:dyDescent="0.25">
      <c r="A8" s="6">
        <v>6</v>
      </c>
      <c r="B8" s="7">
        <v>105.709999084472</v>
      </c>
      <c r="C8" s="3">
        <f t="shared" si="0"/>
        <v>-3.494056578798851E-3</v>
      </c>
    </row>
    <row r="9" spans="1:6" x14ac:dyDescent="0.25">
      <c r="A9" s="6">
        <v>7</v>
      </c>
      <c r="B9" s="7">
        <v>109.449996948242</v>
      </c>
      <c r="C9" s="3">
        <f t="shared" si="0"/>
        <v>3.4768308966383187E-2</v>
      </c>
    </row>
    <row r="10" spans="1:6" x14ac:dyDescent="0.25">
      <c r="A10" s="6">
        <v>8</v>
      </c>
      <c r="B10" s="7">
        <v>109.58000183105401</v>
      </c>
      <c r="C10" s="3">
        <f t="shared" si="0"/>
        <v>1.1870967338122498E-3</v>
      </c>
    </row>
    <row r="11" spans="1:6" x14ac:dyDescent="0.25">
      <c r="A11" s="6">
        <v>9</v>
      </c>
      <c r="B11" s="7">
        <v>109.23999786376901</v>
      </c>
      <c r="C11" s="3">
        <f t="shared" si="0"/>
        <v>-3.1076157699035721E-3</v>
      </c>
    </row>
    <row r="12" spans="1:6" x14ac:dyDescent="0.25">
      <c r="A12" s="6">
        <v>10</v>
      </c>
      <c r="B12" s="7">
        <v>109.51000213623</v>
      </c>
      <c r="C12" s="3">
        <f t="shared" si="0"/>
        <v>2.4686117447235501E-3</v>
      </c>
    </row>
    <row r="13" spans="1:6" x14ac:dyDescent="0.25">
      <c r="A13" s="6">
        <v>11</v>
      </c>
      <c r="B13" s="7">
        <v>110.36000061035099</v>
      </c>
      <c r="C13" s="3">
        <f t="shared" si="0"/>
        <v>7.7318660847948773E-3</v>
      </c>
    </row>
    <row r="14" spans="1:6" x14ac:dyDescent="0.25">
      <c r="A14" s="6">
        <v>12</v>
      </c>
      <c r="B14" s="7">
        <v>110.73999786376901</v>
      </c>
      <c r="C14" s="3">
        <f t="shared" si="0"/>
        <v>3.4373372246808997E-3</v>
      </c>
    </row>
    <row r="15" spans="1:6" x14ac:dyDescent="0.25">
      <c r="A15" s="6">
        <v>13</v>
      </c>
      <c r="B15" s="7">
        <v>110.61000061035099</v>
      </c>
      <c r="C15" s="3">
        <f t="shared" si="0"/>
        <v>-1.1745856721035728E-3</v>
      </c>
    </row>
    <row r="16" spans="1:6" x14ac:dyDescent="0.25">
      <c r="A16" s="6">
        <v>14</v>
      </c>
      <c r="B16" s="7">
        <v>111.58999633789</v>
      </c>
      <c r="C16" s="3">
        <f t="shared" si="0"/>
        <v>8.8209009478547196E-3</v>
      </c>
    </row>
    <row r="17" spans="1:3" x14ac:dyDescent="0.25">
      <c r="A17" s="6">
        <v>15</v>
      </c>
      <c r="B17" s="7">
        <v>112.01000213623</v>
      </c>
      <c r="C17" s="3">
        <f t="shared" si="0"/>
        <v>3.7567647153642857E-3</v>
      </c>
    </row>
    <row r="18" spans="1:3" x14ac:dyDescent="0.25">
      <c r="A18" s="6">
        <v>16</v>
      </c>
      <c r="B18" s="7">
        <v>112.900001525878</v>
      </c>
      <c r="C18" s="3">
        <f t="shared" si="0"/>
        <v>7.91431257549461E-3</v>
      </c>
    </row>
    <row r="19" spans="1:3" x14ac:dyDescent="0.25">
      <c r="A19" s="6">
        <v>17</v>
      </c>
      <c r="B19" s="7">
        <v>113.129997253417</v>
      </c>
      <c r="C19" s="3">
        <f t="shared" si="0"/>
        <v>2.035090989339715E-3</v>
      </c>
    </row>
    <row r="20" spans="1:3" x14ac:dyDescent="0.25">
      <c r="A20" s="6">
        <v>18</v>
      </c>
      <c r="B20" s="7">
        <v>112.120002746582</v>
      </c>
      <c r="C20" s="3">
        <f t="shared" si="0"/>
        <v>-8.9678248668672231E-3</v>
      </c>
    </row>
    <row r="21" spans="1:3" x14ac:dyDescent="0.25">
      <c r="A21" s="6">
        <v>19</v>
      </c>
      <c r="B21" s="7">
        <v>112.400001525878</v>
      </c>
      <c r="C21" s="3">
        <f t="shared" si="0"/>
        <v>2.494200241623406E-3</v>
      </c>
    </row>
    <row r="22" spans="1:3" x14ac:dyDescent="0.25">
      <c r="A22" s="6">
        <v>20</v>
      </c>
      <c r="B22" s="7">
        <v>113.139999389648</v>
      </c>
      <c r="C22" s="3">
        <f t="shared" si="0"/>
        <v>6.5620334853305658E-3</v>
      </c>
    </row>
    <row r="23" spans="1:3" x14ac:dyDescent="0.25">
      <c r="A23" s="6">
        <v>21</v>
      </c>
      <c r="B23" s="7">
        <v>112.040000915527</v>
      </c>
      <c r="C23" s="3">
        <f t="shared" si="0"/>
        <v>-9.7700259570104673E-3</v>
      </c>
    </row>
    <row r="24" spans="1:3" x14ac:dyDescent="0.25">
      <c r="A24" s="6">
        <v>22</v>
      </c>
      <c r="B24" s="7">
        <v>113.050003051757</v>
      </c>
      <c r="C24" s="3">
        <f t="shared" si="0"/>
        <v>8.9742671553954476E-3</v>
      </c>
    </row>
    <row r="25" spans="1:3" x14ac:dyDescent="0.25">
      <c r="A25" s="6">
        <v>23</v>
      </c>
      <c r="B25" s="7">
        <v>112.669998168945</v>
      </c>
      <c r="C25" s="3">
        <f t="shared" si="0"/>
        <v>-3.3670497941452795E-3</v>
      </c>
    </row>
    <row r="26" spans="1:3" x14ac:dyDescent="0.25">
      <c r="A26" s="6">
        <v>24</v>
      </c>
      <c r="B26" s="7">
        <v>112.879997253417</v>
      </c>
      <c r="C26" s="3">
        <f t="shared" si="0"/>
        <v>1.8621072880871759E-3</v>
      </c>
    </row>
    <row r="27" spans="1:3" x14ac:dyDescent="0.25">
      <c r="A27" s="6">
        <v>25</v>
      </c>
      <c r="B27" s="7">
        <v>112.06999969482401</v>
      </c>
      <c r="C27" s="3">
        <f t="shared" si="0"/>
        <v>-7.2016098718219726E-3</v>
      </c>
    </row>
    <row r="28" spans="1:3" x14ac:dyDescent="0.25">
      <c r="A28" s="6">
        <v>26</v>
      </c>
      <c r="B28" s="7">
        <v>112.150001525878</v>
      </c>
      <c r="C28" s="3">
        <f t="shared" si="0"/>
        <v>7.1360123105320479E-4</v>
      </c>
    </row>
    <row r="29" spans="1:3" x14ac:dyDescent="0.25">
      <c r="A29" s="6">
        <v>27</v>
      </c>
      <c r="B29" s="7">
        <v>112.290000915527</v>
      </c>
      <c r="C29" s="3">
        <f t="shared" si="0"/>
        <v>1.2475441657785291E-3</v>
      </c>
    </row>
    <row r="30" spans="1:3" x14ac:dyDescent="0.25">
      <c r="A30" s="6">
        <v>28</v>
      </c>
      <c r="B30" s="7">
        <v>111.459999084472</v>
      </c>
      <c r="C30" s="3">
        <f t="shared" si="0"/>
        <v>-7.4190448102543381E-3</v>
      </c>
    </row>
    <row r="31" spans="1:3" x14ac:dyDescent="0.25">
      <c r="A31" s="6">
        <v>29</v>
      </c>
      <c r="B31" s="7">
        <v>111.309997558593</v>
      </c>
      <c r="C31" s="3">
        <f t="shared" si="0"/>
        <v>-1.3466943556981559E-3</v>
      </c>
    </row>
    <row r="32" spans="1:3" x14ac:dyDescent="0.25">
      <c r="A32" s="6">
        <v>30</v>
      </c>
      <c r="B32" s="7">
        <v>110.900001525878</v>
      </c>
      <c r="C32" s="3">
        <f t="shared" si="0"/>
        <v>-3.6901714563665295E-3</v>
      </c>
    </row>
    <row r="33" spans="1:3" x14ac:dyDescent="0.25">
      <c r="A33" s="6">
        <v>31</v>
      </c>
      <c r="B33" s="7">
        <v>110.91000366210901</v>
      </c>
      <c r="C33" s="3">
        <f t="shared" si="0"/>
        <v>9.0186520029239038E-5</v>
      </c>
    </row>
    <row r="34" spans="1:3" x14ac:dyDescent="0.25">
      <c r="A34" s="6">
        <v>32</v>
      </c>
      <c r="B34" s="7">
        <v>112.050003051757</v>
      </c>
      <c r="C34" s="3">
        <f t="shared" si="0"/>
        <v>1.0226132847212575E-2</v>
      </c>
    </row>
    <row r="35" spans="1:3" x14ac:dyDescent="0.25">
      <c r="A35" s="6">
        <v>33</v>
      </c>
      <c r="B35" s="7">
        <v>111.040000915527</v>
      </c>
      <c r="C35" s="3">
        <f t="shared" si="0"/>
        <v>-9.054722479093006E-3</v>
      </c>
    </row>
    <row r="36" spans="1:3" x14ac:dyDescent="0.25">
      <c r="A36" s="6">
        <v>34</v>
      </c>
      <c r="B36" s="7">
        <v>112.900001525878</v>
      </c>
      <c r="C36" s="3">
        <f t="shared" si="0"/>
        <v>1.6611979667407517E-2</v>
      </c>
    </row>
    <row r="37" spans="1:3" x14ac:dyDescent="0.25">
      <c r="A37" s="6">
        <v>35</v>
      </c>
      <c r="B37" s="7">
        <v>115.26999664306599</v>
      </c>
      <c r="C37" s="3">
        <f t="shared" si="0"/>
        <v>2.0774688819642759E-2</v>
      </c>
    </row>
    <row r="38" spans="1:3" x14ac:dyDescent="0.25">
      <c r="A38" s="6">
        <v>36</v>
      </c>
      <c r="B38" s="7">
        <v>114.050003051757</v>
      </c>
      <c r="C38" s="3">
        <f t="shared" si="0"/>
        <v>-1.0640198002105597E-2</v>
      </c>
    </row>
    <row r="39" spans="1:3" x14ac:dyDescent="0.25">
      <c r="A39" s="6">
        <v>37</v>
      </c>
      <c r="B39" s="7">
        <v>115</v>
      </c>
      <c r="C39" s="3">
        <f t="shared" si="0"/>
        <v>8.295152874791125E-3</v>
      </c>
    </row>
    <row r="40" spans="1:3" x14ac:dyDescent="0.25">
      <c r="A40" s="6">
        <v>38</v>
      </c>
      <c r="B40" s="7">
        <v>117.800003051757</v>
      </c>
      <c r="C40" s="3">
        <f t="shared" si="0"/>
        <v>2.405616876049237E-2</v>
      </c>
    </row>
    <row r="41" spans="1:3" x14ac:dyDescent="0.25">
      <c r="A41" s="6">
        <v>39</v>
      </c>
      <c r="B41" s="7">
        <v>116.69000244140599</v>
      </c>
      <c r="C41" s="3">
        <f t="shared" si="0"/>
        <v>-9.4674303835740273E-3</v>
      </c>
    </row>
    <row r="42" spans="1:3" x14ac:dyDescent="0.25">
      <c r="A42" s="6">
        <v>40</v>
      </c>
      <c r="B42" s="7">
        <v>117.040000915527</v>
      </c>
      <c r="C42" s="3">
        <f t="shared" si="0"/>
        <v>2.9948977940432841E-3</v>
      </c>
    </row>
    <row r="43" spans="1:3" x14ac:dyDescent="0.25">
      <c r="A43" s="6">
        <v>41</v>
      </c>
      <c r="B43" s="7">
        <v>115.36000061035099</v>
      </c>
      <c r="C43" s="3">
        <f t="shared" si="0"/>
        <v>-1.4458085706735362E-2</v>
      </c>
    </row>
    <row r="44" spans="1:3" x14ac:dyDescent="0.25">
      <c r="A44" s="6">
        <v>42</v>
      </c>
      <c r="B44" s="7">
        <v>114.879997253417</v>
      </c>
      <c r="C44" s="3">
        <f t="shared" si="0"/>
        <v>-4.1695974358406454E-3</v>
      </c>
    </row>
    <row r="45" spans="1:3" x14ac:dyDescent="0.25">
      <c r="A45" s="6">
        <v>43</v>
      </c>
      <c r="B45" s="7">
        <v>115.26000213623</v>
      </c>
      <c r="C45" s="3">
        <f t="shared" si="0"/>
        <v>3.3023831508945806E-3</v>
      </c>
    </row>
    <row r="46" spans="1:3" x14ac:dyDescent="0.25">
      <c r="A46" s="6">
        <v>44</v>
      </c>
      <c r="B46" s="7">
        <v>115.08000183105401</v>
      </c>
      <c r="C46" s="3">
        <f t="shared" si="0"/>
        <v>-1.5629099480430184E-3</v>
      </c>
    </row>
    <row r="47" spans="1:3" x14ac:dyDescent="0.25">
      <c r="A47" s="6">
        <v>45</v>
      </c>
      <c r="B47" s="7">
        <v>114.879997253417</v>
      </c>
      <c r="C47" s="3">
        <f t="shared" si="0"/>
        <v>-1.7394732028515965E-3</v>
      </c>
    </row>
    <row r="48" spans="1:3" x14ac:dyDescent="0.25">
      <c r="A48" s="6">
        <v>46</v>
      </c>
      <c r="B48" s="7">
        <v>114.879997253417</v>
      </c>
      <c r="C48" s="3">
        <f t="shared" si="0"/>
        <v>0</v>
      </c>
    </row>
    <row r="49" spans="1:3" x14ac:dyDescent="0.25">
      <c r="A49" s="6">
        <v>47</v>
      </c>
      <c r="B49" s="7">
        <v>115.51000213623</v>
      </c>
      <c r="C49" s="3">
        <f t="shared" si="0"/>
        <v>5.469043402849769E-3</v>
      </c>
    </row>
    <row r="50" spans="1:3" x14ac:dyDescent="0.25">
      <c r="A50" s="6">
        <v>48</v>
      </c>
      <c r="B50" s="7">
        <v>116.449996948242</v>
      </c>
      <c r="C50" s="3">
        <f t="shared" si="0"/>
        <v>8.1048453292691253E-3</v>
      </c>
    </row>
    <row r="51" spans="1:3" x14ac:dyDescent="0.25">
      <c r="A51" s="6">
        <v>49</v>
      </c>
      <c r="B51" s="7">
        <v>115.76999664306599</v>
      </c>
      <c r="C51" s="3">
        <f t="shared" si="0"/>
        <v>-5.8565349026973648E-3</v>
      </c>
    </row>
    <row r="52" spans="1:3" x14ac:dyDescent="0.25">
      <c r="A52" s="6">
        <v>50</v>
      </c>
      <c r="B52" s="7">
        <v>115.33999633789</v>
      </c>
      <c r="C52" s="3">
        <f t="shared" si="0"/>
        <v>-3.7211787843546749E-3</v>
      </c>
    </row>
    <row r="53" spans="1:3" x14ac:dyDescent="0.25">
      <c r="A53" s="6">
        <v>51</v>
      </c>
      <c r="B53" s="7">
        <v>114.809997558593</v>
      </c>
      <c r="C53" s="3">
        <f t="shared" si="0"/>
        <v>-4.6056895957413396E-3</v>
      </c>
    </row>
    <row r="54" spans="1:3" x14ac:dyDescent="0.25">
      <c r="A54" s="6">
        <v>52</v>
      </c>
      <c r="B54" s="7">
        <v>114.264999389648</v>
      </c>
      <c r="C54" s="3">
        <f t="shared" si="0"/>
        <v>-4.7582599976617058E-3</v>
      </c>
    </row>
    <row r="55" spans="1:3" x14ac:dyDescent="0.25">
      <c r="A55" s="6">
        <v>53</v>
      </c>
      <c r="B55" s="7">
        <v>113.76000213623</v>
      </c>
      <c r="C55" s="3">
        <f t="shared" si="0"/>
        <v>-4.4293220099758512E-3</v>
      </c>
    </row>
    <row r="56" spans="1:3" x14ac:dyDescent="0.25">
      <c r="A56" s="6">
        <v>54</v>
      </c>
      <c r="B56" s="7">
        <v>114.06999969482401</v>
      </c>
      <c r="C56" s="3">
        <f t="shared" si="0"/>
        <v>2.7213075311432596E-3</v>
      </c>
    </row>
    <row r="57" spans="1:3" x14ac:dyDescent="0.25">
      <c r="A57" s="6">
        <v>55</v>
      </c>
      <c r="B57" s="7">
        <v>114.26000213623</v>
      </c>
      <c r="C57" s="3">
        <f t="shared" si="0"/>
        <v>1.6642796280685536E-3</v>
      </c>
    </row>
    <row r="58" spans="1:3" x14ac:dyDescent="0.25">
      <c r="A58" s="6">
        <v>56</v>
      </c>
      <c r="B58" s="7">
        <v>113.620002746582</v>
      </c>
      <c r="C58" s="3">
        <f t="shared" si="0"/>
        <v>-5.6170006901522631E-3</v>
      </c>
    </row>
    <row r="59" spans="1:3" x14ac:dyDescent="0.25">
      <c r="A59" s="6">
        <v>57</v>
      </c>
      <c r="B59" s="7">
        <v>114.879997253417</v>
      </c>
      <c r="C59" s="3">
        <f t="shared" si="0"/>
        <v>1.1028510089252505E-2</v>
      </c>
    </row>
    <row r="60" spans="1:3" x14ac:dyDescent="0.25">
      <c r="A60" s="6">
        <v>58</v>
      </c>
      <c r="B60" s="7">
        <v>115.980003356933</v>
      </c>
      <c r="C60" s="3">
        <f t="shared" si="0"/>
        <v>9.529710000726407E-3</v>
      </c>
    </row>
    <row r="61" spans="1:3" x14ac:dyDescent="0.25">
      <c r="A61" s="6">
        <v>59</v>
      </c>
      <c r="B61" s="7">
        <v>116.709999084472</v>
      </c>
      <c r="C61" s="3">
        <f t="shared" si="0"/>
        <v>6.2744261874310954E-3</v>
      </c>
    </row>
    <row r="62" spans="1:3" x14ac:dyDescent="0.25">
      <c r="A62" s="6">
        <v>60</v>
      </c>
      <c r="B62" s="7">
        <v>116.26999664306599</v>
      </c>
      <c r="C62" s="3">
        <f t="shared" si="0"/>
        <v>-3.7771737711611644E-3</v>
      </c>
    </row>
    <row r="63" spans="1:3" x14ac:dyDescent="0.25">
      <c r="A63" s="6">
        <v>61</v>
      </c>
      <c r="B63" s="7">
        <v>119.58999633789</v>
      </c>
      <c r="C63" s="3">
        <f t="shared" si="0"/>
        <v>2.815415154987453E-2</v>
      </c>
    </row>
    <row r="64" spans="1:3" x14ac:dyDescent="0.25">
      <c r="A64" s="6">
        <v>62</v>
      </c>
      <c r="B64" s="7">
        <v>117.76000213623</v>
      </c>
      <c r="C64" s="3">
        <f t="shared" si="0"/>
        <v>-1.5420522237400347E-2</v>
      </c>
    </row>
    <row r="65" spans="1:3" x14ac:dyDescent="0.25">
      <c r="A65" s="6">
        <v>63</v>
      </c>
      <c r="B65" s="7">
        <v>118.02999877929599</v>
      </c>
      <c r="C65" s="3">
        <f t="shared" si="0"/>
        <v>2.2901459775518627E-3</v>
      </c>
    </row>
    <row r="66" spans="1:3" x14ac:dyDescent="0.25">
      <c r="A66" s="6">
        <v>64</v>
      </c>
      <c r="B66" s="7">
        <v>114.98500061035099</v>
      </c>
      <c r="C66" s="3">
        <f t="shared" si="0"/>
        <v>-2.6137128717280175E-2</v>
      </c>
    </row>
    <row r="67" spans="1:3" x14ac:dyDescent="0.25">
      <c r="A67" s="6">
        <v>65</v>
      </c>
      <c r="B67" s="7">
        <v>115.59999847412099</v>
      </c>
      <c r="C67" s="3">
        <f t="shared" si="0"/>
        <v>5.3342526572541099E-3</v>
      </c>
    </row>
    <row r="68" spans="1:3" x14ac:dyDescent="0.25">
      <c r="A68" s="6">
        <v>66</v>
      </c>
      <c r="B68" s="7">
        <v>115.86000061035099</v>
      </c>
      <c r="C68" s="3">
        <f t="shared" si="0"/>
        <v>2.2466278978509561E-3</v>
      </c>
    </row>
    <row r="69" spans="1:3" x14ac:dyDescent="0.25">
      <c r="A69" s="6">
        <v>67</v>
      </c>
      <c r="B69" s="7">
        <v>115.720001220703</v>
      </c>
      <c r="C69" s="3">
        <f t="shared" si="0"/>
        <v>-1.2090802797840032E-3</v>
      </c>
    </row>
    <row r="70" spans="1:3" x14ac:dyDescent="0.25">
      <c r="A70" s="6">
        <v>68</v>
      </c>
      <c r="B70" s="7">
        <v>115.180000305175</v>
      </c>
      <c r="C70" s="3">
        <f t="shared" si="0"/>
        <v>-4.677365928623646E-3</v>
      </c>
    </row>
    <row r="71" spans="1:3" x14ac:dyDescent="0.25">
      <c r="A71" s="6">
        <v>69</v>
      </c>
      <c r="B71" s="7">
        <v>117.449996948242</v>
      </c>
      <c r="C71" s="3">
        <f t="shared" si="0"/>
        <v>1.9516560393381364E-2</v>
      </c>
    </row>
    <row r="72" spans="1:3" x14ac:dyDescent="0.25">
      <c r="A72" s="6">
        <v>70</v>
      </c>
      <c r="B72" s="7">
        <v>118.01999664306599</v>
      </c>
      <c r="C72" s="3">
        <f t="shared" si="0"/>
        <v>4.8413880637938186E-3</v>
      </c>
    </row>
    <row r="73" spans="1:3" x14ac:dyDescent="0.25">
      <c r="A73" s="6">
        <v>71</v>
      </c>
      <c r="B73" s="7">
        <v>119</v>
      </c>
      <c r="C73" s="3">
        <f t="shared" si="0"/>
        <v>8.2694199262792999E-3</v>
      </c>
    </row>
    <row r="74" spans="1:3" x14ac:dyDescent="0.25">
      <c r="A74" s="6">
        <v>72</v>
      </c>
      <c r="B74" s="7">
        <v>120.290000915527</v>
      </c>
      <c r="C74" s="3">
        <f t="shared" si="0"/>
        <v>1.0782008505450311E-2</v>
      </c>
    </row>
    <row r="75" spans="1:3" x14ac:dyDescent="0.25">
      <c r="A75" s="6">
        <v>73</v>
      </c>
      <c r="B75" s="7">
        <v>120.095001220703</v>
      </c>
      <c r="C75" s="3">
        <f t="shared" si="0"/>
        <v>-1.622395206553969E-3</v>
      </c>
    </row>
    <row r="76" spans="1:3" x14ac:dyDescent="0.25">
      <c r="A76" s="6">
        <v>74</v>
      </c>
      <c r="B76" s="7">
        <v>120.98999786376901</v>
      </c>
      <c r="C76" s="3">
        <f t="shared" si="0"/>
        <v>7.4247734866998046E-3</v>
      </c>
    </row>
    <row r="77" spans="1:3" x14ac:dyDescent="0.25">
      <c r="A77" s="6">
        <v>75</v>
      </c>
      <c r="B77" s="7">
        <v>120.220001220703</v>
      </c>
      <c r="C77" s="3">
        <f t="shared" si="0"/>
        <v>-6.3844721322001106E-3</v>
      </c>
    </row>
    <row r="78" spans="1:3" x14ac:dyDescent="0.25">
      <c r="A78" s="6">
        <v>76</v>
      </c>
      <c r="B78" s="7">
        <v>119.129997253417</v>
      </c>
      <c r="C78" s="3">
        <f t="shared" si="0"/>
        <v>-9.1080970089987574E-3</v>
      </c>
    </row>
    <row r="79" spans="1:3" x14ac:dyDescent="0.25">
      <c r="A79" s="6">
        <v>77</v>
      </c>
      <c r="B79" s="7">
        <v>119.650001525878</v>
      </c>
      <c r="C79" s="3">
        <f t="shared" si="0"/>
        <v>4.3555163513012947E-3</v>
      </c>
    </row>
    <row r="80" spans="1:3" x14ac:dyDescent="0.25">
      <c r="A80" s="6">
        <v>78</v>
      </c>
      <c r="B80" s="7">
        <v>118.430000305175</v>
      </c>
      <c r="C80" s="3">
        <f t="shared" si="0"/>
        <v>-1.0248755796985668E-2</v>
      </c>
    </row>
    <row r="81" spans="1:3" x14ac:dyDescent="0.25">
      <c r="A81" s="6">
        <v>79</v>
      </c>
      <c r="B81" s="7">
        <v>119.51000213623</v>
      </c>
      <c r="C81" s="3">
        <f t="shared" si="0"/>
        <v>9.0779964434529632E-3</v>
      </c>
    </row>
    <row r="82" spans="1:3" x14ac:dyDescent="0.25">
      <c r="A82" s="6">
        <v>80</v>
      </c>
      <c r="B82" s="7">
        <v>119.26999664306599</v>
      </c>
      <c r="C82" s="3">
        <f t="shared" si="0"/>
        <v>-2.0102653087875721E-3</v>
      </c>
    </row>
    <row r="83" spans="1:3" x14ac:dyDescent="0.25">
      <c r="A83" s="6">
        <v>81</v>
      </c>
      <c r="B83" s="7">
        <v>117.33999633789</v>
      </c>
      <c r="C83" s="3">
        <f t="shared" si="0"/>
        <v>-1.6314130156585893E-2</v>
      </c>
    </row>
    <row r="84" spans="1:3" x14ac:dyDescent="0.25">
      <c r="A84" s="6">
        <v>82</v>
      </c>
      <c r="B84" s="7">
        <v>121.01999664306599</v>
      </c>
      <c r="C84" s="3">
        <f t="shared" si="0"/>
        <v>3.0880121167181789E-2</v>
      </c>
    </row>
    <row r="85" spans="1:3" x14ac:dyDescent="0.25">
      <c r="A85" s="6">
        <v>83</v>
      </c>
      <c r="B85" s="7">
        <v>118.169998168945</v>
      </c>
      <c r="C85" s="3">
        <f t="shared" si="0"/>
        <v>-2.3831543299671441E-2</v>
      </c>
    </row>
    <row r="86" spans="1:3" x14ac:dyDescent="0.25">
      <c r="A86" s="6">
        <v>84</v>
      </c>
      <c r="B86" s="7">
        <v>117.300003051757</v>
      </c>
      <c r="C86" s="3">
        <f t="shared" si="0"/>
        <v>-7.3894684797190776E-3</v>
      </c>
    </row>
    <row r="87" spans="1:3" x14ac:dyDescent="0.25">
      <c r="A87" s="6">
        <v>85</v>
      </c>
      <c r="B87" s="7">
        <v>116.36000061035099</v>
      </c>
      <c r="C87" s="3">
        <f t="shared" si="0"/>
        <v>-8.0459428037445904E-3</v>
      </c>
    </row>
    <row r="88" spans="1:3" x14ac:dyDescent="0.25">
      <c r="A88" s="6">
        <v>86</v>
      </c>
      <c r="B88" s="7">
        <v>112.669998168945</v>
      </c>
      <c r="C88" s="3">
        <f t="shared" si="0"/>
        <v>-3.2225662947780821E-2</v>
      </c>
    </row>
    <row r="89" spans="1:3" x14ac:dyDescent="0.25">
      <c r="A89" s="6">
        <v>87</v>
      </c>
      <c r="B89" s="7">
        <v>108.980003356933</v>
      </c>
      <c r="C89" s="3">
        <f t="shared" si="0"/>
        <v>-3.3298765966433545E-2</v>
      </c>
    </row>
    <row r="90" spans="1:3" x14ac:dyDescent="0.25">
      <c r="A90" s="6">
        <v>88</v>
      </c>
      <c r="B90" s="7">
        <v>109.58000183105401</v>
      </c>
      <c r="C90" s="3">
        <f t="shared" si="0"/>
        <v>5.490482861861613E-3</v>
      </c>
    </row>
    <row r="91" spans="1:3" x14ac:dyDescent="0.25">
      <c r="A91" s="6">
        <v>89</v>
      </c>
      <c r="B91" s="7">
        <v>108.169998168945</v>
      </c>
      <c r="C91" s="3">
        <f t="shared" si="0"/>
        <v>-1.2950846105385596E-2</v>
      </c>
    </row>
    <row r="92" spans="1:3" x14ac:dyDescent="0.25">
      <c r="A92" s="6">
        <v>90</v>
      </c>
      <c r="B92" s="7">
        <v>110.129997253417</v>
      </c>
      <c r="C92" s="3">
        <f t="shared" si="0"/>
        <v>1.7957414522759445E-2</v>
      </c>
    </row>
    <row r="93" spans="1:3" x14ac:dyDescent="0.25">
      <c r="A93" s="6">
        <v>91</v>
      </c>
      <c r="B93" s="7">
        <v>108.91000366210901</v>
      </c>
      <c r="C93" s="3">
        <f t="shared" si="0"/>
        <v>-1.1139574524701252E-2</v>
      </c>
    </row>
    <row r="94" spans="1:3" x14ac:dyDescent="0.25">
      <c r="A94" s="6">
        <v>92</v>
      </c>
      <c r="B94" s="7">
        <v>108.449996948242</v>
      </c>
      <c r="C94" s="3">
        <f t="shared" si="0"/>
        <v>-4.2326775795751585E-3</v>
      </c>
    </row>
    <row r="95" spans="1:3" x14ac:dyDescent="0.25">
      <c r="A95" s="6">
        <v>93</v>
      </c>
      <c r="B95" s="7">
        <v>102.470001220703</v>
      </c>
      <c r="C95" s="3">
        <f t="shared" si="0"/>
        <v>-5.671912440870281E-2</v>
      </c>
    </row>
    <row r="96" spans="1:3" x14ac:dyDescent="0.25">
      <c r="A96" s="6">
        <v>94</v>
      </c>
      <c r="B96" s="7">
        <v>101.59999847412099</v>
      </c>
      <c r="C96" s="3">
        <f t="shared" si="0"/>
        <v>-8.5265645985233927E-3</v>
      </c>
    </row>
    <row r="97" spans="1:3" x14ac:dyDescent="0.25">
      <c r="A97" s="6">
        <v>95</v>
      </c>
      <c r="B97" s="7">
        <v>101.480003356933</v>
      </c>
      <c r="C97" s="3">
        <f t="shared" si="0"/>
        <v>-1.1817523150569672E-3</v>
      </c>
    </row>
    <row r="98" spans="1:3" x14ac:dyDescent="0.25">
      <c r="A98" s="6">
        <v>96</v>
      </c>
      <c r="B98" s="7">
        <v>97.459999084472599</v>
      </c>
      <c r="C98" s="3">
        <f t="shared" si="0"/>
        <v>-4.0419739789348659E-2</v>
      </c>
    </row>
    <row r="99" spans="1:3" x14ac:dyDescent="0.25">
      <c r="A99" s="6">
        <v>97</v>
      </c>
      <c r="B99" s="7">
        <v>102.76999664306599</v>
      </c>
      <c r="C99" s="3">
        <f t="shared" si="0"/>
        <v>5.3051420950967064E-2</v>
      </c>
    </row>
    <row r="100" spans="1:3" x14ac:dyDescent="0.25">
      <c r="A100" s="6">
        <v>98</v>
      </c>
      <c r="B100" s="7">
        <v>107.919998168945</v>
      </c>
      <c r="C100" s="3">
        <f t="shared" si="0"/>
        <v>4.8896745960270674E-2</v>
      </c>
    </row>
    <row r="101" spans="1:3" x14ac:dyDescent="0.25">
      <c r="A101" s="6">
        <v>99</v>
      </c>
      <c r="B101" s="7">
        <v>102.980003356933</v>
      </c>
      <c r="C101" s="3">
        <f t="shared" si="0"/>
        <v>-4.6855367716812354E-2</v>
      </c>
    </row>
    <row r="102" spans="1:3" x14ac:dyDescent="0.25">
      <c r="A102" s="6">
        <v>100</v>
      </c>
      <c r="B102" s="7">
        <v>104.31999969482401</v>
      </c>
      <c r="C102" s="3">
        <f t="shared" si="0"/>
        <v>1.2928268037052493E-2</v>
      </c>
    </row>
    <row r="103" spans="1:3" x14ac:dyDescent="0.25">
      <c r="A103" s="6">
        <v>101</v>
      </c>
      <c r="B103" s="7">
        <v>100.81999969482401</v>
      </c>
      <c r="C103" s="3">
        <f t="shared" si="0"/>
        <v>-3.4126349625413714E-2</v>
      </c>
    </row>
    <row r="104" spans="1:3" x14ac:dyDescent="0.25">
      <c r="A104" s="6">
        <v>102</v>
      </c>
      <c r="B104" s="7">
        <v>96.599998474121094</v>
      </c>
      <c r="C104" s="3">
        <f t="shared" si="0"/>
        <v>-4.2758020204921442E-2</v>
      </c>
    </row>
    <row r="105" spans="1:3" x14ac:dyDescent="0.25">
      <c r="A105" s="6">
        <v>103</v>
      </c>
      <c r="B105" s="7">
        <v>96.629997253417898</v>
      </c>
      <c r="C105" s="3">
        <f t="shared" si="0"/>
        <v>3.1049816489277346E-4</v>
      </c>
    </row>
    <row r="106" spans="1:3" x14ac:dyDescent="0.25">
      <c r="A106" s="6">
        <v>104</v>
      </c>
      <c r="B106" s="7">
        <v>98.110000610351506</v>
      </c>
      <c r="C106" s="3">
        <f t="shared" si="0"/>
        <v>1.5200080808876146E-2</v>
      </c>
    </row>
    <row r="107" spans="1:3" x14ac:dyDescent="0.25">
      <c r="A107" s="6">
        <v>105</v>
      </c>
      <c r="B107" s="7">
        <v>96.559997558593693</v>
      </c>
      <c r="C107" s="3">
        <f t="shared" si="0"/>
        <v>-1.5924752890944159E-2</v>
      </c>
    </row>
    <row r="108" spans="1:3" x14ac:dyDescent="0.25">
      <c r="A108" s="6">
        <v>106</v>
      </c>
      <c r="B108" s="7">
        <v>90.559997558593693</v>
      </c>
      <c r="C108" s="3">
        <f t="shared" si="0"/>
        <v>-6.4151964009568477E-2</v>
      </c>
    </row>
    <row r="109" spans="1:3" x14ac:dyDescent="0.25">
      <c r="A109" s="6">
        <v>107</v>
      </c>
      <c r="B109" s="7">
        <v>95.080001831054602</v>
      </c>
      <c r="C109" s="3">
        <f t="shared" si="0"/>
        <v>4.8706074254154116E-2</v>
      </c>
    </row>
    <row r="110" spans="1:3" x14ac:dyDescent="0.25">
      <c r="A110" s="6">
        <v>108</v>
      </c>
      <c r="B110" s="7">
        <v>95.650001525878906</v>
      </c>
      <c r="C110" s="3">
        <f t="shared" si="0"/>
        <v>5.9770500889601121E-3</v>
      </c>
    </row>
    <row r="111" spans="1:3" x14ac:dyDescent="0.25">
      <c r="A111" s="6">
        <v>109</v>
      </c>
      <c r="B111" s="7">
        <v>92.510002136230398</v>
      </c>
      <c r="C111" s="3">
        <f t="shared" si="0"/>
        <v>-3.337894196388147E-2</v>
      </c>
    </row>
    <row r="112" spans="1:3" x14ac:dyDescent="0.25">
      <c r="A112" s="6">
        <v>110</v>
      </c>
      <c r="B112" s="7">
        <v>95.800003051757798</v>
      </c>
      <c r="C112" s="3">
        <f t="shared" si="0"/>
        <v>3.4945946957210552E-2</v>
      </c>
    </row>
    <row r="113" spans="1:3" x14ac:dyDescent="0.25">
      <c r="A113" s="6">
        <v>111</v>
      </c>
      <c r="B113" s="7">
        <v>94.889999389648395</v>
      </c>
      <c r="C113" s="3">
        <f t="shared" si="0"/>
        <v>-9.5443972788581116E-3</v>
      </c>
    </row>
    <row r="114" spans="1:3" x14ac:dyDescent="0.25">
      <c r="A114" s="6">
        <v>112</v>
      </c>
      <c r="B114" s="7">
        <v>99.480003356933594</v>
      </c>
      <c r="C114" s="3">
        <f t="shared" si="0"/>
        <v>4.7238333126546801E-2</v>
      </c>
    </row>
    <row r="115" spans="1:3" x14ac:dyDescent="0.25">
      <c r="A115" s="6">
        <v>113</v>
      </c>
      <c r="B115" s="7">
        <v>99.819999694824205</v>
      </c>
      <c r="C115" s="3">
        <f t="shared" si="0"/>
        <v>3.4119083041899184E-3</v>
      </c>
    </row>
    <row r="116" spans="1:3" x14ac:dyDescent="0.25">
      <c r="A116" s="6">
        <v>114</v>
      </c>
      <c r="B116" s="7">
        <v>100.870002746582</v>
      </c>
      <c r="C116" s="3">
        <f t="shared" si="0"/>
        <v>1.0464025311469881E-2</v>
      </c>
    </row>
    <row r="117" spans="1:3" x14ac:dyDescent="0.25">
      <c r="A117" s="6">
        <v>115</v>
      </c>
      <c r="B117" s="7">
        <v>101.31999969482401</v>
      </c>
      <c r="C117" s="3">
        <f t="shared" si="0"/>
        <v>4.4512358258009315E-3</v>
      </c>
    </row>
    <row r="118" spans="1:3" x14ac:dyDescent="0.25">
      <c r="A118" s="6">
        <v>116</v>
      </c>
      <c r="B118" s="7">
        <v>102.19000244140599</v>
      </c>
      <c r="C118" s="3">
        <f t="shared" si="0"/>
        <v>8.5500273934948582E-3</v>
      </c>
    </row>
    <row r="119" spans="1:3" x14ac:dyDescent="0.25">
      <c r="A119" s="6">
        <v>117</v>
      </c>
      <c r="B119" s="7">
        <v>101.480003356933</v>
      </c>
      <c r="C119" s="3">
        <f t="shared" si="0"/>
        <v>-6.9720817041374417E-3</v>
      </c>
    </row>
    <row r="120" spans="1:3" x14ac:dyDescent="0.25">
      <c r="A120" s="6">
        <v>118</v>
      </c>
      <c r="B120" s="7">
        <v>100.66000366210901</v>
      </c>
      <c r="C120" s="3">
        <f t="shared" si="0"/>
        <v>-8.1132300816413334E-3</v>
      </c>
    </row>
    <row r="121" spans="1:3" x14ac:dyDescent="0.25">
      <c r="A121" s="6">
        <v>119</v>
      </c>
      <c r="B121" s="7">
        <v>99.580001831054602</v>
      </c>
      <c r="C121" s="3">
        <f t="shared" si="0"/>
        <v>-1.0787178127377768E-2</v>
      </c>
    </row>
    <row r="122" spans="1:3" x14ac:dyDescent="0.25">
      <c r="A122" s="6">
        <v>120</v>
      </c>
      <c r="B122" s="7">
        <v>98.650001525878906</v>
      </c>
      <c r="C122" s="3">
        <f t="shared" si="0"/>
        <v>-9.3831116655852514E-3</v>
      </c>
    </row>
    <row r="123" spans="1:3" x14ac:dyDescent="0.25">
      <c r="A123" s="6">
        <v>121</v>
      </c>
      <c r="B123" s="7">
        <v>97.650001525878906</v>
      </c>
      <c r="C123" s="3">
        <f t="shared" si="0"/>
        <v>-1.0188574987538002E-2</v>
      </c>
    </row>
    <row r="124" spans="1:3" x14ac:dyDescent="0.25">
      <c r="A124" s="6">
        <v>122</v>
      </c>
      <c r="B124" s="7">
        <v>99.169998168945298</v>
      </c>
      <c r="C124" s="3">
        <f t="shared" si="0"/>
        <v>1.5445857785549204E-2</v>
      </c>
    </row>
    <row r="125" spans="1:3" x14ac:dyDescent="0.25">
      <c r="A125" s="6">
        <v>123</v>
      </c>
      <c r="B125" s="7">
        <v>97.779998779296804</v>
      </c>
      <c r="C125" s="3">
        <f t="shared" si="0"/>
        <v>-1.4115486067918365E-2</v>
      </c>
    </row>
    <row r="126" spans="1:3" x14ac:dyDescent="0.25">
      <c r="A126" s="6">
        <v>124</v>
      </c>
      <c r="B126" s="7">
        <v>97.440002441406193</v>
      </c>
      <c r="C126" s="3">
        <f t="shared" si="0"/>
        <v>-3.4832156492497542E-3</v>
      </c>
    </row>
    <row r="127" spans="1:3" x14ac:dyDescent="0.25">
      <c r="A127" s="6">
        <v>125</v>
      </c>
      <c r="B127" s="7">
        <v>97.930000305175696</v>
      </c>
      <c r="C127" s="3">
        <f t="shared" si="0"/>
        <v>5.0161118318978312E-3</v>
      </c>
    </row>
    <row r="128" spans="1:3" x14ac:dyDescent="0.25">
      <c r="A128" s="6">
        <v>126</v>
      </c>
      <c r="B128" s="7">
        <v>99.470001220703097</v>
      </c>
      <c r="C128" s="3">
        <f t="shared" si="0"/>
        <v>1.5603162587428795E-2</v>
      </c>
    </row>
    <row r="129" spans="1:3" x14ac:dyDescent="0.25">
      <c r="A129" s="6">
        <v>127</v>
      </c>
      <c r="B129" s="7">
        <v>99.5</v>
      </c>
      <c r="C129" s="3">
        <f t="shared" si="0"/>
        <v>3.0154072815167832E-4</v>
      </c>
    </row>
    <row r="130" spans="1:3" x14ac:dyDescent="0.25">
      <c r="A130" s="6">
        <v>128</v>
      </c>
      <c r="B130" s="7">
        <v>97.099998474121094</v>
      </c>
      <c r="C130" s="3">
        <f t="shared" si="0"/>
        <v>-2.4416284581777858E-2</v>
      </c>
    </row>
    <row r="131" spans="1:3" x14ac:dyDescent="0.25">
      <c r="A131" s="6">
        <v>129</v>
      </c>
      <c r="B131" s="7">
        <v>94.980003356933594</v>
      </c>
      <c r="C131" s="3">
        <f t="shared" si="0"/>
        <v>-2.2074981118210303E-2</v>
      </c>
    </row>
    <row r="132" spans="1:3" x14ac:dyDescent="0.25">
      <c r="A132" s="6">
        <v>130</v>
      </c>
      <c r="B132" s="7">
        <v>95.260002136230398</v>
      </c>
      <c r="C132" s="3">
        <f t="shared" si="0"/>
        <v>2.9436393334164334E-3</v>
      </c>
    </row>
    <row r="133" spans="1:3" x14ac:dyDescent="0.25">
      <c r="A133" s="6">
        <v>131</v>
      </c>
      <c r="B133" s="7">
        <v>94.620002746582003</v>
      </c>
      <c r="C133" s="3">
        <f t="shared" si="0"/>
        <v>-6.7411185674743392E-3</v>
      </c>
    </row>
    <row r="134" spans="1:3" x14ac:dyDescent="0.25">
      <c r="A134" s="6">
        <v>132</v>
      </c>
      <c r="B134" s="7">
        <v>92.720001220703097</v>
      </c>
      <c r="C134" s="3">
        <f t="shared" si="0"/>
        <v>-2.0284687033527201E-2</v>
      </c>
    </row>
    <row r="135" spans="1:3" x14ac:dyDescent="0.25">
      <c r="A135" s="6">
        <v>133</v>
      </c>
      <c r="B135" s="7">
        <v>95.569999694824205</v>
      </c>
      <c r="C135" s="3">
        <f t="shared" si="0"/>
        <v>3.0274747887896962E-2</v>
      </c>
    </row>
    <row r="136" spans="1:3" x14ac:dyDescent="0.25">
      <c r="A136" s="6">
        <v>134</v>
      </c>
      <c r="B136" s="7">
        <v>96.610000610351506</v>
      </c>
      <c r="C136" s="3">
        <f t="shared" si="0"/>
        <v>1.0823301762231868E-2</v>
      </c>
    </row>
    <row r="137" spans="1:3" x14ac:dyDescent="0.25">
      <c r="A137" s="6">
        <v>135</v>
      </c>
      <c r="B137" s="7">
        <v>97.870002746582003</v>
      </c>
      <c r="C137" s="3">
        <f t="shared" si="0"/>
        <v>1.2957833654199216E-2</v>
      </c>
    </row>
    <row r="138" spans="1:3" x14ac:dyDescent="0.25">
      <c r="A138" s="6">
        <v>136</v>
      </c>
      <c r="B138" s="7">
        <v>93.580001831054602</v>
      </c>
      <c r="C138" s="3">
        <f t="shared" si="0"/>
        <v>-4.4823390496501796E-2</v>
      </c>
    </row>
    <row r="139" spans="1:3" x14ac:dyDescent="0.25">
      <c r="A139" s="6">
        <v>137</v>
      </c>
      <c r="B139" s="7">
        <v>91.779998779296804</v>
      </c>
      <c r="C139" s="3">
        <f t="shared" si="0"/>
        <v>-1.9422309338430921E-2</v>
      </c>
    </row>
    <row r="140" spans="1:3" x14ac:dyDescent="0.25">
      <c r="A140" s="6">
        <v>138</v>
      </c>
      <c r="B140" s="7">
        <v>93.279998779296804</v>
      </c>
      <c r="C140" s="3">
        <f t="shared" si="0"/>
        <v>1.6211313849372223E-2</v>
      </c>
    </row>
    <row r="141" spans="1:3" x14ac:dyDescent="0.25">
      <c r="A141" s="6">
        <v>139</v>
      </c>
      <c r="B141" s="7">
        <v>96.089996337890597</v>
      </c>
      <c r="C141" s="3">
        <f t="shared" si="0"/>
        <v>2.9679504662190638E-2</v>
      </c>
    </row>
    <row r="142" spans="1:3" x14ac:dyDescent="0.25">
      <c r="A142" s="6">
        <v>140</v>
      </c>
      <c r="B142" s="7">
        <v>92.819999694824205</v>
      </c>
      <c r="C142" s="3">
        <f t="shared" si="0"/>
        <v>-3.4623083652726032E-2</v>
      </c>
    </row>
    <row r="143" spans="1:3" x14ac:dyDescent="0.25">
      <c r="A143" s="6">
        <v>141</v>
      </c>
      <c r="B143" s="7">
        <v>92.769996643066406</v>
      </c>
      <c r="C143" s="3">
        <f t="shared" si="0"/>
        <v>-5.3885504557790352E-4</v>
      </c>
    </row>
    <row r="144" spans="1:3" x14ac:dyDescent="0.25">
      <c r="A144" s="6">
        <v>142</v>
      </c>
      <c r="B144" s="7">
        <v>92.440002441406193</v>
      </c>
      <c r="C144" s="3">
        <f t="shared" si="0"/>
        <v>-3.5634636627368253E-3</v>
      </c>
    </row>
    <row r="145" spans="1:3" x14ac:dyDescent="0.25">
      <c r="A145" s="6">
        <v>143</v>
      </c>
      <c r="B145" s="7">
        <v>91.489997863769503</v>
      </c>
      <c r="C145" s="3">
        <f t="shared" si="0"/>
        <v>-1.033015847478096E-2</v>
      </c>
    </row>
    <row r="146" spans="1:3" x14ac:dyDescent="0.25">
      <c r="A146" s="6">
        <v>144</v>
      </c>
      <c r="B146" s="7">
        <v>91.620002746582003</v>
      </c>
      <c r="C146" s="3">
        <f t="shared" si="0"/>
        <v>1.4199650944595971E-3</v>
      </c>
    </row>
    <row r="147" spans="1:3" x14ac:dyDescent="0.25">
      <c r="A147" s="6">
        <v>145</v>
      </c>
      <c r="B147" s="7">
        <v>92.949996948242102</v>
      </c>
      <c r="C147" s="3">
        <f t="shared" si="0"/>
        <v>1.4412062898629879E-2</v>
      </c>
    </row>
    <row r="148" spans="1:3" x14ac:dyDescent="0.25">
      <c r="A148" s="6">
        <v>146</v>
      </c>
      <c r="B148" s="7">
        <v>96.129997253417898</v>
      </c>
      <c r="C148" s="3">
        <f t="shared" si="0"/>
        <v>3.36397321709851E-2</v>
      </c>
    </row>
    <row r="149" spans="1:3" x14ac:dyDescent="0.25">
      <c r="A149" s="6">
        <v>147</v>
      </c>
      <c r="B149" s="7">
        <v>94.089996337890597</v>
      </c>
      <c r="C149" s="3">
        <f t="shared" si="0"/>
        <v>-2.1449681408856832E-2</v>
      </c>
    </row>
    <row r="150" spans="1:3" x14ac:dyDescent="0.25">
      <c r="A150" s="6">
        <v>148</v>
      </c>
      <c r="B150" s="7">
        <v>96.790000915527301</v>
      </c>
      <c r="C150" s="3">
        <f t="shared" si="0"/>
        <v>2.8291960522573045E-2</v>
      </c>
    </row>
    <row r="151" spans="1:3" x14ac:dyDescent="0.25">
      <c r="A151" s="6">
        <v>149</v>
      </c>
      <c r="B151" s="7">
        <v>95.349998474121094</v>
      </c>
      <c r="C151" s="3">
        <f t="shared" si="0"/>
        <v>-1.4989376576398141E-2</v>
      </c>
    </row>
    <row r="152" spans="1:3" x14ac:dyDescent="0.25">
      <c r="A152" s="6">
        <v>150</v>
      </c>
      <c r="B152" s="7">
        <v>97.040000915527301</v>
      </c>
      <c r="C152" s="3">
        <f t="shared" si="0"/>
        <v>1.756895802682697E-2</v>
      </c>
    </row>
    <row r="153" spans="1:3" x14ac:dyDescent="0.25">
      <c r="A153" s="6">
        <v>151</v>
      </c>
      <c r="B153" s="7">
        <v>98.449996948242102</v>
      </c>
      <c r="C153" s="3">
        <f t="shared" si="0"/>
        <v>1.4425500016755374E-2</v>
      </c>
    </row>
    <row r="154" spans="1:3" x14ac:dyDescent="0.25">
      <c r="A154" s="6">
        <v>152</v>
      </c>
      <c r="B154" s="7">
        <v>96.959999084472599</v>
      </c>
      <c r="C154" s="3">
        <f t="shared" si="0"/>
        <v>-1.5250261208401571E-2</v>
      </c>
    </row>
    <row r="155" spans="1:3" x14ac:dyDescent="0.25">
      <c r="A155" s="6">
        <v>153</v>
      </c>
      <c r="B155" s="7">
        <v>100.02999877929599</v>
      </c>
      <c r="C155" s="3">
        <f t="shared" si="0"/>
        <v>3.1171615915026547E-2</v>
      </c>
    </row>
    <row r="156" spans="1:3" x14ac:dyDescent="0.25">
      <c r="A156" s="6">
        <v>154</v>
      </c>
      <c r="B156" s="7">
        <v>103.620002746582</v>
      </c>
      <c r="C156" s="3">
        <f t="shared" si="0"/>
        <v>3.5260259099224006E-2</v>
      </c>
    </row>
    <row r="157" spans="1:3" x14ac:dyDescent="0.25">
      <c r="A157" s="6">
        <v>155</v>
      </c>
      <c r="B157" s="7">
        <v>101.550003051757</v>
      </c>
      <c r="C157" s="3">
        <f t="shared" si="0"/>
        <v>-2.0179069814773225E-2</v>
      </c>
    </row>
    <row r="158" spans="1:3" x14ac:dyDescent="0.25">
      <c r="A158" s="6">
        <v>156</v>
      </c>
      <c r="B158" s="7">
        <v>98.019996643066406</v>
      </c>
      <c r="C158" s="3">
        <f t="shared" si="0"/>
        <v>-3.5379812844195141E-2</v>
      </c>
    </row>
    <row r="159" spans="1:3" x14ac:dyDescent="0.25">
      <c r="A159" s="6">
        <v>157</v>
      </c>
      <c r="B159" s="7">
        <v>95.860000610351506</v>
      </c>
      <c r="C159" s="3">
        <f t="shared" si="0"/>
        <v>-2.228270513536695E-2</v>
      </c>
    </row>
    <row r="160" spans="1:3" x14ac:dyDescent="0.25">
      <c r="A160" s="6">
        <v>158</v>
      </c>
      <c r="B160" s="7">
        <v>98.720001220703097</v>
      </c>
      <c r="C160" s="3">
        <f t="shared" si="0"/>
        <v>2.9398772423785791E-2</v>
      </c>
    </row>
    <row r="161" spans="1:3" x14ac:dyDescent="0.25">
      <c r="A161" s="6">
        <v>159</v>
      </c>
      <c r="B161" s="7">
        <v>97.209999084472599</v>
      </c>
      <c r="C161" s="3">
        <f t="shared" si="0"/>
        <v>-1.5413995107444211E-2</v>
      </c>
    </row>
    <row r="162" spans="1:3" x14ac:dyDescent="0.25">
      <c r="A162" s="6">
        <v>160</v>
      </c>
      <c r="B162" s="7">
        <v>100.559997558593</v>
      </c>
      <c r="C162" s="3">
        <f t="shared" si="0"/>
        <v>3.3880962588938787E-2</v>
      </c>
    </row>
    <row r="163" spans="1:3" x14ac:dyDescent="0.25">
      <c r="A163" s="6">
        <v>161</v>
      </c>
      <c r="B163" s="7">
        <v>100.11000061035099</v>
      </c>
      <c r="C163" s="3">
        <f t="shared" si="0"/>
        <v>-4.4849524756833013E-3</v>
      </c>
    </row>
    <row r="164" spans="1:3" x14ac:dyDescent="0.25">
      <c r="A164" s="6">
        <v>162</v>
      </c>
      <c r="B164" s="7">
        <v>104.199996948242</v>
      </c>
      <c r="C164" s="3">
        <f t="shared" si="0"/>
        <v>4.0042512503565657E-2</v>
      </c>
    </row>
    <row r="165" spans="1:3" x14ac:dyDescent="0.25">
      <c r="A165" s="6">
        <v>163</v>
      </c>
      <c r="B165" s="7">
        <v>106.290000915527</v>
      </c>
      <c r="C165" s="3">
        <f t="shared" si="0"/>
        <v>1.9859116127210943E-2</v>
      </c>
    </row>
    <row r="166" spans="1:3" x14ac:dyDescent="0.25">
      <c r="A166" s="6">
        <v>164</v>
      </c>
      <c r="B166" s="7">
        <v>104.199996948242</v>
      </c>
      <c r="C166" s="3">
        <f t="shared" si="0"/>
        <v>-1.985911612721095E-2</v>
      </c>
    </row>
    <row r="167" spans="1:3" x14ac:dyDescent="0.25">
      <c r="A167" s="6">
        <v>165</v>
      </c>
      <c r="B167" s="7">
        <v>104.680000305175</v>
      </c>
      <c r="C167" s="3">
        <f t="shared" si="0"/>
        <v>4.5959805454971582E-3</v>
      </c>
    </row>
    <row r="168" spans="1:3" x14ac:dyDescent="0.25">
      <c r="A168" s="6">
        <v>166</v>
      </c>
      <c r="B168" s="7">
        <v>102.050003051757</v>
      </c>
      <c r="C168" s="3">
        <f t="shared" si="0"/>
        <v>-2.5445161416877898E-2</v>
      </c>
    </row>
    <row r="169" spans="1:3" x14ac:dyDescent="0.25">
      <c r="A169" s="6">
        <v>167</v>
      </c>
      <c r="B169" s="7">
        <v>101.449996948242</v>
      </c>
      <c r="C169" s="3">
        <f t="shared" si="0"/>
        <v>-5.896882969956949E-3</v>
      </c>
    </row>
    <row r="170" spans="1:3" x14ac:dyDescent="0.25">
      <c r="A170" s="6">
        <v>168</v>
      </c>
      <c r="B170" s="7">
        <v>99.660003662109304</v>
      </c>
      <c r="C170" s="3">
        <f t="shared" si="0"/>
        <v>-1.7801606591136259E-2</v>
      </c>
    </row>
    <row r="171" spans="1:3" x14ac:dyDescent="0.25">
      <c r="A171" s="6">
        <v>169</v>
      </c>
      <c r="B171" s="7">
        <v>100.91000366210901</v>
      </c>
      <c r="C171" s="3">
        <f t="shared" si="0"/>
        <v>1.2464637167992671E-2</v>
      </c>
    </row>
    <row r="172" spans="1:3" x14ac:dyDescent="0.25">
      <c r="A172" s="6">
        <v>170</v>
      </c>
      <c r="B172" s="7">
        <v>100.620002746582</v>
      </c>
      <c r="C172" s="3">
        <f t="shared" si="0"/>
        <v>-2.8779944075268335E-3</v>
      </c>
    </row>
    <row r="173" spans="1:3" x14ac:dyDescent="0.25">
      <c r="A173" s="6">
        <v>171</v>
      </c>
      <c r="B173" s="7">
        <v>100.25</v>
      </c>
      <c r="C173" s="3">
        <f t="shared" si="0"/>
        <v>-3.6840061730747282E-3</v>
      </c>
    </row>
    <row r="174" spans="1:3" x14ac:dyDescent="0.25">
      <c r="A174" s="6">
        <v>172</v>
      </c>
      <c r="B174" s="7">
        <v>99.010002136230398</v>
      </c>
      <c r="C174" s="3">
        <f t="shared" si="0"/>
        <v>-1.2446189476350077E-2</v>
      </c>
    </row>
    <row r="175" spans="1:3" x14ac:dyDescent="0.25">
      <c r="A175" s="6">
        <v>173</v>
      </c>
      <c r="B175" s="7">
        <v>97.550003051757798</v>
      </c>
      <c r="C175" s="3">
        <f t="shared" si="0"/>
        <v>-1.4855778357171869E-2</v>
      </c>
    </row>
    <row r="176" spans="1:3" x14ac:dyDescent="0.25">
      <c r="A176" s="6">
        <v>174</v>
      </c>
      <c r="B176" s="7">
        <v>100.139999389648</v>
      </c>
      <c r="C176" s="3">
        <f t="shared" si="0"/>
        <v>2.6204102453655113E-2</v>
      </c>
    </row>
    <row r="177" spans="1:3" x14ac:dyDescent="0.25">
      <c r="A177" s="6">
        <v>175</v>
      </c>
      <c r="B177" s="7">
        <v>100.300003051757</v>
      </c>
      <c r="C177" s="3">
        <f t="shared" si="0"/>
        <v>1.5965245873687868E-3</v>
      </c>
    </row>
    <row r="178" spans="1:3" x14ac:dyDescent="0.25">
      <c r="A178" s="6">
        <v>176</v>
      </c>
      <c r="B178" s="7">
        <v>97.660003662109304</v>
      </c>
      <c r="C178" s="3">
        <f t="shared" si="0"/>
        <v>-2.6673629262107753E-2</v>
      </c>
    </row>
    <row r="179" spans="1:3" x14ac:dyDescent="0.25">
      <c r="A179" s="6">
        <v>177</v>
      </c>
      <c r="B179" s="7">
        <v>95.830001831054602</v>
      </c>
      <c r="C179" s="3">
        <f t="shared" si="0"/>
        <v>-1.8916288669080843E-2</v>
      </c>
    </row>
    <row r="180" spans="1:3" x14ac:dyDescent="0.25">
      <c r="A180" s="6">
        <v>178</v>
      </c>
      <c r="B180" s="7">
        <v>97.440002441406193</v>
      </c>
      <c r="C180" s="3">
        <f t="shared" si="0"/>
        <v>1.6661021554076911E-2</v>
      </c>
    </row>
    <row r="181" spans="1:3" x14ac:dyDescent="0.25">
      <c r="A181" s="6">
        <v>179</v>
      </c>
      <c r="B181" s="7">
        <v>95.930000305175696</v>
      </c>
      <c r="C181" s="3">
        <f t="shared" si="0"/>
        <v>-1.5618067005979463E-2</v>
      </c>
    </row>
    <row r="182" spans="1:3" x14ac:dyDescent="0.25">
      <c r="A182" s="6">
        <v>180</v>
      </c>
      <c r="B182" s="7">
        <v>93.199996948242102</v>
      </c>
      <c r="C182" s="3">
        <f t="shared" si="0"/>
        <v>-2.8871073063727805E-2</v>
      </c>
    </row>
    <row r="183" spans="1:3" x14ac:dyDescent="0.25">
      <c r="A183" s="6">
        <v>181</v>
      </c>
      <c r="B183" s="7">
        <v>92.830001831054602</v>
      </c>
      <c r="C183" s="3">
        <f t="shared" si="0"/>
        <v>-3.977805810705194E-3</v>
      </c>
    </row>
    <row r="184" spans="1:3" x14ac:dyDescent="0.25">
      <c r="A184" s="6">
        <v>182</v>
      </c>
      <c r="B184" s="7">
        <v>92.339996337890597</v>
      </c>
      <c r="C184" s="3">
        <f t="shared" si="0"/>
        <v>-5.2925057167854568E-3</v>
      </c>
    </row>
    <row r="185" spans="1:3" x14ac:dyDescent="0.25">
      <c r="A185" s="6">
        <v>183</v>
      </c>
      <c r="B185" s="7">
        <v>93.010002136230398</v>
      </c>
      <c r="C185" s="3">
        <f t="shared" si="0"/>
        <v>7.2296598022542182E-3</v>
      </c>
    </row>
    <row r="186" spans="1:3" x14ac:dyDescent="0.25">
      <c r="A186" s="6">
        <v>184</v>
      </c>
      <c r="B186" s="7">
        <v>91.010002136230398</v>
      </c>
      <c r="C186" s="3">
        <f t="shared" si="0"/>
        <v>-2.1737623160381091E-2</v>
      </c>
    </row>
    <row r="187" spans="1:3" x14ac:dyDescent="0.25">
      <c r="A187" s="6">
        <v>185</v>
      </c>
      <c r="B187" s="7">
        <v>92.839996337890597</v>
      </c>
      <c r="C187" s="3">
        <f t="shared" si="0"/>
        <v>1.9908127899108032E-2</v>
      </c>
    </row>
    <row r="188" spans="1:3" x14ac:dyDescent="0.25">
      <c r="A188" s="6">
        <v>186</v>
      </c>
      <c r="B188" s="7">
        <v>94.370002746582003</v>
      </c>
      <c r="C188" s="3">
        <f t="shared" si="0"/>
        <v>1.6345713176786854E-2</v>
      </c>
    </row>
    <row r="189" spans="1:3" x14ac:dyDescent="0.25">
      <c r="A189" s="6">
        <v>187</v>
      </c>
      <c r="B189" s="7">
        <v>92.550003051757798</v>
      </c>
      <c r="C189" s="3">
        <f t="shared" si="0"/>
        <v>-1.94741831439805E-2</v>
      </c>
    </row>
    <row r="190" spans="1:3" x14ac:dyDescent="0.25">
      <c r="A190" s="6">
        <v>188</v>
      </c>
      <c r="B190" s="7">
        <v>92.959999084472599</v>
      </c>
      <c r="C190" s="3">
        <f t="shared" si="0"/>
        <v>4.4202112613261572E-3</v>
      </c>
    </row>
    <row r="191" spans="1:3" x14ac:dyDescent="0.25">
      <c r="A191" s="6">
        <v>189</v>
      </c>
      <c r="B191" s="7">
        <v>92.849998474121094</v>
      </c>
      <c r="C191" s="3">
        <f t="shared" si="0"/>
        <v>-1.1840118900759292E-3</v>
      </c>
    </row>
    <row r="192" spans="1:3" x14ac:dyDescent="0.25">
      <c r="A192" s="6">
        <v>190</v>
      </c>
      <c r="B192" s="7">
        <v>93.389999389648395</v>
      </c>
      <c r="C192" s="3">
        <f t="shared" si="0"/>
        <v>5.7989952212046227E-3</v>
      </c>
    </row>
    <row r="193" spans="1:3" x14ac:dyDescent="0.25">
      <c r="A193" s="6">
        <v>191</v>
      </c>
      <c r="B193" s="7">
        <v>93.050003051757798</v>
      </c>
      <c r="C193" s="3">
        <f t="shared" si="0"/>
        <v>-3.647250700886567E-3</v>
      </c>
    </row>
    <row r="194" spans="1:3" x14ac:dyDescent="0.25">
      <c r="A194" s="6">
        <v>192</v>
      </c>
      <c r="B194" s="7">
        <v>92.489997863769503</v>
      </c>
      <c r="C194" s="3">
        <f t="shared" si="0"/>
        <v>-6.0365084159387005E-3</v>
      </c>
    </row>
    <row r="195" spans="1:3" x14ac:dyDescent="0.25">
      <c r="A195" s="6">
        <v>193</v>
      </c>
      <c r="B195" s="7">
        <v>91.919998168945298</v>
      </c>
      <c r="C195" s="3">
        <f t="shared" si="0"/>
        <v>-6.1818938488779609E-3</v>
      </c>
    </row>
    <row r="196" spans="1:3" x14ac:dyDescent="0.25">
      <c r="A196" s="6">
        <v>194</v>
      </c>
      <c r="B196" s="7">
        <v>91.309997558593693</v>
      </c>
      <c r="C196" s="3">
        <f t="shared" si="0"/>
        <v>-6.6583297297180856E-3</v>
      </c>
    </row>
    <row r="197" spans="1:3" x14ac:dyDescent="0.25">
      <c r="A197" s="6">
        <v>195</v>
      </c>
      <c r="B197" s="7">
        <v>92.290000915527301</v>
      </c>
      <c r="C197" s="3">
        <f t="shared" si="0"/>
        <v>1.0675519306907532E-2</v>
      </c>
    </row>
    <row r="198" spans="1:3" x14ac:dyDescent="0.25">
      <c r="A198" s="6">
        <v>196</v>
      </c>
      <c r="B198" s="7">
        <v>94.169998168945298</v>
      </c>
      <c r="C198" s="3">
        <f t="shared" si="0"/>
        <v>2.0165836880232112E-2</v>
      </c>
    </row>
    <row r="199" spans="1:3" x14ac:dyDescent="0.25">
      <c r="A199" s="6">
        <v>197</v>
      </c>
      <c r="B199" s="7">
        <v>93.470001220703097</v>
      </c>
      <c r="C199" s="3">
        <f t="shared" si="0"/>
        <v>-7.4610978235008923E-3</v>
      </c>
    </row>
    <row r="200" spans="1:3" x14ac:dyDescent="0.25">
      <c r="A200" s="6">
        <v>198</v>
      </c>
      <c r="B200" s="7">
        <v>93.800003051757798</v>
      </c>
      <c r="C200" s="3">
        <f t="shared" si="0"/>
        <v>3.5243462925793325E-3</v>
      </c>
    </row>
    <row r="201" spans="1:3" x14ac:dyDescent="0.25">
      <c r="A201" s="6">
        <v>199</v>
      </c>
      <c r="B201" s="7">
        <v>94.099998474121094</v>
      </c>
      <c r="C201" s="3">
        <f t="shared" si="0"/>
        <v>3.1931418289202597E-3</v>
      </c>
    </row>
    <row r="202" spans="1:3" x14ac:dyDescent="0.25">
      <c r="A202" s="6">
        <v>200</v>
      </c>
      <c r="B202" s="7">
        <v>95.559997558593693</v>
      </c>
      <c r="C202" s="3">
        <f t="shared" si="0"/>
        <v>1.5396266533365817E-2</v>
      </c>
    </row>
    <row r="203" spans="1:3" x14ac:dyDescent="0.25">
      <c r="A203" s="6">
        <v>201</v>
      </c>
      <c r="B203" s="7">
        <v>96.080001831054602</v>
      </c>
      <c r="C203" s="3">
        <f t="shared" si="0"/>
        <v>5.4268999201360435E-3</v>
      </c>
    </row>
    <row r="204" spans="1:3" x14ac:dyDescent="0.25">
      <c r="A204" s="6">
        <v>202</v>
      </c>
      <c r="B204" s="7">
        <v>95.230003356933594</v>
      </c>
      <c r="C204" s="3">
        <f t="shared" si="0"/>
        <v>-8.8861433725789668E-3</v>
      </c>
    </row>
    <row r="205" spans="1:3" x14ac:dyDescent="0.25">
      <c r="A205" s="6">
        <v>203</v>
      </c>
      <c r="B205" s="7">
        <v>95.510002136230398</v>
      </c>
      <c r="C205" s="3">
        <f t="shared" si="0"/>
        <v>2.9359229564555329E-3</v>
      </c>
    </row>
    <row r="206" spans="1:3" x14ac:dyDescent="0.25">
      <c r="A206" s="6">
        <v>204</v>
      </c>
      <c r="B206" s="7">
        <v>98.080001831054602</v>
      </c>
      <c r="C206" s="3">
        <f t="shared" si="0"/>
        <v>2.6552514443683187E-2</v>
      </c>
    </row>
    <row r="207" spans="1:3" x14ac:dyDescent="0.25">
      <c r="A207" s="6">
        <v>205</v>
      </c>
      <c r="B207" s="7">
        <v>97.680000305175696</v>
      </c>
      <c r="C207" s="3">
        <f t="shared" si="0"/>
        <v>-4.0866579302032136E-3</v>
      </c>
    </row>
    <row r="208" spans="1:3" x14ac:dyDescent="0.25">
      <c r="A208" s="6">
        <v>206</v>
      </c>
      <c r="B208" s="7">
        <v>96.120002746582003</v>
      </c>
      <c r="C208" s="3">
        <f t="shared" si="0"/>
        <v>-1.609939348390968E-2</v>
      </c>
    </row>
    <row r="209" spans="1:3" x14ac:dyDescent="0.25">
      <c r="A209" s="6">
        <v>207</v>
      </c>
      <c r="B209" s="7">
        <v>96.069999694824205</v>
      </c>
      <c r="C209" s="3">
        <f t="shared" si="0"/>
        <v>-5.2035019772988926E-4</v>
      </c>
    </row>
    <row r="210" spans="1:3" x14ac:dyDescent="0.25">
      <c r="A210" s="6">
        <v>208</v>
      </c>
      <c r="B210" s="7">
        <v>94.680000305175696</v>
      </c>
      <c r="C210" s="3">
        <f t="shared" si="0"/>
        <v>-1.457430137603275E-2</v>
      </c>
    </row>
    <row r="211" spans="1:3" x14ac:dyDescent="0.25">
      <c r="A211" s="6">
        <v>209</v>
      </c>
      <c r="B211" s="7">
        <v>95.809997558593693</v>
      </c>
      <c r="C211" s="3">
        <f t="shared" si="0"/>
        <v>1.1864250312017299E-2</v>
      </c>
    </row>
    <row r="212" spans="1:3" x14ac:dyDescent="0.25">
      <c r="A212" s="6">
        <v>210</v>
      </c>
      <c r="B212" s="7">
        <v>95.769996643066406</v>
      </c>
      <c r="C212" s="3">
        <f t="shared" si="0"/>
        <v>-4.1758969954306399E-4</v>
      </c>
    </row>
    <row r="213" spans="1:3" x14ac:dyDescent="0.25">
      <c r="A213" s="6">
        <v>211</v>
      </c>
      <c r="B213" s="7">
        <v>94.25</v>
      </c>
      <c r="C213" s="3">
        <f t="shared" si="0"/>
        <v>-1.5998622153370022E-2</v>
      </c>
    </row>
    <row r="214" spans="1:3" x14ac:dyDescent="0.25">
      <c r="A214" s="6">
        <v>212</v>
      </c>
      <c r="B214" s="7">
        <v>95.569999694824205</v>
      </c>
      <c r="C214" s="3">
        <f t="shared" si="0"/>
        <v>1.3908133756750561E-2</v>
      </c>
    </row>
    <row r="215" spans="1:3" x14ac:dyDescent="0.25">
      <c r="A215" s="6">
        <v>213</v>
      </c>
      <c r="B215" s="7">
        <v>94.879997253417898</v>
      </c>
      <c r="C215" s="3">
        <f t="shared" si="0"/>
        <v>-7.2460537834123139E-3</v>
      </c>
    </row>
    <row r="216" spans="1:3" x14ac:dyDescent="0.25">
      <c r="A216" s="6">
        <v>214</v>
      </c>
      <c r="B216" s="7">
        <v>91.800003051757798</v>
      </c>
      <c r="C216" s="3">
        <f t="shared" si="0"/>
        <v>-3.3000575431465264E-2</v>
      </c>
    </row>
    <row r="217" spans="1:3" x14ac:dyDescent="0.25">
      <c r="A217" s="6">
        <v>215</v>
      </c>
      <c r="B217" s="7">
        <v>92.910003662109304</v>
      </c>
      <c r="C217" s="3">
        <f t="shared" si="0"/>
        <v>1.2018991198890591E-2</v>
      </c>
    </row>
    <row r="218" spans="1:3" x14ac:dyDescent="0.25">
      <c r="A218" s="6">
        <v>216</v>
      </c>
      <c r="B218" s="7">
        <v>91.589996337890597</v>
      </c>
      <c r="C218" s="3">
        <f t="shared" si="0"/>
        <v>-1.4309266637713879E-2</v>
      </c>
    </row>
    <row r="219" spans="1:3" x14ac:dyDescent="0.25">
      <c r="A219" s="6">
        <v>217</v>
      </c>
      <c r="B219" s="7">
        <v>89.639999389648395</v>
      </c>
      <c r="C219" s="3">
        <f t="shared" si="0"/>
        <v>-2.1520413307364046E-2</v>
      </c>
    </row>
    <row r="220" spans="1:3" x14ac:dyDescent="0.25">
      <c r="A220" s="6">
        <v>218</v>
      </c>
      <c r="B220" s="7">
        <v>88.510002136230398</v>
      </c>
      <c r="C220" s="3">
        <f t="shared" si="0"/>
        <v>-1.2686078007551364E-2</v>
      </c>
    </row>
    <row r="221" spans="1:3" x14ac:dyDescent="0.25">
      <c r="A221" s="6">
        <v>219</v>
      </c>
      <c r="B221" s="7">
        <v>88.889999389648395</v>
      </c>
      <c r="C221" s="3">
        <f t="shared" si="0"/>
        <v>4.2840792709590283E-3</v>
      </c>
    </row>
    <row r="222" spans="1:3" x14ac:dyDescent="0.25">
      <c r="A222" s="6">
        <v>220</v>
      </c>
      <c r="B222" s="7">
        <v>86.309997558593693</v>
      </c>
      <c r="C222" s="3">
        <f t="shared" si="0"/>
        <v>-2.9454205442130541E-2</v>
      </c>
    </row>
    <row r="223" spans="1:3" x14ac:dyDescent="0.25">
      <c r="A223" s="6">
        <v>221</v>
      </c>
      <c r="B223" s="7">
        <v>86.349998474121094</v>
      </c>
      <c r="C223" s="3">
        <f t="shared" si="0"/>
        <v>4.6334897674236899E-4</v>
      </c>
    </row>
    <row r="224" spans="1:3" x14ac:dyDescent="0.25">
      <c r="A224" s="6">
        <v>222</v>
      </c>
      <c r="B224" s="7">
        <v>86.360000610351506</v>
      </c>
      <c r="C224" s="3">
        <f t="shared" si="0"/>
        <v>1.1582579230643535E-4</v>
      </c>
    </row>
    <row r="225" spans="1:3" x14ac:dyDescent="0.25">
      <c r="A225" s="6">
        <v>223</v>
      </c>
      <c r="B225" s="7">
        <v>86.309997558593693</v>
      </c>
      <c r="C225" s="3">
        <f t="shared" si="0"/>
        <v>-5.7917476904876511E-4</v>
      </c>
    </row>
    <row r="226" spans="1:3" x14ac:dyDescent="0.25">
      <c r="A226" s="6">
        <v>224</v>
      </c>
      <c r="B226" s="7">
        <v>86.629997253417898</v>
      </c>
      <c r="C226" s="3">
        <f t="shared" si="0"/>
        <v>3.7007062522195449E-3</v>
      </c>
    </row>
    <row r="227" spans="1:3" x14ac:dyDescent="0.25">
      <c r="A227" s="6">
        <v>225</v>
      </c>
      <c r="B227" s="7">
        <v>86.260002136230398</v>
      </c>
      <c r="C227" s="3">
        <f t="shared" si="0"/>
        <v>-4.2801282125888001E-3</v>
      </c>
    </row>
    <row r="228" spans="1:3" x14ac:dyDescent="0.25">
      <c r="A228" s="6">
        <v>226</v>
      </c>
      <c r="B228" s="7">
        <v>86.389999389648395</v>
      </c>
      <c r="C228" s="3">
        <f t="shared" si="0"/>
        <v>1.5059053210061911E-3</v>
      </c>
    </row>
    <row r="229" spans="1:3" x14ac:dyDescent="0.25">
      <c r="A229" s="6">
        <v>227</v>
      </c>
      <c r="B229" s="7">
        <v>88.260002136230398</v>
      </c>
      <c r="C229" s="3">
        <f t="shared" si="0"/>
        <v>2.1415106739514567E-2</v>
      </c>
    </row>
    <row r="230" spans="1:3" x14ac:dyDescent="0.25">
      <c r="A230" s="6">
        <v>228</v>
      </c>
      <c r="B230" s="7">
        <v>89.199996948242102</v>
      </c>
      <c r="C230" s="3">
        <f t="shared" si="0"/>
        <v>1.0593977328195621E-2</v>
      </c>
    </row>
    <row r="231" spans="1:3" x14ac:dyDescent="0.25">
      <c r="A231" s="6">
        <v>229</v>
      </c>
      <c r="B231" s="7">
        <v>89.769996643066406</v>
      </c>
      <c r="C231" s="3">
        <f t="shared" si="0"/>
        <v>6.3698010003391441E-3</v>
      </c>
    </row>
    <row r="232" spans="1:3" x14ac:dyDescent="0.25">
      <c r="A232" s="6">
        <v>230</v>
      </c>
      <c r="B232" s="7">
        <v>91.069999694824205</v>
      </c>
      <c r="C232" s="3">
        <f t="shared" si="0"/>
        <v>1.4377631854955115E-2</v>
      </c>
    </row>
    <row r="233" spans="1:3" x14ac:dyDescent="0.25">
      <c r="A233" s="6">
        <v>231</v>
      </c>
      <c r="B233" s="7">
        <v>88.870002746582003</v>
      </c>
      <c r="C233" s="3">
        <f t="shared" si="0"/>
        <v>-2.4453779572726372E-2</v>
      </c>
    </row>
    <row r="234" spans="1:3" x14ac:dyDescent="0.25">
      <c r="A234" s="6">
        <v>232</v>
      </c>
      <c r="B234" s="7">
        <v>90.330001831054602</v>
      </c>
      <c r="C234" s="3">
        <f t="shared" si="0"/>
        <v>1.6294992776478702E-2</v>
      </c>
    </row>
    <row r="235" spans="1:3" x14ac:dyDescent="0.25">
      <c r="A235" s="6">
        <v>233</v>
      </c>
      <c r="B235" s="7">
        <v>90.489997863769503</v>
      </c>
      <c r="C235" s="3">
        <f t="shared" si="0"/>
        <v>1.769672323199018E-3</v>
      </c>
    </row>
    <row r="236" spans="1:3" x14ac:dyDescent="0.25">
      <c r="A236" s="6">
        <v>234</v>
      </c>
      <c r="B236" s="7">
        <v>88.970001220703097</v>
      </c>
      <c r="C236" s="3">
        <f t="shared" si="0"/>
        <v>-1.6940075778610293E-2</v>
      </c>
    </row>
    <row r="237" spans="1:3" x14ac:dyDescent="0.25">
      <c r="A237" s="6">
        <v>235</v>
      </c>
      <c r="B237" s="7">
        <v>90.190002441406193</v>
      </c>
      <c r="C237" s="3">
        <f t="shared" si="0"/>
        <v>1.3619335270139097E-2</v>
      </c>
    </row>
    <row r="238" spans="1:3" x14ac:dyDescent="0.25">
      <c r="A238" s="6">
        <v>236</v>
      </c>
      <c r="B238" s="7">
        <v>88.199996948242102</v>
      </c>
      <c r="C238" s="3">
        <f t="shared" si="0"/>
        <v>-2.2311654834889689E-2</v>
      </c>
    </row>
    <row r="239" spans="1:3" x14ac:dyDescent="0.25">
      <c r="A239" s="6">
        <v>237</v>
      </c>
      <c r="B239" s="7">
        <v>89.379997253417898</v>
      </c>
      <c r="C239" s="3">
        <f t="shared" si="0"/>
        <v>1.3289984363720194E-2</v>
      </c>
    </row>
    <row r="240" spans="1:3" x14ac:dyDescent="0.25">
      <c r="A240" s="6">
        <v>238</v>
      </c>
      <c r="B240" s="7">
        <v>89.730003356933594</v>
      </c>
      <c r="C240" s="3">
        <f t="shared" si="0"/>
        <v>3.9082859454268358E-3</v>
      </c>
    </row>
    <row r="241" spans="1:3" x14ac:dyDescent="0.25">
      <c r="A241" s="6">
        <v>239</v>
      </c>
      <c r="B241" s="7">
        <v>89.559997558593693</v>
      </c>
      <c r="C241" s="3">
        <f t="shared" si="0"/>
        <v>-1.8964342509164727E-3</v>
      </c>
    </row>
    <row r="242" spans="1:3" x14ac:dyDescent="0.25">
      <c r="A242" s="6">
        <v>240</v>
      </c>
      <c r="B242" s="7">
        <v>90.260002136230398</v>
      </c>
      <c r="C242" s="3">
        <f t="shared" si="0"/>
        <v>7.7856535958294986E-3</v>
      </c>
    </row>
    <row r="243" spans="1:3" x14ac:dyDescent="0.25">
      <c r="A243" s="6">
        <v>241</v>
      </c>
      <c r="B243" s="7">
        <v>90.580001831054602</v>
      </c>
      <c r="C243" s="3">
        <f t="shared" si="0"/>
        <v>3.5390402764705156E-3</v>
      </c>
    </row>
    <row r="244" spans="1:3" x14ac:dyDescent="0.25">
      <c r="A244" s="6">
        <v>242</v>
      </c>
      <c r="B244" s="7">
        <v>90.580001831054602</v>
      </c>
      <c r="C244" s="3">
        <f t="shared" si="0"/>
        <v>0</v>
      </c>
    </row>
    <row r="245" spans="1:3" x14ac:dyDescent="0.25">
      <c r="A245" s="6">
        <v>243</v>
      </c>
      <c r="B245" s="7">
        <v>90.720001220703097</v>
      </c>
      <c r="C245" s="3">
        <f t="shared" si="0"/>
        <v>1.5443950923179901E-3</v>
      </c>
    </row>
    <row r="246" spans="1:3" x14ac:dyDescent="0.25">
      <c r="A246" s="6">
        <v>244</v>
      </c>
      <c r="B246" s="7">
        <v>88.849998474121094</v>
      </c>
      <c r="C246" s="3">
        <f t="shared" si="0"/>
        <v>-2.0828316008154778E-2</v>
      </c>
    </row>
    <row r="247" spans="1:3" x14ac:dyDescent="0.25">
      <c r="A247" s="6">
        <v>245</v>
      </c>
      <c r="B247" s="7">
        <v>88.370002746582003</v>
      </c>
      <c r="C247" s="3">
        <f t="shared" si="0"/>
        <v>-5.416960816616607E-3</v>
      </c>
    </row>
    <row r="248" spans="1:3" x14ac:dyDescent="0.25">
      <c r="A248" s="6">
        <v>246</v>
      </c>
      <c r="B248" s="7">
        <v>86.959999084472599</v>
      </c>
      <c r="C248" s="3">
        <f t="shared" si="0"/>
        <v>-1.6084344325582402E-2</v>
      </c>
    </row>
    <row r="249" spans="1:3" x14ac:dyDescent="0.25">
      <c r="A249" s="6">
        <v>247</v>
      </c>
      <c r="B249" s="7">
        <v>86.629997253417898</v>
      </c>
      <c r="C249" s="3">
        <f t="shared" si="0"/>
        <v>-3.8020880875070757E-3</v>
      </c>
    </row>
    <row r="250" spans="1:3" x14ac:dyDescent="0.25">
      <c r="A250" s="6">
        <v>248</v>
      </c>
      <c r="B250" s="7">
        <v>86.629997253417898</v>
      </c>
      <c r="C250" s="3">
        <f t="shared" si="0"/>
        <v>0</v>
      </c>
    </row>
    <row r="251" spans="1:3" x14ac:dyDescent="0.25">
      <c r="A251" s="6">
        <v>249</v>
      </c>
      <c r="B251" s="7">
        <v>87.040000915527301</v>
      </c>
      <c r="C251" s="3">
        <f t="shared" si="0"/>
        <v>4.7216494287957477E-3</v>
      </c>
    </row>
    <row r="252" spans="1:3" x14ac:dyDescent="0.25">
      <c r="A252" s="6">
        <v>250</v>
      </c>
      <c r="B252" s="7">
        <v>87.989997863769503</v>
      </c>
      <c r="C252" s="3">
        <f t="shared" si="0"/>
        <v>1.0855353753264888E-2</v>
      </c>
    </row>
    <row r="253" spans="1:3" x14ac:dyDescent="0.25">
      <c r="A253" s="6">
        <v>251</v>
      </c>
      <c r="B253" s="7">
        <v>87.720001220703097</v>
      </c>
      <c r="C253" s="3">
        <f t="shared" si="0"/>
        <v>-3.0732099137723576E-3</v>
      </c>
    </row>
    <row r="254" spans="1:3" x14ac:dyDescent="0.25">
      <c r="A254" s="6">
        <v>252</v>
      </c>
      <c r="B254" s="7">
        <v>87.279998779296804</v>
      </c>
      <c r="C254" s="3">
        <f t="shared" si="0"/>
        <v>-5.0286099268346471E-3</v>
      </c>
    </row>
    <row r="255" spans="1:3" x14ac:dyDescent="0.25">
      <c r="A255" s="6">
        <v>253</v>
      </c>
      <c r="B255" s="7">
        <v>86.290000915527301</v>
      </c>
      <c r="C255" s="3">
        <f t="shared" si="0"/>
        <v>-1.140760040865184E-2</v>
      </c>
    </row>
    <row r="256" spans="1:3" x14ac:dyDescent="0.25">
      <c r="A256" s="6">
        <v>254</v>
      </c>
      <c r="B256" s="7">
        <v>85.419998168945298</v>
      </c>
      <c r="C256" s="3">
        <f t="shared" si="0"/>
        <v>-1.0133483152686031E-2</v>
      </c>
    </row>
    <row r="257" spans="1:3" x14ac:dyDescent="0.25">
      <c r="A257" s="6">
        <v>255</v>
      </c>
      <c r="B257" s="7">
        <v>82.819999694824205</v>
      </c>
      <c r="C257" s="3">
        <f t="shared" si="0"/>
        <v>-3.0910669544805588E-2</v>
      </c>
    </row>
    <row r="258" spans="1:3" x14ac:dyDescent="0.25">
      <c r="A258" s="6">
        <v>256</v>
      </c>
      <c r="B258" s="7">
        <v>77.300003051757798</v>
      </c>
      <c r="C258" s="3">
        <f t="shared" ref="C258:C512" si="1">LN(B258/B257)</f>
        <v>-6.8975579359835393E-2</v>
      </c>
    </row>
    <row r="259" spans="1:3" x14ac:dyDescent="0.25">
      <c r="A259" s="6">
        <v>257</v>
      </c>
      <c r="B259" s="7">
        <v>80.319999694824205</v>
      </c>
      <c r="C259" s="3">
        <f t="shared" si="1"/>
        <v>3.8324657071141723E-2</v>
      </c>
    </row>
    <row r="260" spans="1:3" x14ac:dyDescent="0.25">
      <c r="A260" s="6">
        <v>258</v>
      </c>
      <c r="B260" s="7">
        <v>82.099998474121094</v>
      </c>
      <c r="C260" s="3">
        <f t="shared" si="1"/>
        <v>2.1919345728848735E-2</v>
      </c>
    </row>
    <row r="261" spans="1:3" x14ac:dyDescent="0.25">
      <c r="A261" s="6">
        <v>259</v>
      </c>
      <c r="B261" s="7">
        <v>83.080001831054602</v>
      </c>
      <c r="C261" s="3">
        <f t="shared" si="1"/>
        <v>1.1866023174798611E-2</v>
      </c>
    </row>
    <row r="262" spans="1:3" x14ac:dyDescent="0.25">
      <c r="A262" s="6">
        <v>260</v>
      </c>
      <c r="B262" s="7">
        <v>85.879997253417898</v>
      </c>
      <c r="C262" s="3">
        <f t="shared" si="1"/>
        <v>3.3146919981385956E-2</v>
      </c>
    </row>
    <row r="263" spans="1:3" x14ac:dyDescent="0.25">
      <c r="A263" s="6">
        <v>261</v>
      </c>
      <c r="B263" s="7">
        <v>85.790000915527301</v>
      </c>
      <c r="C263" s="3">
        <f t="shared" si="1"/>
        <v>-1.0484807723540465E-3</v>
      </c>
    </row>
    <row r="264" spans="1:3" x14ac:dyDescent="0.25">
      <c r="A264" s="6">
        <v>262</v>
      </c>
      <c r="B264" s="7">
        <v>86.900001525878906</v>
      </c>
      <c r="C264" s="3">
        <f t="shared" si="1"/>
        <v>1.2855589573768077E-2</v>
      </c>
    </row>
    <row r="265" spans="1:3" x14ac:dyDescent="0.25">
      <c r="A265" s="6">
        <v>263</v>
      </c>
      <c r="B265" s="7">
        <v>88.239997863769503</v>
      </c>
      <c r="C265" s="3">
        <f t="shared" si="1"/>
        <v>1.5302300905558541E-2</v>
      </c>
    </row>
    <row r="266" spans="1:3" x14ac:dyDescent="0.25">
      <c r="A266" s="6">
        <v>264</v>
      </c>
      <c r="B266" s="7">
        <v>91.940002441406193</v>
      </c>
      <c r="C266" s="3">
        <f t="shared" si="1"/>
        <v>4.1075866196497952E-2</v>
      </c>
    </row>
    <row r="267" spans="1:3" x14ac:dyDescent="0.25">
      <c r="A267" s="6">
        <v>265</v>
      </c>
      <c r="B267" s="7">
        <v>90.050003051757798</v>
      </c>
      <c r="C267" s="3">
        <f t="shared" si="1"/>
        <v>-2.0771111420866566E-2</v>
      </c>
    </row>
    <row r="268" spans="1:3" x14ac:dyDescent="0.25">
      <c r="A268" s="6">
        <v>266</v>
      </c>
      <c r="B268" s="7">
        <v>91.900001525878906</v>
      </c>
      <c r="C268" s="3">
        <f t="shared" si="1"/>
        <v>2.0335940453771992E-2</v>
      </c>
    </row>
    <row r="269" spans="1:3" x14ac:dyDescent="0.25">
      <c r="A269" s="6">
        <v>267</v>
      </c>
      <c r="B269" s="7">
        <v>92.190002441406193</v>
      </c>
      <c r="C269" s="3">
        <f t="shared" si="1"/>
        <v>3.1506453275057696E-3</v>
      </c>
    </row>
    <row r="270" spans="1:3" x14ac:dyDescent="0.25">
      <c r="A270" s="6">
        <v>268</v>
      </c>
      <c r="B270" s="7">
        <v>92.129997253417898</v>
      </c>
      <c r="C270" s="3">
        <f t="shared" si="1"/>
        <v>-6.5109798402198716E-4</v>
      </c>
    </row>
    <row r="271" spans="1:3" x14ac:dyDescent="0.25">
      <c r="A271" s="6">
        <v>269</v>
      </c>
      <c r="B271" s="7">
        <v>92.230003356933594</v>
      </c>
      <c r="C271" s="3">
        <f t="shared" si="1"/>
        <v>1.0849003362293421E-3</v>
      </c>
    </row>
    <row r="272" spans="1:3" x14ac:dyDescent="0.25">
      <c r="A272" s="6">
        <v>270</v>
      </c>
      <c r="B272" s="7">
        <v>92.319999694824205</v>
      </c>
      <c r="C272" s="3">
        <f t="shared" si="1"/>
        <v>9.7530580911720183E-4</v>
      </c>
    </row>
    <row r="273" spans="1:3" x14ac:dyDescent="0.25">
      <c r="A273" s="6">
        <v>271</v>
      </c>
      <c r="B273" s="7">
        <v>91.160003662109304</v>
      </c>
      <c r="C273" s="3">
        <f t="shared" si="1"/>
        <v>-1.2644554904349598E-2</v>
      </c>
    </row>
    <row r="274" spans="1:3" x14ac:dyDescent="0.25">
      <c r="A274" s="6">
        <v>272</v>
      </c>
      <c r="B274" s="7">
        <v>91.730003356933594</v>
      </c>
      <c r="C274" s="3">
        <f t="shared" si="1"/>
        <v>6.2332715675633655E-3</v>
      </c>
    </row>
    <row r="275" spans="1:3" x14ac:dyDescent="0.25">
      <c r="A275" s="6">
        <v>273</v>
      </c>
      <c r="B275" s="7">
        <v>91.790000915527301</v>
      </c>
      <c r="C275" s="3">
        <f t="shared" si="1"/>
        <v>6.538530877774249E-4</v>
      </c>
    </row>
    <row r="276" spans="1:3" x14ac:dyDescent="0.25">
      <c r="A276" s="6">
        <v>274</v>
      </c>
      <c r="B276" s="7">
        <v>91.790000915527301</v>
      </c>
      <c r="C276" s="3">
        <f t="shared" si="1"/>
        <v>0</v>
      </c>
    </row>
    <row r="277" spans="1:3" x14ac:dyDescent="0.25">
      <c r="A277" s="6">
        <v>275</v>
      </c>
      <c r="B277" s="7">
        <v>88.239997863769503</v>
      </c>
      <c r="C277" s="3">
        <f t="shared" si="1"/>
        <v>-3.9443018469224787E-2</v>
      </c>
    </row>
    <row r="278" spans="1:3" x14ac:dyDescent="0.25">
      <c r="A278" s="6">
        <v>276</v>
      </c>
      <c r="B278" s="7">
        <v>91.059997558593693</v>
      </c>
      <c r="C278" s="3">
        <f t="shared" si="1"/>
        <v>3.1458252359746953E-2</v>
      </c>
    </row>
    <row r="279" spans="1:3" x14ac:dyDescent="0.25">
      <c r="A279" s="6">
        <v>277</v>
      </c>
      <c r="B279" s="7">
        <v>91.839996337890597</v>
      </c>
      <c r="C279" s="3">
        <f t="shared" si="1"/>
        <v>8.5292896006983494E-3</v>
      </c>
    </row>
    <row r="280" spans="1:3" x14ac:dyDescent="0.25">
      <c r="A280" s="6">
        <v>278</v>
      </c>
      <c r="B280" s="7">
        <v>93.879997253417898</v>
      </c>
      <c r="C280" s="3">
        <f t="shared" si="1"/>
        <v>2.1969449030144427E-2</v>
      </c>
    </row>
    <row r="281" spans="1:3" x14ac:dyDescent="0.25">
      <c r="A281" s="6">
        <v>279</v>
      </c>
      <c r="B281" s="7">
        <v>92.309997558593693</v>
      </c>
      <c r="C281" s="3">
        <f t="shared" si="1"/>
        <v>-1.6864890172362673E-2</v>
      </c>
    </row>
    <row r="282" spans="1:3" x14ac:dyDescent="0.25">
      <c r="A282" s="6">
        <v>280</v>
      </c>
      <c r="B282" s="7">
        <v>92.919998168945298</v>
      </c>
      <c r="C282" s="3">
        <f t="shared" si="1"/>
        <v>6.5864366423440558E-3</v>
      </c>
    </row>
    <row r="283" spans="1:3" x14ac:dyDescent="0.25">
      <c r="A283" s="6">
        <v>281</v>
      </c>
      <c r="B283" s="7">
        <v>91.870002746582003</v>
      </c>
      <c r="C283" s="3">
        <f t="shared" si="1"/>
        <v>-1.1364324016725068E-2</v>
      </c>
    </row>
    <row r="284" spans="1:3" x14ac:dyDescent="0.25">
      <c r="A284" s="6">
        <v>282</v>
      </c>
      <c r="B284" s="7">
        <v>90.949996948242102</v>
      </c>
      <c r="C284" s="3">
        <f t="shared" si="1"/>
        <v>-1.0064692769878565E-2</v>
      </c>
    </row>
    <row r="285" spans="1:3" x14ac:dyDescent="0.25">
      <c r="A285" s="6">
        <v>283</v>
      </c>
      <c r="B285" s="7">
        <v>90.889999389648395</v>
      </c>
      <c r="C285" s="3">
        <f t="shared" si="1"/>
        <v>-6.5989399449206784E-4</v>
      </c>
    </row>
    <row r="286" spans="1:3" x14ac:dyDescent="0.25">
      <c r="A286" s="6">
        <v>284</v>
      </c>
      <c r="B286" s="7">
        <v>92.389999389648395</v>
      </c>
      <c r="C286" s="3">
        <f t="shared" si="1"/>
        <v>1.6368763661000877E-2</v>
      </c>
    </row>
    <row r="287" spans="1:3" x14ac:dyDescent="0.25">
      <c r="A287" s="6">
        <v>285</v>
      </c>
      <c r="B287" s="7">
        <v>92.139999389648395</v>
      </c>
      <c r="C287" s="3">
        <f t="shared" si="1"/>
        <v>-2.7095881928073718E-3</v>
      </c>
    </row>
    <row r="288" spans="1:3" x14ac:dyDescent="0.25">
      <c r="A288" s="6">
        <v>286</v>
      </c>
      <c r="B288" s="7">
        <v>91.910003662109304</v>
      </c>
      <c r="C288" s="3">
        <f t="shared" si="1"/>
        <v>-2.4992756690630732E-3</v>
      </c>
    </row>
    <row r="289" spans="1:3" x14ac:dyDescent="0.25">
      <c r="A289" s="6">
        <v>287</v>
      </c>
      <c r="B289" s="7">
        <v>91.019996643066406</v>
      </c>
      <c r="C289" s="3">
        <f t="shared" si="1"/>
        <v>-9.7306515073107436E-3</v>
      </c>
    </row>
    <row r="290" spans="1:3" x14ac:dyDescent="0.25">
      <c r="A290" s="6">
        <v>288</v>
      </c>
      <c r="B290" s="7">
        <v>90.860000610351506</v>
      </c>
      <c r="C290" s="3">
        <f t="shared" si="1"/>
        <v>-1.759358658469639E-3</v>
      </c>
    </row>
    <row r="291" spans="1:3" x14ac:dyDescent="0.25">
      <c r="A291" s="6">
        <v>289</v>
      </c>
      <c r="B291" s="7">
        <v>92.019996643066406</v>
      </c>
      <c r="C291" s="3">
        <f t="shared" si="1"/>
        <v>1.2686041198092649E-2</v>
      </c>
    </row>
    <row r="292" spans="1:3" x14ac:dyDescent="0.25">
      <c r="A292" s="6">
        <v>290</v>
      </c>
      <c r="B292" s="7">
        <v>92.150001525878906</v>
      </c>
      <c r="C292" s="3">
        <f t="shared" si="1"/>
        <v>1.4117924276309767E-3</v>
      </c>
    </row>
    <row r="293" spans="1:3" x14ac:dyDescent="0.25">
      <c r="A293" s="6">
        <v>291</v>
      </c>
      <c r="B293" s="7">
        <v>90.489997863769503</v>
      </c>
      <c r="C293" s="3">
        <f t="shared" si="1"/>
        <v>-1.8178376918798502E-2</v>
      </c>
    </row>
    <row r="294" spans="1:3" x14ac:dyDescent="0.25">
      <c r="A294" s="6">
        <v>292</v>
      </c>
      <c r="B294" s="7">
        <v>89.510002136230398</v>
      </c>
      <c r="C294" s="3">
        <f t="shared" si="1"/>
        <v>-1.0888949006999387E-2</v>
      </c>
    </row>
    <row r="295" spans="1:3" x14ac:dyDescent="0.25">
      <c r="A295" s="6">
        <v>293</v>
      </c>
      <c r="B295" s="7">
        <v>90.480003356933594</v>
      </c>
      <c r="C295" s="3">
        <f t="shared" si="1"/>
        <v>1.0778494160575611E-2</v>
      </c>
    </row>
    <row r="296" spans="1:3" x14ac:dyDescent="0.25">
      <c r="A296" s="6">
        <v>294</v>
      </c>
      <c r="B296" s="7">
        <v>89.910003662109304</v>
      </c>
      <c r="C296" s="3">
        <f t="shared" si="1"/>
        <v>-6.319658181737452E-3</v>
      </c>
    </row>
    <row r="297" spans="1:3" x14ac:dyDescent="0.25">
      <c r="A297" s="6">
        <v>295</v>
      </c>
      <c r="B297" s="7">
        <v>91.970001220703097</v>
      </c>
      <c r="C297" s="3">
        <f t="shared" si="1"/>
        <v>2.2653239459931158E-2</v>
      </c>
    </row>
    <row r="298" spans="1:3" x14ac:dyDescent="0.25">
      <c r="A298" s="6">
        <v>296</v>
      </c>
      <c r="B298" s="7">
        <v>92.940002441406193</v>
      </c>
      <c r="C298" s="3">
        <f t="shared" si="1"/>
        <v>1.0491699738012766E-2</v>
      </c>
    </row>
    <row r="299" spans="1:3" x14ac:dyDescent="0.25">
      <c r="A299" s="6">
        <v>297</v>
      </c>
      <c r="B299" s="7">
        <v>92.870002746582003</v>
      </c>
      <c r="C299" s="3">
        <f t="shared" si="1"/>
        <v>-7.5345456306189092E-4</v>
      </c>
    </row>
    <row r="300" spans="1:3" x14ac:dyDescent="0.25">
      <c r="A300" s="6">
        <v>298</v>
      </c>
      <c r="B300" s="7">
        <v>91.510002136230398</v>
      </c>
      <c r="C300" s="3">
        <f t="shared" si="1"/>
        <v>-1.4752416090881435E-2</v>
      </c>
    </row>
    <row r="301" spans="1:3" x14ac:dyDescent="0.25">
      <c r="A301" s="6">
        <v>299</v>
      </c>
      <c r="B301" s="7">
        <v>91.040000915527301</v>
      </c>
      <c r="C301" s="3">
        <f t="shared" si="1"/>
        <v>-5.1492988371756535E-3</v>
      </c>
    </row>
    <row r="302" spans="1:3" x14ac:dyDescent="0.25">
      <c r="A302" s="6">
        <v>300</v>
      </c>
      <c r="B302" s="7">
        <v>91.889999389648395</v>
      </c>
      <c r="C302" s="3">
        <f t="shared" si="1"/>
        <v>9.2932224362553273E-3</v>
      </c>
    </row>
    <row r="303" spans="1:3" x14ac:dyDescent="0.25">
      <c r="A303" s="6">
        <v>301</v>
      </c>
      <c r="B303" s="7">
        <v>92.050003051757798</v>
      </c>
      <c r="C303" s="3">
        <f t="shared" si="1"/>
        <v>1.7397379617534734E-3</v>
      </c>
    </row>
    <row r="304" spans="1:3" x14ac:dyDescent="0.25">
      <c r="A304" s="6">
        <v>302</v>
      </c>
      <c r="B304" s="7">
        <v>93.489997863769503</v>
      </c>
      <c r="C304" s="3">
        <f t="shared" si="1"/>
        <v>1.55225150210465E-2</v>
      </c>
    </row>
    <row r="305" spans="1:3" x14ac:dyDescent="0.25">
      <c r="A305" s="6">
        <v>303</v>
      </c>
      <c r="B305" s="7">
        <v>93.739997863769503</v>
      </c>
      <c r="C305" s="3">
        <f t="shared" si="1"/>
        <v>2.6705138522751092E-3</v>
      </c>
    </row>
    <row r="306" spans="1:3" x14ac:dyDescent="0.25">
      <c r="A306" s="6">
        <v>304</v>
      </c>
      <c r="B306" s="7">
        <v>92.989997863769503</v>
      </c>
      <c r="C306" s="3">
        <f t="shared" si="1"/>
        <v>-8.0330321882552264E-3</v>
      </c>
    </row>
    <row r="307" spans="1:3" x14ac:dyDescent="0.25">
      <c r="A307" s="6">
        <v>305</v>
      </c>
      <c r="B307" s="7">
        <v>92.620002746582003</v>
      </c>
      <c r="C307" s="3">
        <f t="shared" si="1"/>
        <v>-3.9868068105016049E-3</v>
      </c>
    </row>
    <row r="308" spans="1:3" x14ac:dyDescent="0.25">
      <c r="A308" s="6">
        <v>306</v>
      </c>
      <c r="B308" s="7">
        <v>92.790000915527301</v>
      </c>
      <c r="C308" s="3">
        <f t="shared" si="1"/>
        <v>1.8337545248335899E-3</v>
      </c>
    </row>
    <row r="309" spans="1:3" x14ac:dyDescent="0.25">
      <c r="A309" s="6">
        <v>307</v>
      </c>
      <c r="B309" s="7">
        <v>93.099998474121094</v>
      </c>
      <c r="C309" s="3">
        <f t="shared" si="1"/>
        <v>3.3352826615973934E-3</v>
      </c>
    </row>
    <row r="310" spans="1:3" x14ac:dyDescent="0.25">
      <c r="A310" s="6">
        <v>308</v>
      </c>
      <c r="B310" s="7">
        <v>92.699996948242102</v>
      </c>
      <c r="C310" s="3">
        <f t="shared" si="1"/>
        <v>-4.3057282423327372E-3</v>
      </c>
    </row>
    <row r="311" spans="1:3" x14ac:dyDescent="0.25">
      <c r="A311" s="6">
        <v>309</v>
      </c>
      <c r="B311" s="7">
        <v>91.769996643066406</v>
      </c>
      <c r="C311" s="3">
        <f t="shared" si="1"/>
        <v>-1.008302939994897E-2</v>
      </c>
    </row>
    <row r="312" spans="1:3" x14ac:dyDescent="0.25">
      <c r="A312" s="6">
        <v>310</v>
      </c>
      <c r="B312" s="7">
        <v>92.139999389648395</v>
      </c>
      <c r="C312" s="3">
        <f t="shared" si="1"/>
        <v>4.023742632531851E-3</v>
      </c>
    </row>
    <row r="313" spans="1:3" x14ac:dyDescent="0.25">
      <c r="A313" s="6">
        <v>311</v>
      </c>
      <c r="B313" s="7">
        <v>91.190002441406193</v>
      </c>
      <c r="C313" s="3">
        <f t="shared" si="1"/>
        <v>-1.036388416528043E-2</v>
      </c>
    </row>
    <row r="314" spans="1:3" x14ac:dyDescent="0.25">
      <c r="A314" s="6">
        <v>312</v>
      </c>
      <c r="B314" s="7">
        <v>91.489997863769503</v>
      </c>
      <c r="C314" s="3">
        <f t="shared" si="1"/>
        <v>3.2843846237962273E-3</v>
      </c>
    </row>
    <row r="315" spans="1:3" x14ac:dyDescent="0.25">
      <c r="A315" s="6">
        <v>313</v>
      </c>
      <c r="B315" s="7">
        <v>92.449996948242102</v>
      </c>
      <c r="C315" s="3">
        <f t="shared" si="1"/>
        <v>1.0438271481202507E-2</v>
      </c>
    </row>
    <row r="316" spans="1:3" x14ac:dyDescent="0.25">
      <c r="A316" s="6">
        <v>314</v>
      </c>
      <c r="B316" s="7">
        <v>91.790000915527301</v>
      </c>
      <c r="C316" s="3">
        <f t="shared" si="1"/>
        <v>-7.1645556181625519E-3</v>
      </c>
    </row>
    <row r="317" spans="1:3" x14ac:dyDescent="0.25">
      <c r="A317" s="6">
        <v>315</v>
      </c>
      <c r="B317" s="7">
        <v>93.230003356933594</v>
      </c>
      <c r="C317" s="3">
        <f t="shared" si="1"/>
        <v>1.5566225110461808E-2</v>
      </c>
    </row>
    <row r="318" spans="1:3" x14ac:dyDescent="0.25">
      <c r="A318" s="6">
        <v>316</v>
      </c>
      <c r="B318" s="7">
        <v>90.330001831054602</v>
      </c>
      <c r="C318" s="3">
        <f t="shared" si="1"/>
        <v>-3.159994288313512E-2</v>
      </c>
    </row>
    <row r="319" spans="1:3" x14ac:dyDescent="0.25">
      <c r="A319" s="6">
        <v>317</v>
      </c>
      <c r="B319" s="7">
        <v>90.639999389648395</v>
      </c>
      <c r="C319" s="3">
        <f t="shared" si="1"/>
        <v>3.4259585534740546E-3</v>
      </c>
    </row>
    <row r="320" spans="1:3" x14ac:dyDescent="0.25">
      <c r="A320" s="6">
        <v>318</v>
      </c>
      <c r="B320" s="7">
        <v>88.919998168945298</v>
      </c>
      <c r="C320" s="3">
        <f t="shared" si="1"/>
        <v>-1.9158541482113687E-2</v>
      </c>
    </row>
    <row r="321" spans="1:3" x14ac:dyDescent="0.25">
      <c r="A321" s="6">
        <v>319</v>
      </c>
      <c r="B321" s="7">
        <v>90.680000305175696</v>
      </c>
      <c r="C321" s="3">
        <f t="shared" si="1"/>
        <v>1.9599760500904298E-2</v>
      </c>
    </row>
    <row r="322" spans="1:3" x14ac:dyDescent="0.25">
      <c r="A322" s="6">
        <v>320</v>
      </c>
      <c r="B322" s="7">
        <v>90.25</v>
      </c>
      <c r="C322" s="3">
        <f t="shared" si="1"/>
        <v>-4.7532317917513963E-3</v>
      </c>
    </row>
    <row r="323" spans="1:3" x14ac:dyDescent="0.25">
      <c r="A323" s="6">
        <v>321</v>
      </c>
      <c r="B323" s="7">
        <v>89.279998779296804</v>
      </c>
      <c r="C323" s="3">
        <f t="shared" si="1"/>
        <v>-1.0806112252740467E-2</v>
      </c>
    </row>
    <row r="324" spans="1:3" x14ac:dyDescent="0.25">
      <c r="A324" s="6">
        <v>322</v>
      </c>
      <c r="B324" s="7">
        <v>90.300003051757798</v>
      </c>
      <c r="C324" s="3">
        <f t="shared" si="1"/>
        <v>1.1360009258456753E-2</v>
      </c>
    </row>
    <row r="325" spans="1:3" x14ac:dyDescent="0.25">
      <c r="A325" s="6">
        <v>323</v>
      </c>
      <c r="B325" s="7">
        <v>89.349998474121094</v>
      </c>
      <c r="C325" s="3">
        <f t="shared" si="1"/>
        <v>-1.0576269690817658E-2</v>
      </c>
    </row>
    <row r="326" spans="1:3" x14ac:dyDescent="0.25">
      <c r="A326" s="6">
        <v>324</v>
      </c>
      <c r="B326" s="7">
        <v>90.330001831054602</v>
      </c>
      <c r="C326" s="3">
        <f t="shared" si="1"/>
        <v>1.0908426904588172E-2</v>
      </c>
    </row>
    <row r="327" spans="1:3" x14ac:dyDescent="0.25">
      <c r="A327" s="6">
        <v>325</v>
      </c>
      <c r="B327" s="7">
        <v>90.089996337890597</v>
      </c>
      <c r="C327" s="3">
        <f t="shared" si="1"/>
        <v>-2.6605214185843207E-3</v>
      </c>
    </row>
    <row r="328" spans="1:3" x14ac:dyDescent="0.25">
      <c r="A328" s="6">
        <v>326</v>
      </c>
      <c r="B328" s="7">
        <v>88.489997863769503</v>
      </c>
      <c r="C328" s="3">
        <f t="shared" si="1"/>
        <v>-1.7919602875559756E-2</v>
      </c>
    </row>
    <row r="329" spans="1:3" x14ac:dyDescent="0.25">
      <c r="A329" s="6">
        <v>327</v>
      </c>
      <c r="B329" s="7">
        <v>89.510002136230398</v>
      </c>
      <c r="C329" s="3">
        <f t="shared" si="1"/>
        <v>1.146084761034385E-2</v>
      </c>
    </row>
    <row r="330" spans="1:3" x14ac:dyDescent="0.25">
      <c r="A330" s="6">
        <v>328</v>
      </c>
      <c r="B330" s="7">
        <v>88.059997558593693</v>
      </c>
      <c r="C330" s="3">
        <f t="shared" si="1"/>
        <v>-1.6332002145419931E-2</v>
      </c>
    </row>
    <row r="331" spans="1:3" x14ac:dyDescent="0.25">
      <c r="A331" s="6">
        <v>329</v>
      </c>
      <c r="B331" s="7">
        <v>91.080001831054602</v>
      </c>
      <c r="C331" s="3">
        <f t="shared" si="1"/>
        <v>3.3719888696087254E-2</v>
      </c>
    </row>
    <row r="332" spans="1:3" x14ac:dyDescent="0.25">
      <c r="A332" s="6">
        <v>330</v>
      </c>
      <c r="B332" s="7">
        <v>91.809997558593693</v>
      </c>
      <c r="C332" s="3">
        <f t="shared" si="1"/>
        <v>7.9829362643209292E-3</v>
      </c>
    </row>
    <row r="333" spans="1:3" x14ac:dyDescent="0.25">
      <c r="A333" s="6">
        <v>331</v>
      </c>
      <c r="B333" s="7">
        <v>93.110000610351506</v>
      </c>
      <c r="C333" s="3">
        <f t="shared" si="1"/>
        <v>1.4060398891939357E-2</v>
      </c>
    </row>
    <row r="334" spans="1:3" x14ac:dyDescent="0.25">
      <c r="A334" s="6">
        <v>332</v>
      </c>
      <c r="B334" s="7">
        <v>92.449996948242102</v>
      </c>
      <c r="C334" s="3">
        <f t="shared" si="1"/>
        <v>-7.1136716322915327E-3</v>
      </c>
    </row>
    <row r="335" spans="1:3" x14ac:dyDescent="0.25">
      <c r="A335" s="6">
        <v>333</v>
      </c>
      <c r="B335" s="7">
        <v>91.610000610351506</v>
      </c>
      <c r="C335" s="3">
        <f t="shared" si="1"/>
        <v>-9.1274821336969469E-3</v>
      </c>
    </row>
    <row r="336" spans="1:3" x14ac:dyDescent="0.25">
      <c r="A336" s="6">
        <v>334</v>
      </c>
      <c r="B336" s="7">
        <v>89.959999084472599</v>
      </c>
      <c r="C336" s="3">
        <f t="shared" si="1"/>
        <v>-1.8175325775550834E-2</v>
      </c>
    </row>
    <row r="337" spans="1:3" x14ac:dyDescent="0.25">
      <c r="A337" s="6">
        <v>335</v>
      </c>
      <c r="B337" s="7">
        <v>90.430000305175696</v>
      </c>
      <c r="C337" s="3">
        <f t="shared" si="1"/>
        <v>5.210957213041185E-3</v>
      </c>
    </row>
    <row r="338" spans="1:3" x14ac:dyDescent="0.25">
      <c r="A338" s="6">
        <v>336</v>
      </c>
      <c r="B338" s="7">
        <v>88.959999084472599</v>
      </c>
      <c r="C338" s="3">
        <f t="shared" si="1"/>
        <v>-1.6389253916284086E-2</v>
      </c>
    </row>
    <row r="339" spans="1:3" x14ac:dyDescent="0.25">
      <c r="A339" s="6">
        <v>337</v>
      </c>
      <c r="B339" s="7">
        <v>87.790000915527301</v>
      </c>
      <c r="C339" s="3">
        <f t="shared" si="1"/>
        <v>-1.3239210844098964E-2</v>
      </c>
    </row>
    <row r="340" spans="1:3" x14ac:dyDescent="0.25">
      <c r="A340" s="6">
        <v>338</v>
      </c>
      <c r="B340" s="7">
        <v>89.019996643066406</v>
      </c>
      <c r="C340" s="3">
        <f t="shared" si="1"/>
        <v>1.3913416511103598E-2</v>
      </c>
    </row>
    <row r="341" spans="1:3" x14ac:dyDescent="0.25">
      <c r="A341" s="6">
        <v>339</v>
      </c>
      <c r="B341" s="7">
        <v>90.989997863769503</v>
      </c>
      <c r="C341" s="3">
        <f t="shared" si="1"/>
        <v>2.1888561013132076E-2</v>
      </c>
    </row>
    <row r="342" spans="1:3" x14ac:dyDescent="0.25">
      <c r="A342" s="6">
        <v>340</v>
      </c>
      <c r="B342" s="7">
        <v>92.970001220703097</v>
      </c>
      <c r="C342" s="3">
        <f t="shared" si="1"/>
        <v>2.1527286706882951E-2</v>
      </c>
    </row>
    <row r="343" spans="1:3" x14ac:dyDescent="0.25">
      <c r="A343" s="6">
        <v>341</v>
      </c>
      <c r="B343" s="7">
        <v>96.180000305175696</v>
      </c>
      <c r="C343" s="3">
        <f t="shared" si="1"/>
        <v>3.3944565424639118E-2</v>
      </c>
    </row>
    <row r="344" spans="1:3" x14ac:dyDescent="0.25">
      <c r="A344" s="6">
        <v>342</v>
      </c>
      <c r="B344" s="7">
        <v>98.639999389648395</v>
      </c>
      <c r="C344" s="3">
        <f t="shared" si="1"/>
        <v>2.5255413645939799E-2</v>
      </c>
    </row>
    <row r="345" spans="1:3" x14ac:dyDescent="0.25">
      <c r="A345" s="6">
        <v>343</v>
      </c>
      <c r="B345" s="7">
        <v>100.949996948242</v>
      </c>
      <c r="C345" s="3">
        <f t="shared" si="1"/>
        <v>2.3148461860034386E-2</v>
      </c>
    </row>
    <row r="346" spans="1:3" x14ac:dyDescent="0.25">
      <c r="A346" s="6">
        <v>344</v>
      </c>
      <c r="B346" s="7">
        <v>100</v>
      </c>
      <c r="C346" s="3">
        <f t="shared" si="1"/>
        <v>-9.4551285403634746E-3</v>
      </c>
    </row>
    <row r="347" spans="1:3" x14ac:dyDescent="0.25">
      <c r="A347" s="6">
        <v>345</v>
      </c>
      <c r="B347" s="7">
        <v>98.639999389648395</v>
      </c>
      <c r="C347" s="3">
        <f t="shared" si="1"/>
        <v>-1.3693333319670901E-2</v>
      </c>
    </row>
    <row r="348" spans="1:3" x14ac:dyDescent="0.25">
      <c r="A348" s="6">
        <v>346</v>
      </c>
      <c r="B348" s="7">
        <v>98.720001220703097</v>
      </c>
      <c r="C348" s="3">
        <f t="shared" si="1"/>
        <v>8.1071985396390046E-4</v>
      </c>
    </row>
    <row r="349" spans="1:3" x14ac:dyDescent="0.25">
      <c r="A349" s="6">
        <v>347</v>
      </c>
      <c r="B349" s="7">
        <v>98.480003356933594</v>
      </c>
      <c r="C349" s="3">
        <f t="shared" si="1"/>
        <v>-2.4340565587216471E-3</v>
      </c>
    </row>
    <row r="350" spans="1:3" x14ac:dyDescent="0.25">
      <c r="A350" s="6">
        <v>348</v>
      </c>
      <c r="B350" s="7">
        <v>99.699996948242102</v>
      </c>
      <c r="C350" s="3">
        <f t="shared" si="1"/>
        <v>1.2312130394722016E-2</v>
      </c>
    </row>
    <row r="351" spans="1:3" x14ac:dyDescent="0.25">
      <c r="A351" s="6">
        <v>349</v>
      </c>
      <c r="B351" s="7">
        <v>99.680000305175696</v>
      </c>
      <c r="C351" s="3">
        <f t="shared" si="1"/>
        <v>-2.0058825768799689E-4</v>
      </c>
    </row>
    <row r="352" spans="1:3" x14ac:dyDescent="0.25">
      <c r="A352" s="6">
        <v>350</v>
      </c>
      <c r="B352" s="7">
        <v>98.540000915527301</v>
      </c>
      <c r="C352" s="3">
        <f t="shared" si="1"/>
        <v>-1.150249169395956E-2</v>
      </c>
    </row>
    <row r="353" spans="1:3" x14ac:dyDescent="0.25">
      <c r="A353" s="6">
        <v>351</v>
      </c>
      <c r="B353" s="7">
        <v>95.970001220703097</v>
      </c>
      <c r="C353" s="3">
        <f t="shared" si="1"/>
        <v>-2.6426911057569023E-2</v>
      </c>
    </row>
    <row r="354" spans="1:3" x14ac:dyDescent="0.25">
      <c r="A354" s="6">
        <v>352</v>
      </c>
      <c r="B354" s="7">
        <v>97.120002746582003</v>
      </c>
      <c r="C354" s="3">
        <f t="shared" si="1"/>
        <v>1.1911700242311776E-2</v>
      </c>
    </row>
    <row r="355" spans="1:3" x14ac:dyDescent="0.25">
      <c r="A355" s="6">
        <v>353</v>
      </c>
      <c r="B355" s="7">
        <v>97.410003662109304</v>
      </c>
      <c r="C355" s="3">
        <f t="shared" si="1"/>
        <v>2.9815567861817605E-3</v>
      </c>
    </row>
    <row r="356" spans="1:3" x14ac:dyDescent="0.25">
      <c r="A356" s="6">
        <v>354</v>
      </c>
      <c r="B356" s="7">
        <v>97.080001831054602</v>
      </c>
      <c r="C356" s="3">
        <f t="shared" si="1"/>
        <v>-3.3935126579656108E-3</v>
      </c>
    </row>
    <row r="357" spans="1:3" x14ac:dyDescent="0.25">
      <c r="A357" s="6">
        <v>355</v>
      </c>
      <c r="B357" s="7">
        <v>96.209999084472599</v>
      </c>
      <c r="C357" s="3">
        <f t="shared" si="1"/>
        <v>-9.0021068624508167E-3</v>
      </c>
    </row>
    <row r="358" spans="1:3" x14ac:dyDescent="0.25">
      <c r="A358" s="6">
        <v>356</v>
      </c>
      <c r="B358" s="7">
        <v>94.930000305175696</v>
      </c>
      <c r="C358" s="3">
        <f t="shared" si="1"/>
        <v>-1.3393511748793958E-2</v>
      </c>
    </row>
    <row r="359" spans="1:3" x14ac:dyDescent="0.25">
      <c r="A359" s="6">
        <v>357</v>
      </c>
      <c r="B359" s="7">
        <v>95.480003356933594</v>
      </c>
      <c r="C359" s="3">
        <f t="shared" si="1"/>
        <v>5.7770555206772631E-3</v>
      </c>
    </row>
    <row r="360" spans="1:3" x14ac:dyDescent="0.25">
      <c r="A360" s="6">
        <v>358</v>
      </c>
      <c r="B360" s="7">
        <v>95.550003051757798</v>
      </c>
      <c r="C360" s="3">
        <f t="shared" si="1"/>
        <v>7.3286599600980368E-4</v>
      </c>
    </row>
    <row r="361" spans="1:3" x14ac:dyDescent="0.25">
      <c r="A361" s="6">
        <v>359</v>
      </c>
      <c r="B361" s="7">
        <v>94.410003662109304</v>
      </c>
      <c r="C361" s="3">
        <f t="shared" si="1"/>
        <v>-1.2002664091292459E-2</v>
      </c>
    </row>
    <row r="362" spans="1:3" x14ac:dyDescent="0.25">
      <c r="A362" s="6">
        <v>360</v>
      </c>
      <c r="B362" s="7">
        <v>94.279998779296804</v>
      </c>
      <c r="C362" s="3">
        <f t="shared" si="1"/>
        <v>-1.3779734135526528E-3</v>
      </c>
    </row>
    <row r="363" spans="1:3" x14ac:dyDescent="0.25">
      <c r="A363" s="6">
        <v>361</v>
      </c>
      <c r="B363" s="7">
        <v>94.610000610351506</v>
      </c>
      <c r="C363" s="3">
        <f t="shared" si="1"/>
        <v>3.494120047295976E-3</v>
      </c>
    </row>
    <row r="364" spans="1:3" x14ac:dyDescent="0.25">
      <c r="A364" s="6">
        <v>362</v>
      </c>
      <c r="B364" s="7">
        <v>94.5</v>
      </c>
      <c r="C364" s="3">
        <f t="shared" si="1"/>
        <v>-1.163350667892476E-3</v>
      </c>
    </row>
    <row r="365" spans="1:3" x14ac:dyDescent="0.25">
      <c r="A365" s="6">
        <v>363</v>
      </c>
      <c r="B365" s="7">
        <v>96.389999389648395</v>
      </c>
      <c r="C365" s="3">
        <f t="shared" si="1"/>
        <v>1.9802620964074716E-2</v>
      </c>
    </row>
    <row r="366" spans="1:3" x14ac:dyDescent="0.25">
      <c r="A366" s="6">
        <v>364</v>
      </c>
      <c r="B366" s="7">
        <v>96.910003662109304</v>
      </c>
      <c r="C366" s="3">
        <f t="shared" si="1"/>
        <v>5.3802950714520563E-3</v>
      </c>
    </row>
    <row r="367" spans="1:3" x14ac:dyDescent="0.25">
      <c r="A367" s="6">
        <v>365</v>
      </c>
      <c r="B367" s="7">
        <v>96.330001831054602</v>
      </c>
      <c r="C367" s="3">
        <f t="shared" si="1"/>
        <v>-6.0029347575468166E-3</v>
      </c>
    </row>
    <row r="368" spans="1:3" x14ac:dyDescent="0.25">
      <c r="A368" s="6">
        <v>366</v>
      </c>
      <c r="B368" s="7">
        <v>96.389999389648395</v>
      </c>
      <c r="C368" s="3">
        <f t="shared" si="1"/>
        <v>6.2263968609466429E-4</v>
      </c>
    </row>
    <row r="369" spans="1:3" x14ac:dyDescent="0.25">
      <c r="A369" s="6">
        <v>367</v>
      </c>
      <c r="B369" s="7">
        <v>95.849998474121094</v>
      </c>
      <c r="C369" s="3">
        <f t="shared" si="1"/>
        <v>-5.6180018915644534E-3</v>
      </c>
    </row>
    <row r="370" spans="1:3" x14ac:dyDescent="0.25">
      <c r="A370" s="6">
        <v>368</v>
      </c>
      <c r="B370" s="7">
        <v>95.800003051757798</v>
      </c>
      <c r="C370" s="3">
        <f t="shared" si="1"/>
        <v>-5.217367398836155E-4</v>
      </c>
    </row>
    <row r="371" spans="1:3" x14ac:dyDescent="0.25">
      <c r="A371" s="6">
        <v>369</v>
      </c>
      <c r="B371" s="7">
        <v>94.160003662109304</v>
      </c>
      <c r="C371" s="3">
        <f t="shared" si="1"/>
        <v>-1.7267214987893478E-2</v>
      </c>
    </row>
    <row r="372" spans="1:3" x14ac:dyDescent="0.25">
      <c r="A372" s="6">
        <v>370</v>
      </c>
      <c r="B372" s="7">
        <v>95.010002136230398</v>
      </c>
      <c r="C372" s="3">
        <f t="shared" si="1"/>
        <v>8.986669858496556E-3</v>
      </c>
    </row>
    <row r="373" spans="1:3" x14ac:dyDescent="0.25">
      <c r="A373" s="6">
        <v>371</v>
      </c>
      <c r="B373" s="7">
        <v>95.849998474121094</v>
      </c>
      <c r="C373" s="3">
        <f t="shared" si="1"/>
        <v>8.8022818692804778E-3</v>
      </c>
    </row>
    <row r="374" spans="1:3" x14ac:dyDescent="0.25">
      <c r="A374" s="6">
        <v>372</v>
      </c>
      <c r="B374" s="7">
        <v>97.709999084472599</v>
      </c>
      <c r="C374" s="3">
        <f t="shared" si="1"/>
        <v>1.9219445014201152E-2</v>
      </c>
    </row>
    <row r="375" spans="1:3" x14ac:dyDescent="0.25">
      <c r="A375" s="6">
        <v>373</v>
      </c>
      <c r="B375" s="7">
        <v>98.069999694824205</v>
      </c>
      <c r="C375" s="3">
        <f t="shared" si="1"/>
        <v>3.6776077060044778E-3</v>
      </c>
    </row>
    <row r="376" spans="1:3" x14ac:dyDescent="0.25">
      <c r="A376" s="6">
        <v>374</v>
      </c>
      <c r="B376" s="7">
        <v>98.870002746582003</v>
      </c>
      <c r="C376" s="3">
        <f t="shared" si="1"/>
        <v>8.124377396359168E-3</v>
      </c>
    </row>
    <row r="377" spans="1:3" x14ac:dyDescent="0.25">
      <c r="A377" s="6">
        <v>375</v>
      </c>
      <c r="B377" s="7">
        <v>98.089996337890597</v>
      </c>
      <c r="C377" s="3">
        <f t="shared" si="1"/>
        <v>-7.9204964467254682E-3</v>
      </c>
    </row>
    <row r="378" spans="1:3" x14ac:dyDescent="0.25">
      <c r="A378" s="6">
        <v>376</v>
      </c>
      <c r="B378" s="7">
        <v>96.970001220703097</v>
      </c>
      <c r="C378" s="3">
        <f t="shared" si="1"/>
        <v>-1.14837223371306E-2</v>
      </c>
    </row>
    <row r="379" spans="1:3" x14ac:dyDescent="0.25">
      <c r="A379" s="6">
        <v>377</v>
      </c>
      <c r="B379" s="7">
        <v>96.739997863769503</v>
      </c>
      <c r="C379" s="3">
        <f t="shared" si="1"/>
        <v>-2.374719592263385E-3</v>
      </c>
    </row>
    <row r="380" spans="1:3" x14ac:dyDescent="0.25">
      <c r="A380" s="6">
        <v>378</v>
      </c>
      <c r="B380" s="7">
        <v>97.699996948242102</v>
      </c>
      <c r="C380" s="3">
        <f t="shared" si="1"/>
        <v>9.874582500076716E-3</v>
      </c>
    </row>
    <row r="381" spans="1:3" x14ac:dyDescent="0.25">
      <c r="A381" s="6">
        <v>379</v>
      </c>
      <c r="B381" s="7">
        <v>94.830001831054602</v>
      </c>
      <c r="C381" s="3">
        <f t="shared" si="1"/>
        <v>-2.9815693608281929E-2</v>
      </c>
    </row>
    <row r="382" spans="1:3" x14ac:dyDescent="0.25">
      <c r="A382" s="6">
        <v>380</v>
      </c>
      <c r="B382" s="7">
        <v>95.010002136230398</v>
      </c>
      <c r="C382" s="3">
        <f t="shared" si="1"/>
        <v>1.8963374984794174E-3</v>
      </c>
    </row>
    <row r="383" spans="1:3" x14ac:dyDescent="0.25">
      <c r="A383" s="6">
        <v>381</v>
      </c>
      <c r="B383" s="7">
        <v>94.900001525878906</v>
      </c>
      <c r="C383" s="3">
        <f t="shared" si="1"/>
        <v>-1.1584500082365016E-3</v>
      </c>
    </row>
    <row r="384" spans="1:3" x14ac:dyDescent="0.25">
      <c r="A384" s="6">
        <v>382</v>
      </c>
      <c r="B384" s="7">
        <v>94.580001831054602</v>
      </c>
      <c r="C384" s="3">
        <f t="shared" si="1"/>
        <v>-3.3776651191109383E-3</v>
      </c>
    </row>
    <row r="385" spans="1:3" x14ac:dyDescent="0.25">
      <c r="A385" s="6">
        <v>383</v>
      </c>
      <c r="B385" s="7">
        <v>95.930000305175696</v>
      </c>
      <c r="C385" s="3">
        <f t="shared" si="1"/>
        <v>1.4172705435509851E-2</v>
      </c>
    </row>
    <row r="386" spans="1:3" x14ac:dyDescent="0.25">
      <c r="A386" s="6">
        <v>384</v>
      </c>
      <c r="B386" s="7">
        <v>93.879997253417898</v>
      </c>
      <c r="C386" s="3">
        <f t="shared" si="1"/>
        <v>-2.1601420284574065E-2</v>
      </c>
    </row>
    <row r="387" spans="1:3" x14ac:dyDescent="0.25">
      <c r="A387" s="6">
        <v>385</v>
      </c>
      <c r="B387" s="7">
        <v>96.779998779296804</v>
      </c>
      <c r="C387" s="3">
        <f t="shared" si="1"/>
        <v>3.0423007025480859E-2</v>
      </c>
    </row>
    <row r="388" spans="1:3" x14ac:dyDescent="0.25">
      <c r="A388" s="6">
        <v>386</v>
      </c>
      <c r="B388" s="7">
        <v>96.589996337890597</v>
      </c>
      <c r="C388" s="3">
        <f t="shared" si="1"/>
        <v>-1.9651704747524852E-3</v>
      </c>
    </row>
    <row r="389" spans="1:3" x14ac:dyDescent="0.25">
      <c r="A389" s="6">
        <v>387</v>
      </c>
      <c r="B389" s="7">
        <v>94.459999084472599</v>
      </c>
      <c r="C389" s="3">
        <f t="shared" si="1"/>
        <v>-2.2298723501495858E-2</v>
      </c>
    </row>
    <row r="390" spans="1:3" x14ac:dyDescent="0.25">
      <c r="A390" s="6">
        <v>388</v>
      </c>
      <c r="B390" s="7">
        <v>95.760002136230398</v>
      </c>
      <c r="C390" s="3">
        <f t="shared" si="1"/>
        <v>1.3668628782140126E-2</v>
      </c>
    </row>
    <row r="391" spans="1:3" x14ac:dyDescent="0.25">
      <c r="A391" s="6">
        <v>389</v>
      </c>
      <c r="B391" s="7">
        <v>97.120002746582003</v>
      </c>
      <c r="C391" s="3">
        <f t="shared" si="1"/>
        <v>1.4102272033592309E-2</v>
      </c>
    </row>
    <row r="392" spans="1:3" x14ac:dyDescent="0.25">
      <c r="A392" s="6">
        <v>390</v>
      </c>
      <c r="B392" s="7">
        <v>96.709999084472599</v>
      </c>
      <c r="C392" s="3">
        <f t="shared" si="1"/>
        <v>-4.2305553293377493E-3</v>
      </c>
    </row>
    <row r="393" spans="1:3" x14ac:dyDescent="0.25">
      <c r="A393" s="6">
        <v>391</v>
      </c>
      <c r="B393" s="7">
        <v>98.360000610351506</v>
      </c>
      <c r="C393" s="3">
        <f t="shared" si="1"/>
        <v>1.6917423291131172E-2</v>
      </c>
    </row>
    <row r="394" spans="1:3" x14ac:dyDescent="0.25">
      <c r="A394" s="6">
        <v>392</v>
      </c>
      <c r="B394" s="7">
        <v>98.019996643066406</v>
      </c>
      <c r="C394" s="3">
        <f t="shared" si="1"/>
        <v>-3.4627183193077543E-3</v>
      </c>
    </row>
    <row r="395" spans="1:3" x14ac:dyDescent="0.25">
      <c r="A395" s="6">
        <v>393</v>
      </c>
      <c r="B395" s="7">
        <v>98.190002441406193</v>
      </c>
      <c r="C395" s="3">
        <f t="shared" si="1"/>
        <v>1.7328968113349457E-3</v>
      </c>
    </row>
    <row r="396" spans="1:3" x14ac:dyDescent="0.25">
      <c r="A396" s="6">
        <v>394</v>
      </c>
      <c r="B396" s="7">
        <v>98.080001831054602</v>
      </c>
      <c r="C396" s="3">
        <f t="shared" si="1"/>
        <v>-1.1209111884089341E-3</v>
      </c>
    </row>
    <row r="397" spans="1:3" x14ac:dyDescent="0.25">
      <c r="A397" s="6">
        <v>395</v>
      </c>
      <c r="B397" s="7">
        <v>97.220001220703097</v>
      </c>
      <c r="C397" s="3">
        <f t="shared" si="1"/>
        <v>-8.8070266834920589E-3</v>
      </c>
    </row>
    <row r="398" spans="1:3" x14ac:dyDescent="0.25">
      <c r="A398" s="6">
        <v>396</v>
      </c>
      <c r="B398" s="7">
        <v>96</v>
      </c>
      <c r="C398" s="3">
        <f t="shared" si="1"/>
        <v>-1.2628272705563425E-2</v>
      </c>
    </row>
    <row r="399" spans="1:3" x14ac:dyDescent="0.25">
      <c r="A399" s="6">
        <v>397</v>
      </c>
      <c r="B399" s="7">
        <v>96.5</v>
      </c>
      <c r="C399" s="3">
        <f t="shared" si="1"/>
        <v>5.19481687710393E-3</v>
      </c>
    </row>
    <row r="400" spans="1:3" x14ac:dyDescent="0.25">
      <c r="A400" s="6">
        <v>398</v>
      </c>
      <c r="B400" s="7">
        <v>96.019996643066406</v>
      </c>
      <c r="C400" s="3">
        <f t="shared" si="1"/>
        <v>-4.9865402029213024E-3</v>
      </c>
    </row>
    <row r="401" spans="1:3" x14ac:dyDescent="0.25">
      <c r="A401" s="6">
        <v>399</v>
      </c>
      <c r="B401" s="7">
        <v>97.489997863769503</v>
      </c>
      <c r="C401" s="3">
        <f t="shared" si="1"/>
        <v>1.5193318586857187E-2</v>
      </c>
    </row>
    <row r="402" spans="1:3" x14ac:dyDescent="0.25">
      <c r="A402" s="6">
        <v>400</v>
      </c>
      <c r="B402" s="7">
        <v>99.169998168945298</v>
      </c>
      <c r="C402" s="3">
        <f t="shared" si="1"/>
        <v>1.7085744005360799E-2</v>
      </c>
    </row>
    <row r="403" spans="1:3" x14ac:dyDescent="0.25">
      <c r="A403" s="6">
        <v>401</v>
      </c>
      <c r="B403" s="7">
        <v>99.279998779296804</v>
      </c>
      <c r="C403" s="3">
        <f t="shared" si="1"/>
        <v>1.108597866554698E-3</v>
      </c>
    </row>
    <row r="404" spans="1:3" x14ac:dyDescent="0.25">
      <c r="A404" s="6">
        <v>402</v>
      </c>
      <c r="B404" s="7">
        <v>97.790000915527301</v>
      </c>
      <c r="C404" s="3">
        <f t="shared" si="1"/>
        <v>-1.5121796914430843E-2</v>
      </c>
    </row>
    <row r="405" spans="1:3" x14ac:dyDescent="0.25">
      <c r="A405" s="6">
        <v>403</v>
      </c>
      <c r="B405" s="7">
        <v>98.720001220703097</v>
      </c>
      <c r="C405" s="3">
        <f t="shared" si="1"/>
        <v>9.4652408360237431E-3</v>
      </c>
    </row>
    <row r="406" spans="1:3" x14ac:dyDescent="0.25">
      <c r="A406" s="6">
        <v>404</v>
      </c>
      <c r="B406" s="7">
        <v>99.040000915527301</v>
      </c>
      <c r="C406" s="3">
        <f t="shared" si="1"/>
        <v>3.2362456579170477E-3</v>
      </c>
    </row>
    <row r="407" spans="1:3" x14ac:dyDescent="0.25">
      <c r="A407" s="6">
        <v>405</v>
      </c>
      <c r="B407" s="7">
        <v>100.56999969482401</v>
      </c>
      <c r="C407" s="3">
        <f t="shared" si="1"/>
        <v>1.5330181241624021E-2</v>
      </c>
    </row>
    <row r="408" spans="1:3" x14ac:dyDescent="0.25">
      <c r="A408" s="6">
        <v>406</v>
      </c>
      <c r="B408" s="7">
        <v>100.23999786376901</v>
      </c>
      <c r="C408" s="3">
        <f t="shared" si="1"/>
        <v>-3.286710145276095E-3</v>
      </c>
    </row>
    <row r="409" spans="1:3" x14ac:dyDescent="0.25">
      <c r="A409" s="6">
        <v>407</v>
      </c>
      <c r="B409" s="7">
        <v>100.980003356933</v>
      </c>
      <c r="C409" s="3">
        <f t="shared" si="1"/>
        <v>7.3552213976627971E-3</v>
      </c>
    </row>
    <row r="410" spans="1:3" x14ac:dyDescent="0.25">
      <c r="A410" s="6">
        <v>408</v>
      </c>
      <c r="B410" s="7">
        <v>101.059997558593</v>
      </c>
      <c r="C410" s="3">
        <f t="shared" si="1"/>
        <v>7.9186503145451477E-4</v>
      </c>
    </row>
    <row r="411" spans="1:3" x14ac:dyDescent="0.25">
      <c r="A411" s="6">
        <v>409</v>
      </c>
      <c r="B411" s="7">
        <v>102.120002746582</v>
      </c>
      <c r="C411" s="3">
        <f t="shared" si="1"/>
        <v>1.0434243563148459E-2</v>
      </c>
    </row>
    <row r="412" spans="1:3" x14ac:dyDescent="0.25">
      <c r="A412" s="6">
        <v>410</v>
      </c>
      <c r="B412" s="7">
        <v>102.08999633789</v>
      </c>
      <c r="C412" s="3">
        <f t="shared" si="1"/>
        <v>-2.9387795937987313E-4</v>
      </c>
    </row>
    <row r="413" spans="1:3" x14ac:dyDescent="0.25">
      <c r="A413" s="6">
        <v>411</v>
      </c>
      <c r="B413" s="7">
        <v>103.430000305175</v>
      </c>
      <c r="C413" s="3">
        <f t="shared" si="1"/>
        <v>1.3040317030723114E-2</v>
      </c>
    </row>
    <row r="414" spans="1:3" x14ac:dyDescent="0.25">
      <c r="A414" s="6">
        <v>412</v>
      </c>
      <c r="B414" s="7">
        <v>105.680000305175</v>
      </c>
      <c r="C414" s="3">
        <f t="shared" si="1"/>
        <v>2.1520604761538463E-2</v>
      </c>
    </row>
    <row r="415" spans="1:3" x14ac:dyDescent="0.25">
      <c r="A415" s="6">
        <v>413</v>
      </c>
      <c r="B415" s="7">
        <v>105.370002746582</v>
      </c>
      <c r="C415" s="3">
        <f t="shared" si="1"/>
        <v>-2.9376714242890802E-3</v>
      </c>
    </row>
    <row r="416" spans="1:3" x14ac:dyDescent="0.25">
      <c r="A416" s="6">
        <v>414</v>
      </c>
      <c r="B416" s="7">
        <v>105.58999633789</v>
      </c>
      <c r="C416" s="3">
        <f t="shared" si="1"/>
        <v>2.0856434585582256E-3</v>
      </c>
    </row>
    <row r="417" spans="1:3" x14ac:dyDescent="0.25">
      <c r="A417" s="6">
        <v>415</v>
      </c>
      <c r="B417" s="7">
        <v>105.709999084472</v>
      </c>
      <c r="C417" s="3">
        <f t="shared" si="1"/>
        <v>1.1358519837543584E-3</v>
      </c>
    </row>
    <row r="418" spans="1:3" x14ac:dyDescent="0.25">
      <c r="A418" s="6">
        <v>416</v>
      </c>
      <c r="B418" s="7">
        <v>104.76000213623</v>
      </c>
      <c r="C418" s="3">
        <f t="shared" si="1"/>
        <v>-9.027447088652529E-3</v>
      </c>
    </row>
    <row r="419" spans="1:3" x14ac:dyDescent="0.25">
      <c r="A419" s="6">
        <v>417</v>
      </c>
      <c r="B419" s="7">
        <v>103.5</v>
      </c>
      <c r="C419" s="3">
        <f t="shared" si="1"/>
        <v>-1.2100427325744241E-2</v>
      </c>
    </row>
    <row r="420" spans="1:3" x14ac:dyDescent="0.25">
      <c r="A420" s="6">
        <v>418</v>
      </c>
      <c r="B420" s="7">
        <v>103.02999877929599</v>
      </c>
      <c r="C420" s="3">
        <f t="shared" si="1"/>
        <v>-4.5514165964914361E-3</v>
      </c>
    </row>
    <row r="421" spans="1:3" x14ac:dyDescent="0.25">
      <c r="A421" s="6">
        <v>419</v>
      </c>
      <c r="B421" s="7">
        <v>103.23999786376901</v>
      </c>
      <c r="C421" s="3">
        <f t="shared" si="1"/>
        <v>2.0361580495880261E-3</v>
      </c>
    </row>
    <row r="422" spans="1:3" x14ac:dyDescent="0.25">
      <c r="A422" s="6">
        <v>420</v>
      </c>
      <c r="B422" s="7">
        <v>102.900001525878</v>
      </c>
      <c r="C422" s="3">
        <f t="shared" si="1"/>
        <v>-3.2986964897701856E-3</v>
      </c>
    </row>
    <row r="423" spans="1:3" x14ac:dyDescent="0.25">
      <c r="A423" s="6">
        <v>421</v>
      </c>
      <c r="B423" s="7">
        <v>103.480003356933</v>
      </c>
      <c r="C423" s="3">
        <f t="shared" si="1"/>
        <v>5.6207320894816042E-3</v>
      </c>
    </row>
    <row r="424" spans="1:3" x14ac:dyDescent="0.25">
      <c r="A424" s="6">
        <v>422</v>
      </c>
      <c r="B424" s="7">
        <v>105.470001220703</v>
      </c>
      <c r="C424" s="3">
        <f t="shared" si="1"/>
        <v>1.9048174104226632E-2</v>
      </c>
    </row>
    <row r="425" spans="1:3" x14ac:dyDescent="0.25">
      <c r="A425" s="6">
        <v>423</v>
      </c>
      <c r="B425" s="7">
        <v>105.81999969482401</v>
      </c>
      <c r="C425" s="3">
        <f t="shared" si="1"/>
        <v>3.3129707296112223E-3</v>
      </c>
    </row>
    <row r="426" spans="1:3" x14ac:dyDescent="0.25">
      <c r="A426" s="6">
        <v>424</v>
      </c>
      <c r="B426" s="7">
        <v>104.959999084472</v>
      </c>
      <c r="C426" s="3">
        <f t="shared" si="1"/>
        <v>-8.1602181189279494E-3</v>
      </c>
    </row>
    <row r="427" spans="1:3" x14ac:dyDescent="0.25">
      <c r="A427" s="6">
        <v>425</v>
      </c>
      <c r="B427" s="7">
        <v>104.26999664306599</v>
      </c>
      <c r="C427" s="3">
        <f t="shared" si="1"/>
        <v>-6.5956598662698634E-3</v>
      </c>
    </row>
    <row r="428" spans="1:3" x14ac:dyDescent="0.25">
      <c r="A428" s="6">
        <v>426</v>
      </c>
      <c r="B428" s="7">
        <v>105.26999664306599</v>
      </c>
      <c r="C428" s="3">
        <f t="shared" si="1"/>
        <v>9.5447897675608601E-3</v>
      </c>
    </row>
    <row r="429" spans="1:3" x14ac:dyDescent="0.25">
      <c r="A429" s="6">
        <v>427</v>
      </c>
      <c r="B429" s="7">
        <v>105.059997558593</v>
      </c>
      <c r="C429" s="3">
        <f t="shared" si="1"/>
        <v>-1.9968540868337517E-3</v>
      </c>
    </row>
    <row r="430" spans="1:3" x14ac:dyDescent="0.25">
      <c r="A430" s="6">
        <v>428</v>
      </c>
      <c r="B430" s="7">
        <v>104.389999389648</v>
      </c>
      <c r="C430" s="3">
        <f t="shared" si="1"/>
        <v>-6.397712714235451E-3</v>
      </c>
    </row>
    <row r="431" spans="1:3" x14ac:dyDescent="0.25">
      <c r="A431" s="6">
        <v>429</v>
      </c>
      <c r="B431" s="7">
        <v>104.209999084472</v>
      </c>
      <c r="C431" s="3">
        <f t="shared" si="1"/>
        <v>-1.7257943544414097E-3</v>
      </c>
    </row>
    <row r="432" spans="1:3" x14ac:dyDescent="0.25">
      <c r="A432" s="6">
        <v>430</v>
      </c>
      <c r="B432" s="7">
        <v>104.980003356933</v>
      </c>
      <c r="C432" s="3">
        <f t="shared" si="1"/>
        <v>7.361802582112398E-3</v>
      </c>
    </row>
    <row r="433" spans="1:3" x14ac:dyDescent="0.25">
      <c r="A433" s="6">
        <v>431</v>
      </c>
      <c r="B433" s="7">
        <v>104.389999389648</v>
      </c>
      <c r="C433" s="3">
        <f t="shared" si="1"/>
        <v>-5.6360082276711064E-3</v>
      </c>
    </row>
    <row r="434" spans="1:3" x14ac:dyDescent="0.25">
      <c r="A434" s="6">
        <v>432</v>
      </c>
      <c r="B434" s="7">
        <v>104.139999389648</v>
      </c>
      <c r="C434" s="3">
        <f t="shared" si="1"/>
        <v>-2.3977376994899929E-3</v>
      </c>
    </row>
    <row r="435" spans="1:3" x14ac:dyDescent="0.25">
      <c r="A435" s="6">
        <v>433</v>
      </c>
      <c r="B435" s="7">
        <v>105.699996948242</v>
      </c>
      <c r="C435" s="3">
        <f t="shared" si="1"/>
        <v>1.4868722130435564E-2</v>
      </c>
    </row>
    <row r="436" spans="1:3" x14ac:dyDescent="0.25">
      <c r="A436" s="6">
        <v>434</v>
      </c>
      <c r="B436" s="7">
        <v>106.08999633789</v>
      </c>
      <c r="C436" s="3">
        <f t="shared" si="1"/>
        <v>3.6828919479717317E-3</v>
      </c>
    </row>
    <row r="437" spans="1:3" x14ac:dyDescent="0.25">
      <c r="A437" s="6">
        <v>435</v>
      </c>
      <c r="B437" s="7">
        <v>105.459999084472</v>
      </c>
      <c r="C437" s="3">
        <f t="shared" si="1"/>
        <v>-5.9560305312388326E-3</v>
      </c>
    </row>
    <row r="438" spans="1:3" x14ac:dyDescent="0.25">
      <c r="A438" s="6">
        <v>436</v>
      </c>
      <c r="B438" s="7">
        <v>105.220001220703</v>
      </c>
      <c r="C438" s="3">
        <f t="shared" si="1"/>
        <v>-2.2783175169454987E-3</v>
      </c>
    </row>
    <row r="439" spans="1:3" x14ac:dyDescent="0.25">
      <c r="A439" s="6">
        <v>437</v>
      </c>
      <c r="B439" s="7">
        <v>106.08000183105401</v>
      </c>
      <c r="C439" s="3">
        <f t="shared" si="1"/>
        <v>8.1401357945232716E-3</v>
      </c>
    </row>
    <row r="440" spans="1:3" x14ac:dyDescent="0.25">
      <c r="A440" s="6">
        <v>438</v>
      </c>
      <c r="B440" s="7">
        <v>106.059997558593</v>
      </c>
      <c r="C440" s="3">
        <f t="shared" si="1"/>
        <v>-1.8859500874760163E-4</v>
      </c>
    </row>
    <row r="441" spans="1:3" x14ac:dyDescent="0.25">
      <c r="A441" s="6">
        <v>439</v>
      </c>
      <c r="B441" s="7">
        <v>105.720001220703</v>
      </c>
      <c r="C441" s="3">
        <f t="shared" si="1"/>
        <v>-3.2108474072170411E-3</v>
      </c>
    </row>
    <row r="442" spans="1:3" x14ac:dyDescent="0.25">
      <c r="A442" s="6">
        <v>440</v>
      </c>
      <c r="B442" s="7">
        <v>107.400001525878</v>
      </c>
      <c r="C442" s="3">
        <f t="shared" si="1"/>
        <v>1.5766094999539636E-2</v>
      </c>
    </row>
    <row r="443" spans="1:3" x14ac:dyDescent="0.25">
      <c r="A443" s="6">
        <v>441</v>
      </c>
      <c r="B443" s="7">
        <v>109.44000244140599</v>
      </c>
      <c r="C443" s="3">
        <f t="shared" si="1"/>
        <v>1.8816279900214464E-2</v>
      </c>
    </row>
    <row r="444" spans="1:3" x14ac:dyDescent="0.25">
      <c r="A444" s="6">
        <v>442</v>
      </c>
      <c r="B444" s="7">
        <v>110.550003051757</v>
      </c>
      <c r="C444" s="3">
        <f t="shared" si="1"/>
        <v>1.00914587262655E-2</v>
      </c>
    </row>
    <row r="445" spans="1:3" x14ac:dyDescent="0.25">
      <c r="A445" s="6">
        <v>443</v>
      </c>
      <c r="B445" s="7">
        <v>112.09999847412099</v>
      </c>
      <c r="C445" s="3">
        <f t="shared" si="1"/>
        <v>1.3923381557673429E-2</v>
      </c>
    </row>
    <row r="446" spans="1:3" x14ac:dyDescent="0.25">
      <c r="A446" s="6">
        <v>444</v>
      </c>
      <c r="B446" s="7">
        <v>112.84999847412099</v>
      </c>
      <c r="C446" s="3">
        <f t="shared" si="1"/>
        <v>6.6681732758940614E-3</v>
      </c>
    </row>
    <row r="447" spans="1:3" x14ac:dyDescent="0.25">
      <c r="A447" s="6">
        <v>445</v>
      </c>
      <c r="B447" s="7">
        <v>112.669998168945</v>
      </c>
      <c r="C447" s="3">
        <f t="shared" si="1"/>
        <v>-1.5963138176541233E-3</v>
      </c>
    </row>
    <row r="448" spans="1:3" x14ac:dyDescent="0.25">
      <c r="A448" s="6">
        <v>446</v>
      </c>
      <c r="B448" s="7">
        <v>113.51000213623</v>
      </c>
      <c r="C448" s="3">
        <f t="shared" si="1"/>
        <v>7.4277816624117466E-3</v>
      </c>
    </row>
    <row r="449" spans="1:3" x14ac:dyDescent="0.25">
      <c r="A449" s="6">
        <v>447</v>
      </c>
      <c r="B449" s="7">
        <v>113.309997558593</v>
      </c>
      <c r="C449" s="3">
        <f t="shared" si="1"/>
        <v>-1.7635537407869419E-3</v>
      </c>
    </row>
    <row r="450" spans="1:3" x14ac:dyDescent="0.25">
      <c r="A450" s="6">
        <v>448</v>
      </c>
      <c r="B450" s="7">
        <v>113.02999877929599</v>
      </c>
      <c r="C450" s="3">
        <f t="shared" si="1"/>
        <v>-2.4741444433958393E-3</v>
      </c>
    </row>
    <row r="451" spans="1:3" x14ac:dyDescent="0.25">
      <c r="A451" s="6">
        <v>449</v>
      </c>
      <c r="B451" s="7">
        <v>114.58000183105401</v>
      </c>
      <c r="C451" s="3">
        <f t="shared" si="1"/>
        <v>1.3620025558187622E-2</v>
      </c>
    </row>
    <row r="452" spans="1:3" x14ac:dyDescent="0.25">
      <c r="A452" s="6">
        <v>450</v>
      </c>
      <c r="B452" s="7">
        <v>114.73999786376901</v>
      </c>
      <c r="C452" s="3">
        <f t="shared" si="1"/>
        <v>1.3953955947061346E-3</v>
      </c>
    </row>
    <row r="453" spans="1:3" x14ac:dyDescent="0.25">
      <c r="A453" s="6">
        <v>451</v>
      </c>
      <c r="B453" s="7">
        <v>114.5</v>
      </c>
      <c r="C453" s="3">
        <f t="shared" si="1"/>
        <v>-2.0938575614158571E-3</v>
      </c>
    </row>
    <row r="454" spans="1:3" x14ac:dyDescent="0.25">
      <c r="A454" s="6">
        <v>452</v>
      </c>
      <c r="B454" s="7">
        <v>113.470001220703</v>
      </c>
      <c r="C454" s="3">
        <f t="shared" si="1"/>
        <v>-9.0363274334603321E-3</v>
      </c>
    </row>
    <row r="455" spans="1:3" x14ac:dyDescent="0.25">
      <c r="A455" s="6">
        <v>453</v>
      </c>
      <c r="B455" s="7">
        <v>114.66000366210901</v>
      </c>
      <c r="C455" s="3">
        <f t="shared" si="1"/>
        <v>1.0432763858256195E-2</v>
      </c>
    </row>
    <row r="456" spans="1:3" x14ac:dyDescent="0.25">
      <c r="A456" s="6">
        <v>454</v>
      </c>
      <c r="B456" s="7">
        <v>116.75</v>
      </c>
      <c r="C456" s="3">
        <f t="shared" si="1"/>
        <v>1.8063637129916474E-2</v>
      </c>
    </row>
    <row r="457" spans="1:3" x14ac:dyDescent="0.25">
      <c r="A457" s="6">
        <v>455</v>
      </c>
      <c r="B457" s="7">
        <v>117.08000183105401</v>
      </c>
      <c r="C457" s="3">
        <f t="shared" si="1"/>
        <v>2.8225809140189511E-3</v>
      </c>
    </row>
    <row r="458" spans="1:3" x14ac:dyDescent="0.25">
      <c r="A458" s="6">
        <v>456</v>
      </c>
      <c r="B458" s="7">
        <v>116.84999847412099</v>
      </c>
      <c r="C458" s="3">
        <f t="shared" si="1"/>
        <v>-1.966429536601253E-3</v>
      </c>
    </row>
    <row r="459" spans="1:3" x14ac:dyDescent="0.25">
      <c r="A459" s="6">
        <v>457</v>
      </c>
      <c r="B459" s="7">
        <v>116.56999969482401</v>
      </c>
      <c r="C459" s="3">
        <f t="shared" si="1"/>
        <v>-2.399099612646791E-3</v>
      </c>
    </row>
    <row r="460" spans="1:3" x14ac:dyDescent="0.25">
      <c r="A460" s="6">
        <v>458</v>
      </c>
      <c r="B460" s="7">
        <v>115.059997558593</v>
      </c>
      <c r="C460" s="3">
        <f t="shared" si="1"/>
        <v>-1.3038238097186031E-2</v>
      </c>
    </row>
    <row r="461" spans="1:3" x14ac:dyDescent="0.25">
      <c r="A461" s="6">
        <v>459</v>
      </c>
      <c r="B461" s="7">
        <v>116.26999664306599</v>
      </c>
      <c r="C461" s="3">
        <f t="shared" si="1"/>
        <v>1.0461333592040274E-2</v>
      </c>
    </row>
    <row r="462" spans="1:3" x14ac:dyDescent="0.25">
      <c r="A462" s="6">
        <v>460</v>
      </c>
      <c r="B462" s="7">
        <v>117.33999633789</v>
      </c>
      <c r="C462" s="3">
        <f t="shared" si="1"/>
        <v>9.1606284796898994E-3</v>
      </c>
    </row>
    <row r="463" spans="1:3" x14ac:dyDescent="0.25">
      <c r="A463" s="6">
        <v>461</v>
      </c>
      <c r="B463" s="7">
        <v>116.720001220703</v>
      </c>
      <c r="C463" s="3">
        <f t="shared" si="1"/>
        <v>-5.2977576154040577E-3</v>
      </c>
    </row>
    <row r="464" spans="1:3" x14ac:dyDescent="0.25">
      <c r="A464" s="6">
        <v>462</v>
      </c>
      <c r="B464" s="7">
        <v>116.559997558593</v>
      </c>
      <c r="C464" s="3">
        <f t="shared" si="1"/>
        <v>-1.3717737314644738E-3</v>
      </c>
    </row>
    <row r="465" spans="1:3" x14ac:dyDescent="0.25">
      <c r="A465" s="6">
        <v>463</v>
      </c>
      <c r="B465" s="7">
        <v>115.900001525878</v>
      </c>
      <c r="C465" s="3">
        <f t="shared" si="1"/>
        <v>-5.6783774302770979E-3</v>
      </c>
    </row>
    <row r="466" spans="1:3" x14ac:dyDescent="0.25">
      <c r="A466" s="6">
        <v>464</v>
      </c>
      <c r="B466" s="7">
        <v>114.76999664306599</v>
      </c>
      <c r="C466" s="3">
        <f t="shared" si="1"/>
        <v>-9.7976670678285582E-3</v>
      </c>
    </row>
    <row r="467" spans="1:3" x14ac:dyDescent="0.25">
      <c r="A467" s="6">
        <v>465</v>
      </c>
      <c r="B467" s="7">
        <v>114.959999084472</v>
      </c>
      <c r="C467" s="3">
        <f t="shared" si="1"/>
        <v>1.6541373635387709E-3</v>
      </c>
    </row>
    <row r="468" spans="1:3" x14ac:dyDescent="0.25">
      <c r="A468" s="6">
        <v>466</v>
      </c>
      <c r="B468" s="7">
        <v>116.26999664306599</v>
      </c>
      <c r="C468" s="3">
        <f t="shared" si="1"/>
        <v>1.1330810001745618E-2</v>
      </c>
    </row>
    <row r="469" spans="1:3" x14ac:dyDescent="0.25">
      <c r="A469" s="6">
        <v>467</v>
      </c>
      <c r="B469" s="7">
        <v>114.129997253417</v>
      </c>
      <c r="C469" s="3">
        <f t="shared" si="1"/>
        <v>-1.8576918308513917E-2</v>
      </c>
    </row>
    <row r="470" spans="1:3" x14ac:dyDescent="0.25">
      <c r="A470" s="6">
        <v>468</v>
      </c>
      <c r="B470" s="7">
        <v>114.86000061035099</v>
      </c>
      <c r="C470" s="3">
        <f t="shared" si="1"/>
        <v>6.3758752499013848E-3</v>
      </c>
    </row>
    <row r="471" spans="1:3" x14ac:dyDescent="0.25">
      <c r="A471" s="6">
        <v>469</v>
      </c>
      <c r="B471" s="7">
        <v>113.58999633789</v>
      </c>
      <c r="C471" s="3">
        <f t="shared" si="1"/>
        <v>-1.1118558746411501E-2</v>
      </c>
    </row>
    <row r="472" spans="1:3" x14ac:dyDescent="0.25">
      <c r="A472" s="6">
        <v>470</v>
      </c>
      <c r="B472" s="7">
        <v>114.73999786376901</v>
      </c>
      <c r="C472" s="3">
        <f t="shared" si="1"/>
        <v>1.0073238552102381E-2</v>
      </c>
    </row>
    <row r="473" spans="1:3" x14ac:dyDescent="0.25">
      <c r="A473" s="6">
        <v>471</v>
      </c>
      <c r="B473" s="7">
        <v>113.58999633789</v>
      </c>
      <c r="C473" s="3">
        <f t="shared" si="1"/>
        <v>-1.0073238552102317E-2</v>
      </c>
    </row>
    <row r="474" spans="1:3" x14ac:dyDescent="0.25">
      <c r="A474" s="6">
        <v>472</v>
      </c>
      <c r="B474" s="7">
        <v>113.11000061035099</v>
      </c>
      <c r="C474" s="3">
        <f t="shared" si="1"/>
        <v>-4.2346400642348445E-3</v>
      </c>
    </row>
    <row r="475" spans="1:3" x14ac:dyDescent="0.25">
      <c r="A475" s="6">
        <v>473</v>
      </c>
      <c r="B475" s="7">
        <v>112.86000061035099</v>
      </c>
      <c r="C475" s="3">
        <f t="shared" si="1"/>
        <v>-2.2126839903426612E-3</v>
      </c>
    </row>
    <row r="476" spans="1:3" x14ac:dyDescent="0.25">
      <c r="A476" s="6">
        <v>474</v>
      </c>
      <c r="B476" s="7">
        <v>112.959999084472</v>
      </c>
      <c r="C476" s="3">
        <f t="shared" si="1"/>
        <v>8.8564769101471977E-4</v>
      </c>
    </row>
    <row r="477" spans="1:3" x14ac:dyDescent="0.25">
      <c r="A477" s="6">
        <v>475</v>
      </c>
      <c r="B477" s="7">
        <v>113.01000213623</v>
      </c>
      <c r="C477" s="3">
        <f t="shared" si="1"/>
        <v>4.4256363503149103E-4</v>
      </c>
    </row>
    <row r="478" spans="1:3" x14ac:dyDescent="0.25">
      <c r="A478" s="6">
        <v>476</v>
      </c>
      <c r="B478" s="7">
        <v>115</v>
      </c>
      <c r="C478" s="3">
        <f t="shared" si="1"/>
        <v>1.7455799088173379E-2</v>
      </c>
    </row>
    <row r="479" spans="1:3" x14ac:dyDescent="0.25">
      <c r="A479" s="6">
        <v>477</v>
      </c>
      <c r="B479" s="7">
        <v>115.41000366210901</v>
      </c>
      <c r="C479" s="3">
        <f t="shared" si="1"/>
        <v>3.558908800360095E-3</v>
      </c>
    </row>
    <row r="480" spans="1:3" x14ac:dyDescent="0.25">
      <c r="A480" s="6">
        <v>478</v>
      </c>
      <c r="B480" s="7">
        <v>113.980003356933</v>
      </c>
      <c r="C480" s="3">
        <f t="shared" si="1"/>
        <v>-1.2468013304809362E-2</v>
      </c>
    </row>
    <row r="481" spans="1:3" x14ac:dyDescent="0.25">
      <c r="A481" s="6">
        <v>479</v>
      </c>
      <c r="B481" s="7">
        <v>113.790000915527</v>
      </c>
      <c r="C481" s="3">
        <f t="shared" si="1"/>
        <v>-1.6683714441237244E-3</v>
      </c>
    </row>
    <row r="482" spans="1:3" x14ac:dyDescent="0.25">
      <c r="A482" s="6">
        <v>480</v>
      </c>
      <c r="B482" s="7">
        <v>114.480003356933</v>
      </c>
      <c r="C482" s="3">
        <f t="shared" si="1"/>
        <v>6.0455121568322246E-3</v>
      </c>
    </row>
    <row r="483" spans="1:3" x14ac:dyDescent="0.25">
      <c r="A483" s="6">
        <v>481</v>
      </c>
      <c r="B483" s="7">
        <v>115.58000183105401</v>
      </c>
      <c r="C483" s="3">
        <f t="shared" si="1"/>
        <v>9.5627821604309729E-3</v>
      </c>
    </row>
    <row r="484" spans="1:3" x14ac:dyDescent="0.25">
      <c r="A484" s="6">
        <v>482</v>
      </c>
      <c r="B484" s="7">
        <v>115.51000213623</v>
      </c>
      <c r="C484" s="3">
        <f t="shared" si="1"/>
        <v>-6.058219374548415E-4</v>
      </c>
    </row>
    <row r="485" spans="1:3" x14ac:dyDescent="0.25">
      <c r="A485" s="6">
        <v>483</v>
      </c>
      <c r="B485" s="7">
        <v>115.75</v>
      </c>
      <c r="C485" s="3">
        <f t="shared" si="1"/>
        <v>2.0755681718579977E-3</v>
      </c>
    </row>
    <row r="486" spans="1:3" x14ac:dyDescent="0.25">
      <c r="A486" s="6">
        <v>484</v>
      </c>
      <c r="B486" s="7">
        <v>116.290000915527</v>
      </c>
      <c r="C486" s="3">
        <f t="shared" si="1"/>
        <v>4.6543862114005749E-3</v>
      </c>
    </row>
    <row r="487" spans="1:3" x14ac:dyDescent="0.25">
      <c r="A487" s="6">
        <v>485</v>
      </c>
      <c r="B487" s="7">
        <v>115.930000305175</v>
      </c>
      <c r="C487" s="3">
        <f t="shared" si="1"/>
        <v>-3.1005158630264627E-3</v>
      </c>
    </row>
    <row r="488" spans="1:3" x14ac:dyDescent="0.25">
      <c r="A488" s="6">
        <v>486</v>
      </c>
      <c r="B488" s="7">
        <v>116.470001220703</v>
      </c>
      <c r="C488" s="3">
        <f t="shared" si="1"/>
        <v>4.6471762806792214E-3</v>
      </c>
    </row>
    <row r="489" spans="1:3" x14ac:dyDescent="0.25">
      <c r="A489" s="6">
        <v>487</v>
      </c>
      <c r="B489" s="7">
        <v>116.31999969482401</v>
      </c>
      <c r="C489" s="3">
        <f t="shared" si="1"/>
        <v>-1.2887284337774441E-3</v>
      </c>
    </row>
    <row r="490" spans="1:3" x14ac:dyDescent="0.25">
      <c r="A490" s="6">
        <v>488</v>
      </c>
      <c r="B490" s="7">
        <v>113.669998168945</v>
      </c>
      <c r="C490" s="3">
        <f t="shared" si="1"/>
        <v>-2.3045513571516053E-2</v>
      </c>
    </row>
    <row r="491" spans="1:3" x14ac:dyDescent="0.25">
      <c r="A491" s="6">
        <v>489</v>
      </c>
      <c r="B491" s="7">
        <v>112.16000366210901</v>
      </c>
      <c r="C491" s="3">
        <f t="shared" si="1"/>
        <v>-1.3373041653065736E-2</v>
      </c>
    </row>
    <row r="492" spans="1:3" x14ac:dyDescent="0.25">
      <c r="A492" s="6">
        <v>490</v>
      </c>
      <c r="B492" s="7">
        <v>114.470001220703</v>
      </c>
      <c r="C492" s="3">
        <f t="shared" si="1"/>
        <v>2.0386334657303121E-2</v>
      </c>
    </row>
    <row r="493" spans="1:3" x14ac:dyDescent="0.25">
      <c r="A493" s="6">
        <v>491</v>
      </c>
      <c r="B493" s="7">
        <v>113.66000366210901</v>
      </c>
      <c r="C493" s="3">
        <f t="shared" si="1"/>
        <v>-7.101222505508078E-3</v>
      </c>
    </row>
    <row r="494" spans="1:3" x14ac:dyDescent="0.25">
      <c r="A494" s="6">
        <v>492</v>
      </c>
      <c r="B494" s="7">
        <v>112.650001525878</v>
      </c>
      <c r="C494" s="3">
        <f t="shared" si="1"/>
        <v>-8.9258876652795523E-3</v>
      </c>
    </row>
    <row r="495" spans="1:3" x14ac:dyDescent="0.25">
      <c r="A495" s="6">
        <v>493</v>
      </c>
      <c r="B495" s="7">
        <v>112.25</v>
      </c>
      <c r="C495" s="3">
        <f t="shared" si="1"/>
        <v>-3.5571538011892486E-3</v>
      </c>
    </row>
    <row r="496" spans="1:3" x14ac:dyDescent="0.25">
      <c r="A496" s="6">
        <v>494</v>
      </c>
      <c r="B496" s="7">
        <v>113.48999786376901</v>
      </c>
      <c r="C496" s="3">
        <f t="shared" si="1"/>
        <v>1.0986181867606828E-2</v>
      </c>
    </row>
    <row r="497" spans="1:3" x14ac:dyDescent="0.25">
      <c r="A497" s="6">
        <v>495</v>
      </c>
      <c r="B497" s="7">
        <v>114.01999664306599</v>
      </c>
      <c r="C497" s="3">
        <f t="shared" si="1"/>
        <v>4.6591336718405625E-3</v>
      </c>
    </row>
    <row r="498" spans="1:3" x14ac:dyDescent="0.25">
      <c r="A498" s="6">
        <v>496</v>
      </c>
      <c r="B498" s="7">
        <v>113</v>
      </c>
      <c r="C498" s="3">
        <f t="shared" si="1"/>
        <v>-8.9860234494705121E-3</v>
      </c>
    </row>
    <row r="499" spans="1:3" x14ac:dyDescent="0.25">
      <c r="A499" s="6">
        <v>497</v>
      </c>
      <c r="B499" s="7">
        <v>113.959999084472</v>
      </c>
      <c r="C499" s="3">
        <f t="shared" si="1"/>
        <v>8.4596828836007512E-3</v>
      </c>
    </row>
    <row r="500" spans="1:3" x14ac:dyDescent="0.25">
      <c r="A500" s="6">
        <v>498</v>
      </c>
      <c r="B500" s="7">
        <v>114.980003356933</v>
      </c>
      <c r="C500" s="3">
        <f t="shared" si="1"/>
        <v>8.9107277950022899E-3</v>
      </c>
    </row>
    <row r="501" spans="1:3" x14ac:dyDescent="0.25">
      <c r="A501" s="6">
        <v>499</v>
      </c>
      <c r="B501" s="7">
        <v>113.06999969482401</v>
      </c>
      <c r="C501" s="3">
        <f t="shared" si="1"/>
        <v>-1.6751136142790442E-2</v>
      </c>
    </row>
    <row r="502" spans="1:3" x14ac:dyDescent="0.25">
      <c r="A502" s="6">
        <v>500</v>
      </c>
      <c r="B502" s="7">
        <v>111.16000366210901</v>
      </c>
      <c r="C502" s="3">
        <f t="shared" si="1"/>
        <v>-1.7036455429365237E-2</v>
      </c>
    </row>
    <row r="503" spans="1:3" x14ac:dyDescent="0.25">
      <c r="A503" s="6">
        <v>501</v>
      </c>
      <c r="B503" s="7">
        <v>109.69000244140599</v>
      </c>
      <c r="C503" s="3">
        <f t="shared" si="1"/>
        <v>-1.3312410138220215E-2</v>
      </c>
    </row>
    <row r="504" spans="1:3" x14ac:dyDescent="0.25">
      <c r="A504" s="6">
        <v>502</v>
      </c>
      <c r="B504" s="7">
        <v>108.919998168945</v>
      </c>
      <c r="C504" s="3">
        <f t="shared" si="1"/>
        <v>-7.0445766860170031E-3</v>
      </c>
    </row>
    <row r="505" spans="1:3" x14ac:dyDescent="0.25">
      <c r="A505" s="6">
        <v>503</v>
      </c>
      <c r="B505" s="7">
        <v>109.36000061035099</v>
      </c>
      <c r="C505" s="3">
        <f t="shared" si="1"/>
        <v>4.0315470022607583E-3</v>
      </c>
    </row>
    <row r="506" spans="1:3" x14ac:dyDescent="0.25">
      <c r="A506" s="6">
        <v>504</v>
      </c>
      <c r="B506" s="7">
        <v>109.980003356933</v>
      </c>
      <c r="C506" s="3">
        <f t="shared" si="1"/>
        <v>5.6533636059791477E-3</v>
      </c>
    </row>
    <row r="507" spans="1:3" x14ac:dyDescent="0.25">
      <c r="A507" s="6">
        <v>505</v>
      </c>
      <c r="B507" s="7">
        <v>112.33000183105401</v>
      </c>
      <c r="C507" s="3">
        <f t="shared" si="1"/>
        <v>2.114242235135487E-2</v>
      </c>
    </row>
    <row r="508" spans="1:3" x14ac:dyDescent="0.25">
      <c r="A508" s="6">
        <v>506</v>
      </c>
      <c r="B508" s="7">
        <v>111.290000915527</v>
      </c>
      <c r="C508" s="3">
        <f t="shared" si="1"/>
        <v>-9.3015687423134031E-3</v>
      </c>
    </row>
    <row r="509" spans="1:3" x14ac:dyDescent="0.25">
      <c r="A509" s="6">
        <v>507</v>
      </c>
      <c r="B509" s="7">
        <v>112.180000305175</v>
      </c>
      <c r="C509" s="3">
        <f t="shared" si="1"/>
        <v>7.9653115887635493E-3</v>
      </c>
    </row>
    <row r="510" spans="1:3" x14ac:dyDescent="0.25">
      <c r="A510" s="6">
        <v>508</v>
      </c>
      <c r="B510" s="7">
        <v>110.949996948242</v>
      </c>
      <c r="C510" s="3">
        <f t="shared" si="1"/>
        <v>-1.1025104927698242E-2</v>
      </c>
    </row>
    <row r="511" spans="1:3" x14ac:dyDescent="0.25">
      <c r="A511" s="6">
        <v>509</v>
      </c>
      <c r="B511" s="7">
        <v>112.930000305175</v>
      </c>
      <c r="C511" s="3">
        <f t="shared" si="1"/>
        <v>1.7688538565019219E-2</v>
      </c>
    </row>
    <row r="512" spans="1:3" x14ac:dyDescent="0.25">
      <c r="A512" s="6">
        <v>510</v>
      </c>
      <c r="B512" s="7">
        <v>112.379997253417</v>
      </c>
      <c r="C512" s="3">
        <f t="shared" si="1"/>
        <v>-4.8821991940054023E-3</v>
      </c>
    </row>
    <row r="513" spans="1:3" x14ac:dyDescent="0.25">
      <c r="A513" s="6">
        <v>511</v>
      </c>
      <c r="B513" s="7">
        <v>112.639999389648</v>
      </c>
      <c r="C513" s="3">
        <f t="shared" ref="C513:C767" si="2">LN(B513/B512)</f>
        <v>2.3109257472131006E-3</v>
      </c>
    </row>
    <row r="514" spans="1:3" x14ac:dyDescent="0.25">
      <c r="A514" s="6">
        <v>512</v>
      </c>
      <c r="B514" s="7">
        <v>111.19000244140599</v>
      </c>
      <c r="C514" s="3">
        <f t="shared" si="2"/>
        <v>-1.295641531890223E-2</v>
      </c>
    </row>
    <row r="515" spans="1:3" x14ac:dyDescent="0.25">
      <c r="A515" s="6">
        <v>513</v>
      </c>
      <c r="B515" s="7">
        <v>109.400001525878</v>
      </c>
      <c r="C515" s="3">
        <f t="shared" si="2"/>
        <v>-1.6229567736644825E-2</v>
      </c>
    </row>
    <row r="516" spans="1:3" x14ac:dyDescent="0.25">
      <c r="A516" s="6">
        <v>514</v>
      </c>
      <c r="B516" s="7">
        <v>110.449996948242</v>
      </c>
      <c r="C516" s="3">
        <f t="shared" si="2"/>
        <v>9.5519983003268579E-3</v>
      </c>
    </row>
    <row r="517" spans="1:3" x14ac:dyDescent="0.25">
      <c r="A517" s="6">
        <v>515</v>
      </c>
      <c r="B517" s="7">
        <v>111.33999633789</v>
      </c>
      <c r="C517" s="3">
        <f t="shared" si="2"/>
        <v>8.0256476282231891E-3</v>
      </c>
    </row>
    <row r="518" spans="1:3" x14ac:dyDescent="0.25">
      <c r="A518" s="6">
        <v>516</v>
      </c>
      <c r="B518" s="7">
        <v>111.34999847412099</v>
      </c>
      <c r="C518" s="3">
        <f t="shared" si="2"/>
        <v>8.9830135800874586E-5</v>
      </c>
    </row>
    <row r="519" spans="1:3" x14ac:dyDescent="0.25">
      <c r="A519" s="6">
        <v>517</v>
      </c>
      <c r="B519" s="7">
        <v>109.720001220703</v>
      </c>
      <c r="C519" s="3">
        <f t="shared" si="2"/>
        <v>-1.4746702804905734E-2</v>
      </c>
    </row>
    <row r="520" spans="1:3" x14ac:dyDescent="0.25">
      <c r="A520" s="6">
        <v>518</v>
      </c>
      <c r="B520" s="7">
        <v>106.11000061035099</v>
      </c>
      <c r="C520" s="3">
        <f t="shared" si="2"/>
        <v>-3.3455379557464159E-2</v>
      </c>
    </row>
    <row r="521" spans="1:3" x14ac:dyDescent="0.25">
      <c r="A521" s="6">
        <v>519</v>
      </c>
      <c r="B521" s="7">
        <v>106.059997558593</v>
      </c>
      <c r="C521" s="3">
        <f t="shared" si="2"/>
        <v>-4.7134894768623245E-4</v>
      </c>
    </row>
    <row r="522" spans="1:3" x14ac:dyDescent="0.25">
      <c r="A522" s="6">
        <v>520</v>
      </c>
      <c r="B522" s="7">
        <v>106.900001525878</v>
      </c>
      <c r="C522" s="3">
        <f t="shared" si="2"/>
        <v>7.888883615009638E-3</v>
      </c>
    </row>
    <row r="523" spans="1:3" x14ac:dyDescent="0.25">
      <c r="A523" s="6">
        <v>521</v>
      </c>
      <c r="B523" s="7">
        <v>106.480003356933</v>
      </c>
      <c r="C523" s="3">
        <f t="shared" si="2"/>
        <v>-3.9366266916077324E-3</v>
      </c>
    </row>
    <row r="524" spans="1:3" x14ac:dyDescent="0.25">
      <c r="A524" s="6">
        <v>522</v>
      </c>
      <c r="B524" s="7">
        <v>106.5</v>
      </c>
      <c r="C524" s="3">
        <f t="shared" si="2"/>
        <v>1.8777953620603506E-4</v>
      </c>
    </row>
    <row r="525" spans="1:3" x14ac:dyDescent="0.25">
      <c r="A525" s="6">
        <v>523</v>
      </c>
      <c r="B525" s="7">
        <v>107.19000244140599</v>
      </c>
      <c r="C525" s="3">
        <f t="shared" si="2"/>
        <v>6.4579983303823599E-3</v>
      </c>
    </row>
    <row r="526" spans="1:3" x14ac:dyDescent="0.25">
      <c r="A526" s="6">
        <v>524</v>
      </c>
      <c r="B526" s="7">
        <v>106.01000213623</v>
      </c>
      <c r="C526" s="3">
        <f t="shared" si="2"/>
        <v>-1.1069534043643905E-2</v>
      </c>
    </row>
    <row r="527" spans="1:3" x14ac:dyDescent="0.25">
      <c r="A527" s="6">
        <v>525</v>
      </c>
      <c r="B527" s="7">
        <v>103.669998168945</v>
      </c>
      <c r="C527" s="3">
        <f t="shared" si="2"/>
        <v>-2.2320689763539743E-2</v>
      </c>
    </row>
    <row r="528" spans="1:3" x14ac:dyDescent="0.25">
      <c r="A528" s="6">
        <v>526</v>
      </c>
      <c r="B528" s="7">
        <v>101.169998168945</v>
      </c>
      <c r="C528" s="3">
        <f t="shared" si="2"/>
        <v>-2.441050755367382E-2</v>
      </c>
    </row>
    <row r="529" spans="1:3" x14ac:dyDescent="0.25">
      <c r="A529" s="6">
        <v>527</v>
      </c>
      <c r="B529" s="7">
        <v>104.430000305175</v>
      </c>
      <c r="C529" s="3">
        <f t="shared" si="2"/>
        <v>3.1714741294744969E-2</v>
      </c>
    </row>
    <row r="530" spans="1:3" x14ac:dyDescent="0.25">
      <c r="A530" s="6">
        <v>528</v>
      </c>
      <c r="B530" s="7">
        <v>105.309997558593</v>
      </c>
      <c r="C530" s="3">
        <f t="shared" si="2"/>
        <v>8.3913647957057861E-3</v>
      </c>
    </row>
    <row r="531" spans="1:3" x14ac:dyDescent="0.25">
      <c r="A531" s="6">
        <v>529</v>
      </c>
      <c r="B531" s="7">
        <v>106.379997253417</v>
      </c>
      <c r="C531" s="3">
        <f t="shared" si="2"/>
        <v>1.0109205286112572E-2</v>
      </c>
    </row>
    <row r="532" spans="1:3" x14ac:dyDescent="0.25">
      <c r="A532" s="6">
        <v>530</v>
      </c>
      <c r="B532" s="7">
        <v>108.16000366210901</v>
      </c>
      <c r="C532" s="3">
        <f t="shared" si="2"/>
        <v>1.6594082657341601E-2</v>
      </c>
    </row>
    <row r="533" spans="1:3" x14ac:dyDescent="0.25">
      <c r="A533" s="6">
        <v>531</v>
      </c>
      <c r="B533" s="7">
        <v>107.379997253417</v>
      </c>
      <c r="C533" s="3">
        <f t="shared" si="2"/>
        <v>-7.237726736648257E-3</v>
      </c>
    </row>
    <row r="534" spans="1:3" x14ac:dyDescent="0.25">
      <c r="A534" s="6">
        <v>532</v>
      </c>
      <c r="B534" s="7">
        <v>107.309997558593</v>
      </c>
      <c r="C534" s="3">
        <f t="shared" si="2"/>
        <v>-6.5210022819955167E-4</v>
      </c>
    </row>
    <row r="535" spans="1:3" x14ac:dyDescent="0.25">
      <c r="A535" s="6">
        <v>533</v>
      </c>
      <c r="B535" s="7">
        <v>107.400001525878</v>
      </c>
      <c r="C535" s="3">
        <f t="shared" si="2"/>
        <v>8.383770941323167E-4</v>
      </c>
    </row>
    <row r="536" spans="1:3" x14ac:dyDescent="0.25">
      <c r="A536" s="6">
        <v>534</v>
      </c>
      <c r="B536" s="7">
        <v>108.01999664306599</v>
      </c>
      <c r="C536" s="3">
        <f t="shared" si="2"/>
        <v>5.7561678055829332E-3</v>
      </c>
    </row>
    <row r="537" spans="1:3" x14ac:dyDescent="0.25">
      <c r="A537" s="6">
        <v>535</v>
      </c>
      <c r="B537" s="7">
        <v>107.900001525878</v>
      </c>
      <c r="C537" s="3">
        <f t="shared" si="2"/>
        <v>-1.1114776820944057E-3</v>
      </c>
    </row>
    <row r="538" spans="1:3" x14ac:dyDescent="0.25">
      <c r="A538" s="6">
        <v>536</v>
      </c>
      <c r="B538" s="7">
        <v>108.23999786376901</v>
      </c>
      <c r="C538" s="3">
        <f t="shared" si="2"/>
        <v>3.1460777207907215E-3</v>
      </c>
    </row>
    <row r="539" spans="1:3" x14ac:dyDescent="0.25">
      <c r="A539" s="6">
        <v>537</v>
      </c>
      <c r="B539" s="7">
        <v>107.76000213623</v>
      </c>
      <c r="C539" s="3">
        <f t="shared" si="2"/>
        <v>-4.4444122004047475E-3</v>
      </c>
    </row>
    <row r="540" spans="1:3" x14ac:dyDescent="0.25">
      <c r="A540" s="6">
        <v>538</v>
      </c>
      <c r="B540" s="7">
        <v>108.550003051757</v>
      </c>
      <c r="C540" s="3">
        <f t="shared" si="2"/>
        <v>7.3043725120684241E-3</v>
      </c>
    </row>
    <row r="541" spans="1:3" x14ac:dyDescent="0.25">
      <c r="A541" s="6">
        <v>539</v>
      </c>
      <c r="B541" s="7">
        <v>105.5</v>
      </c>
      <c r="C541" s="3">
        <f t="shared" si="2"/>
        <v>-2.849997152201619E-2</v>
      </c>
    </row>
    <row r="542" spans="1:3" x14ac:dyDescent="0.25">
      <c r="A542" s="6">
        <v>540</v>
      </c>
      <c r="B542" s="7">
        <v>106.33000183105401</v>
      </c>
      <c r="C542" s="3">
        <f t="shared" si="2"/>
        <v>7.8365299673568457E-3</v>
      </c>
    </row>
    <row r="543" spans="1:3" x14ac:dyDescent="0.25">
      <c r="A543" s="6">
        <v>541</v>
      </c>
      <c r="B543" s="7">
        <v>109.709999084472</v>
      </c>
      <c r="C543" s="3">
        <f t="shared" si="2"/>
        <v>3.1293029600939277E-2</v>
      </c>
    </row>
    <row r="544" spans="1:3" x14ac:dyDescent="0.25">
      <c r="A544" s="6">
        <v>542</v>
      </c>
      <c r="B544" s="7">
        <v>110.430000305175</v>
      </c>
      <c r="C544" s="3">
        <f t="shared" si="2"/>
        <v>6.5413263381375233E-3</v>
      </c>
    </row>
    <row r="545" spans="1:3" x14ac:dyDescent="0.25">
      <c r="A545" s="6">
        <v>543</v>
      </c>
      <c r="B545" s="7">
        <v>111.76999664306599</v>
      </c>
      <c r="C545" s="3">
        <f t="shared" si="2"/>
        <v>1.2061319540662292E-2</v>
      </c>
    </row>
    <row r="546" spans="1:3" x14ac:dyDescent="0.25">
      <c r="A546" s="6">
        <v>544</v>
      </c>
      <c r="B546" s="7">
        <v>111.809997558593</v>
      </c>
      <c r="C546" s="3">
        <f t="shared" si="2"/>
        <v>3.5782196074045667E-4</v>
      </c>
    </row>
    <row r="547" spans="1:3" x14ac:dyDescent="0.25">
      <c r="A547" s="6">
        <v>545</v>
      </c>
      <c r="B547" s="7">
        <v>112.56999969482401</v>
      </c>
      <c r="C547" s="3">
        <f t="shared" si="2"/>
        <v>6.7742673317664264E-3</v>
      </c>
    </row>
    <row r="548" spans="1:3" x14ac:dyDescent="0.25">
      <c r="A548" s="6">
        <v>546</v>
      </c>
      <c r="B548" s="7">
        <v>113.5</v>
      </c>
      <c r="C548" s="3">
        <f t="shared" si="2"/>
        <v>8.2275892657333888E-3</v>
      </c>
    </row>
    <row r="549" spans="1:3" x14ac:dyDescent="0.25">
      <c r="A549" s="6">
        <v>547</v>
      </c>
      <c r="B549" s="7">
        <v>113.01000213623</v>
      </c>
      <c r="C549" s="3">
        <f t="shared" si="2"/>
        <v>-4.3265076463806949E-3</v>
      </c>
    </row>
    <row r="550" spans="1:3" x14ac:dyDescent="0.25">
      <c r="A550" s="6">
        <v>548</v>
      </c>
      <c r="B550" s="7">
        <v>111.470001220703</v>
      </c>
      <c r="C550" s="3">
        <f t="shared" si="2"/>
        <v>-1.3720821922589208E-2</v>
      </c>
    </row>
    <row r="551" spans="1:3" x14ac:dyDescent="0.25">
      <c r="A551" s="6">
        <v>549</v>
      </c>
      <c r="B551" s="7">
        <v>111.059997558593</v>
      </c>
      <c r="C551" s="3">
        <f t="shared" si="2"/>
        <v>-3.6849335218016085E-3</v>
      </c>
    </row>
    <row r="552" spans="1:3" x14ac:dyDescent="0.25">
      <c r="A552" s="6">
        <v>550</v>
      </c>
      <c r="B552" s="7">
        <v>111.540000915527</v>
      </c>
      <c r="C552" s="3">
        <f t="shared" si="2"/>
        <v>4.3127053387817188E-3</v>
      </c>
    </row>
    <row r="553" spans="1:3" x14ac:dyDescent="0.25">
      <c r="A553" s="6">
        <v>551</v>
      </c>
      <c r="B553" s="7">
        <v>111.699996948242</v>
      </c>
      <c r="C553" s="3">
        <f t="shared" si="2"/>
        <v>1.433399584666628E-3</v>
      </c>
    </row>
    <row r="554" spans="1:3" x14ac:dyDescent="0.25">
      <c r="A554" s="6">
        <v>552</v>
      </c>
      <c r="B554" s="7">
        <v>111.949996948242</v>
      </c>
      <c r="C554" s="3">
        <f t="shared" si="2"/>
        <v>2.235637030620539E-3</v>
      </c>
    </row>
    <row r="555" spans="1:3" x14ac:dyDescent="0.25">
      <c r="A555" s="6">
        <v>553</v>
      </c>
      <c r="B555" s="7">
        <v>112.959999084472</v>
      </c>
      <c r="C555" s="3">
        <f t="shared" si="2"/>
        <v>8.9814498552907105E-3</v>
      </c>
    </row>
    <row r="556" spans="1:3" x14ac:dyDescent="0.25">
      <c r="A556" s="6">
        <v>554</v>
      </c>
      <c r="B556" s="7">
        <v>111.230003356933</v>
      </c>
      <c r="C556" s="3">
        <f t="shared" si="2"/>
        <v>-1.5433605856003493E-2</v>
      </c>
    </row>
    <row r="557" spans="1:3" x14ac:dyDescent="0.25">
      <c r="A557" s="6">
        <v>555</v>
      </c>
      <c r="B557" s="7">
        <v>110.83000183105401</v>
      </c>
      <c r="C557" s="3">
        <f t="shared" si="2"/>
        <v>-3.6026474751952925E-3</v>
      </c>
    </row>
    <row r="558" spans="1:3" x14ac:dyDescent="0.25">
      <c r="A558" s="6">
        <v>556</v>
      </c>
      <c r="B558" s="7">
        <v>109.709999084472</v>
      </c>
      <c r="C558" s="3">
        <f t="shared" si="2"/>
        <v>-1.0156999824429087E-2</v>
      </c>
    </row>
    <row r="559" spans="1:3" x14ac:dyDescent="0.25">
      <c r="A559" s="6">
        <v>557</v>
      </c>
      <c r="B559" s="7">
        <v>109.81999969482401</v>
      </c>
      <c r="C559" s="3">
        <f t="shared" si="2"/>
        <v>1.0021465874347391E-3</v>
      </c>
    </row>
    <row r="560" spans="1:3" x14ac:dyDescent="0.25">
      <c r="A560" s="6">
        <v>558</v>
      </c>
      <c r="B560" s="7">
        <v>111.669998168945</v>
      </c>
      <c r="C560" s="3">
        <f t="shared" si="2"/>
        <v>1.6705417988830424E-2</v>
      </c>
    </row>
    <row r="561" spans="1:3" x14ac:dyDescent="0.25">
      <c r="A561" s="6">
        <v>559</v>
      </c>
      <c r="B561" s="7">
        <v>113.06999969482401</v>
      </c>
      <c r="C561" s="3">
        <f t="shared" si="2"/>
        <v>1.2459016187470685E-2</v>
      </c>
    </row>
    <row r="562" spans="1:3" x14ac:dyDescent="0.25">
      <c r="A562" s="6">
        <v>560</v>
      </c>
      <c r="B562" s="7">
        <v>111.970001220703</v>
      </c>
      <c r="C562" s="3">
        <f t="shared" si="2"/>
        <v>-9.7761040739934961E-3</v>
      </c>
    </row>
    <row r="563" spans="1:3" x14ac:dyDescent="0.25">
      <c r="A563" s="6">
        <v>561</v>
      </c>
      <c r="B563" s="7">
        <v>113.389999389648</v>
      </c>
      <c r="C563" s="3">
        <f t="shared" si="2"/>
        <v>1.2602209426821276E-2</v>
      </c>
    </row>
    <row r="564" spans="1:3" x14ac:dyDescent="0.25">
      <c r="A564" s="6">
        <v>562</v>
      </c>
      <c r="B564" s="7">
        <v>113.449996948242</v>
      </c>
      <c r="C564" s="3">
        <f t="shared" si="2"/>
        <v>5.2898572528383575E-4</v>
      </c>
    </row>
    <row r="565" spans="1:3" x14ac:dyDescent="0.25">
      <c r="A565" s="6">
        <v>563</v>
      </c>
      <c r="B565" s="7">
        <v>112.5</v>
      </c>
      <c r="C565" s="3">
        <f t="shared" si="2"/>
        <v>-8.4089626817899082E-3</v>
      </c>
    </row>
    <row r="566" spans="1:3" x14ac:dyDescent="0.25">
      <c r="A566" s="6">
        <v>564</v>
      </c>
      <c r="B566" s="7">
        <v>110.300003051757</v>
      </c>
      <c r="C566" s="3">
        <f t="shared" si="2"/>
        <v>-1.9749267717230585E-2</v>
      </c>
    </row>
    <row r="567" spans="1:3" x14ac:dyDescent="0.25">
      <c r="A567" s="6">
        <v>565</v>
      </c>
      <c r="B567" s="7">
        <v>109.540000915527</v>
      </c>
      <c r="C567" s="3">
        <f t="shared" si="2"/>
        <v>-6.9141662137449994E-3</v>
      </c>
    </row>
    <row r="568" spans="1:3" x14ac:dyDescent="0.25">
      <c r="A568" s="6">
        <v>566</v>
      </c>
      <c r="B568" s="7">
        <v>109.199996948242</v>
      </c>
      <c r="C568" s="3">
        <f t="shared" si="2"/>
        <v>-3.1087523491968093E-3</v>
      </c>
    </row>
    <row r="569" spans="1:3" x14ac:dyDescent="0.25">
      <c r="A569" s="6">
        <v>567</v>
      </c>
      <c r="B569" s="7">
        <v>108.480003356933</v>
      </c>
      <c r="C569" s="3">
        <f t="shared" si="2"/>
        <v>-6.6151802270386631E-3</v>
      </c>
    </row>
    <row r="570" spans="1:3" x14ac:dyDescent="0.25">
      <c r="A570" s="6">
        <v>568</v>
      </c>
      <c r="B570" s="7">
        <v>110.77999877929599</v>
      </c>
      <c r="C570" s="3">
        <f t="shared" si="2"/>
        <v>2.0980386448520873E-2</v>
      </c>
    </row>
    <row r="571" spans="1:3" x14ac:dyDescent="0.25">
      <c r="A571" s="6">
        <v>569</v>
      </c>
      <c r="B571" s="7">
        <v>110.699996948242</v>
      </c>
      <c r="C571" s="3">
        <f t="shared" si="2"/>
        <v>-7.224294390166657E-4</v>
      </c>
    </row>
    <row r="572" spans="1:3" x14ac:dyDescent="0.25">
      <c r="A572" s="6">
        <v>570</v>
      </c>
      <c r="B572" s="7">
        <v>110.050003051757</v>
      </c>
      <c r="C572" s="3">
        <f t="shared" si="2"/>
        <v>-5.8889764436569382E-3</v>
      </c>
    </row>
    <row r="573" spans="1:3" x14ac:dyDescent="0.25">
      <c r="A573" s="6">
        <v>571</v>
      </c>
      <c r="B573" s="7">
        <v>108.83999633789</v>
      </c>
      <c r="C573" s="3">
        <f t="shared" si="2"/>
        <v>-1.1055955434795114E-2</v>
      </c>
    </row>
    <row r="574" spans="1:3" x14ac:dyDescent="0.25">
      <c r="A574" s="6">
        <v>572</v>
      </c>
      <c r="B574" s="7">
        <v>108.26999664306599</v>
      </c>
      <c r="C574" s="3">
        <f t="shared" si="2"/>
        <v>-5.250803950718648E-3</v>
      </c>
    </row>
    <row r="575" spans="1:3" x14ac:dyDescent="0.25">
      <c r="A575" s="6">
        <v>573</v>
      </c>
      <c r="B575" s="7">
        <v>108.400001525878</v>
      </c>
      <c r="C575" s="3">
        <f t="shared" si="2"/>
        <v>1.2000267643137567E-3</v>
      </c>
    </row>
    <row r="576" spans="1:3" x14ac:dyDescent="0.25">
      <c r="A576" s="6">
        <v>574</v>
      </c>
      <c r="B576" s="7">
        <v>111.08999633789</v>
      </c>
      <c r="C576" s="3">
        <f t="shared" si="2"/>
        <v>2.4512547546465972E-2</v>
      </c>
    </row>
    <row r="577" spans="1:3" x14ac:dyDescent="0.25">
      <c r="A577" s="6">
        <v>575</v>
      </c>
      <c r="B577" s="7">
        <v>109.050003051757</v>
      </c>
      <c r="C577" s="3">
        <f t="shared" si="2"/>
        <v>-1.8534129995805799E-2</v>
      </c>
    </row>
    <row r="578" spans="1:3" x14ac:dyDescent="0.25">
      <c r="A578" s="6">
        <v>576</v>
      </c>
      <c r="B578" s="7">
        <v>108.930000305175</v>
      </c>
      <c r="C578" s="3">
        <f t="shared" si="2"/>
        <v>-1.1010437366473162E-3</v>
      </c>
    </row>
    <row r="579" spans="1:3" x14ac:dyDescent="0.25">
      <c r="A579" s="6">
        <v>577</v>
      </c>
      <c r="B579" s="7">
        <v>110.309997558593</v>
      </c>
      <c r="C579" s="3">
        <f t="shared" si="2"/>
        <v>1.2589084953129697E-2</v>
      </c>
    </row>
    <row r="580" spans="1:3" x14ac:dyDescent="0.25">
      <c r="A580" s="6">
        <v>578</v>
      </c>
      <c r="B580" s="7">
        <v>110.02999877929599</v>
      </c>
      <c r="C580" s="3">
        <f t="shared" si="2"/>
        <v>-2.5415170615158628E-3</v>
      </c>
    </row>
    <row r="581" spans="1:3" x14ac:dyDescent="0.25">
      <c r="A581" s="6">
        <v>579</v>
      </c>
      <c r="B581" s="7">
        <v>108.86000061035099</v>
      </c>
      <c r="C581" s="3">
        <f t="shared" si="2"/>
        <v>-1.0690386174732159E-2</v>
      </c>
    </row>
    <row r="582" spans="1:3" x14ac:dyDescent="0.25">
      <c r="A582" s="6">
        <v>580</v>
      </c>
      <c r="B582" s="7">
        <v>109.980003356933</v>
      </c>
      <c r="C582" s="3">
        <f t="shared" si="2"/>
        <v>1.0235902989984797E-2</v>
      </c>
    </row>
    <row r="583" spans="1:3" x14ac:dyDescent="0.25">
      <c r="A583" s="6">
        <v>581</v>
      </c>
      <c r="B583" s="7">
        <v>106.91000366210901</v>
      </c>
      <c r="C583" s="3">
        <f t="shared" si="2"/>
        <v>-2.8311168323252943E-2</v>
      </c>
    </row>
    <row r="584" spans="1:3" x14ac:dyDescent="0.25">
      <c r="A584" s="6">
        <v>582</v>
      </c>
      <c r="B584" s="7">
        <v>109.02999877929599</v>
      </c>
      <c r="C584" s="3">
        <f t="shared" si="2"/>
        <v>1.9635669242714933E-2</v>
      </c>
    </row>
    <row r="585" spans="1:3" x14ac:dyDescent="0.25">
      <c r="A585" s="6">
        <v>583</v>
      </c>
      <c r="B585" s="7">
        <v>109.31999969482401</v>
      </c>
      <c r="C585" s="3">
        <f t="shared" si="2"/>
        <v>2.6562957460305138E-3</v>
      </c>
    </row>
    <row r="586" spans="1:3" x14ac:dyDescent="0.25">
      <c r="A586" s="6">
        <v>584</v>
      </c>
      <c r="B586" s="7">
        <v>108.790000915527</v>
      </c>
      <c r="C586" s="3">
        <f t="shared" si="2"/>
        <v>-4.859931419747953E-3</v>
      </c>
    </row>
    <row r="587" spans="1:3" x14ac:dyDescent="0.25">
      <c r="A587" s="6">
        <v>585</v>
      </c>
      <c r="B587" s="7">
        <v>108.620002746582</v>
      </c>
      <c r="C587" s="3">
        <f t="shared" si="2"/>
        <v>-1.5638489556824612E-3</v>
      </c>
    </row>
    <row r="588" spans="1:3" x14ac:dyDescent="0.25">
      <c r="A588" s="6">
        <v>586</v>
      </c>
      <c r="B588" s="7">
        <v>112.58999633789</v>
      </c>
      <c r="C588" s="3">
        <f t="shared" si="2"/>
        <v>3.5897291396118074E-2</v>
      </c>
    </row>
    <row r="589" spans="1:3" x14ac:dyDescent="0.25">
      <c r="A589" s="6">
        <v>587</v>
      </c>
      <c r="B589" s="7">
        <v>112.44000244140599</v>
      </c>
      <c r="C589" s="3">
        <f t="shared" si="2"/>
        <v>-1.3331015376727873E-3</v>
      </c>
    </row>
    <row r="590" spans="1:3" x14ac:dyDescent="0.25">
      <c r="A590" s="6">
        <v>588</v>
      </c>
      <c r="B590" s="7">
        <v>109.129997253417</v>
      </c>
      <c r="C590" s="3">
        <f t="shared" si="2"/>
        <v>-2.9879960794291907E-2</v>
      </c>
    </row>
    <row r="591" spans="1:3" x14ac:dyDescent="0.25">
      <c r="A591" s="6">
        <v>589</v>
      </c>
      <c r="B591" s="7">
        <v>108.459999084472</v>
      </c>
      <c r="C591" s="3">
        <f t="shared" si="2"/>
        <v>-6.1583739852492866E-3</v>
      </c>
    </row>
    <row r="592" spans="1:3" x14ac:dyDescent="0.25">
      <c r="A592" s="6">
        <v>590</v>
      </c>
      <c r="B592" s="7">
        <v>112.76999664306599</v>
      </c>
      <c r="C592" s="3">
        <f t="shared" si="2"/>
        <v>3.8968883504469067E-2</v>
      </c>
    </row>
    <row r="593" spans="1:3" x14ac:dyDescent="0.25">
      <c r="A593" s="6">
        <v>591</v>
      </c>
      <c r="B593" s="7">
        <v>112.480003356933</v>
      </c>
      <c r="C593" s="3">
        <f t="shared" si="2"/>
        <v>-2.574858569161103E-3</v>
      </c>
    </row>
    <row r="594" spans="1:3" x14ac:dyDescent="0.25">
      <c r="A594" s="6">
        <v>592</v>
      </c>
      <c r="B594" s="7">
        <v>109.620002746582</v>
      </c>
      <c r="C594" s="3">
        <f t="shared" si="2"/>
        <v>-2.5755593233611786E-2</v>
      </c>
    </row>
    <row r="595" spans="1:3" x14ac:dyDescent="0.25">
      <c r="A595" s="6">
        <v>593</v>
      </c>
      <c r="B595" s="7">
        <v>112.98999786376901</v>
      </c>
      <c r="C595" s="3">
        <f t="shared" si="2"/>
        <v>3.0279435641329844E-2</v>
      </c>
    </row>
    <row r="596" spans="1:3" x14ac:dyDescent="0.25">
      <c r="A596" s="6">
        <v>594</v>
      </c>
      <c r="B596" s="7">
        <v>111.400001525878</v>
      </c>
      <c r="C596" s="3">
        <f t="shared" si="2"/>
        <v>-1.417195912430994E-2</v>
      </c>
    </row>
    <row r="597" spans="1:3" x14ac:dyDescent="0.25">
      <c r="A597" s="6">
        <v>595</v>
      </c>
      <c r="B597" s="7">
        <v>110.169998168945</v>
      </c>
      <c r="C597" s="3">
        <f t="shared" si="2"/>
        <v>-1.1102730458767786E-2</v>
      </c>
    </row>
    <row r="598" spans="1:3" x14ac:dyDescent="0.25">
      <c r="A598" s="6">
        <v>596</v>
      </c>
      <c r="B598" s="7">
        <v>109.540000915527</v>
      </c>
      <c r="C598" s="3">
        <f t="shared" si="2"/>
        <v>-5.7348230182054224E-3</v>
      </c>
    </row>
    <row r="599" spans="1:3" x14ac:dyDescent="0.25">
      <c r="A599" s="6">
        <v>597</v>
      </c>
      <c r="B599" s="7">
        <v>109.220001220703</v>
      </c>
      <c r="C599" s="3">
        <f t="shared" si="2"/>
        <v>-2.9255798129398706E-3</v>
      </c>
    </row>
    <row r="600" spans="1:3" x14ac:dyDescent="0.25">
      <c r="A600" s="6">
        <v>598</v>
      </c>
      <c r="B600" s="7">
        <v>110.25</v>
      </c>
      <c r="C600" s="3">
        <f t="shared" si="2"/>
        <v>9.3863064263958202E-3</v>
      </c>
    </row>
    <row r="601" spans="1:3" x14ac:dyDescent="0.25">
      <c r="A601" s="6">
        <v>599</v>
      </c>
      <c r="B601" s="7">
        <v>107.69000244140599</v>
      </c>
      <c r="C601" s="3">
        <f t="shared" si="2"/>
        <v>-2.349376231548176E-2</v>
      </c>
    </row>
    <row r="602" spans="1:3" x14ac:dyDescent="0.25">
      <c r="A602" s="6">
        <v>600</v>
      </c>
      <c r="B602" s="7">
        <v>107.949996948242</v>
      </c>
      <c r="C602" s="3">
        <f t="shared" si="2"/>
        <v>2.4113766792359043E-3</v>
      </c>
    </row>
    <row r="603" spans="1:3" x14ac:dyDescent="0.25">
      <c r="A603" s="6">
        <v>601</v>
      </c>
      <c r="B603" s="7">
        <v>105.919998168945</v>
      </c>
      <c r="C603" s="3">
        <f t="shared" si="2"/>
        <v>-1.8984053789162195E-2</v>
      </c>
    </row>
    <row r="604" spans="1:3" x14ac:dyDescent="0.25">
      <c r="A604" s="6">
        <v>602</v>
      </c>
      <c r="B604" s="7">
        <v>106.08000183105401</v>
      </c>
      <c r="C604" s="3">
        <f t="shared" si="2"/>
        <v>1.5094687970721983E-3</v>
      </c>
    </row>
    <row r="605" spans="1:3" x14ac:dyDescent="0.25">
      <c r="A605" s="6">
        <v>603</v>
      </c>
      <c r="B605" s="7">
        <v>108.11000061035099</v>
      </c>
      <c r="C605" s="3">
        <f t="shared" si="2"/>
        <v>1.8955689251708489E-2</v>
      </c>
    </row>
    <row r="606" spans="1:3" x14ac:dyDescent="0.25">
      <c r="A606" s="6">
        <v>604</v>
      </c>
      <c r="B606" s="7">
        <v>108.75</v>
      </c>
      <c r="C606" s="3">
        <f t="shared" si="2"/>
        <v>5.9024370184654765E-3</v>
      </c>
    </row>
    <row r="607" spans="1:3" x14ac:dyDescent="0.25">
      <c r="A607" s="6">
        <v>605</v>
      </c>
      <c r="B607" s="7">
        <v>106.559997558593</v>
      </c>
      <c r="C607" s="3">
        <f t="shared" si="2"/>
        <v>-2.0343486087816491E-2</v>
      </c>
    </row>
    <row r="608" spans="1:3" x14ac:dyDescent="0.25">
      <c r="A608" s="6">
        <v>606</v>
      </c>
      <c r="B608" s="7">
        <v>106.76000213623</v>
      </c>
      <c r="C608" s="3">
        <f t="shared" si="2"/>
        <v>1.8751606649939003E-3</v>
      </c>
    </row>
    <row r="609" spans="1:3" x14ac:dyDescent="0.25">
      <c r="A609" s="6">
        <v>607</v>
      </c>
      <c r="B609" s="7">
        <v>107.11000061035099</v>
      </c>
      <c r="C609" s="3">
        <f t="shared" si="2"/>
        <v>3.2730049289239616E-3</v>
      </c>
    </row>
    <row r="610" spans="1:3" x14ac:dyDescent="0.25">
      <c r="A610" s="6">
        <v>608</v>
      </c>
      <c r="B610" s="7">
        <v>107.76999664306599</v>
      </c>
      <c r="C610" s="3">
        <f t="shared" si="2"/>
        <v>6.1429459847864749E-3</v>
      </c>
    </row>
    <row r="611" spans="1:3" x14ac:dyDescent="0.25">
      <c r="A611" s="6">
        <v>609</v>
      </c>
      <c r="B611" s="7">
        <v>108.08000183105401</v>
      </c>
      <c r="C611" s="3">
        <f t="shared" si="2"/>
        <v>2.8724151339159995E-3</v>
      </c>
    </row>
    <row r="612" spans="1:3" x14ac:dyDescent="0.25">
      <c r="A612" s="6">
        <v>610</v>
      </c>
      <c r="B612" s="7">
        <v>107.76999664306599</v>
      </c>
      <c r="C612" s="3">
        <f t="shared" si="2"/>
        <v>-2.8724151339159865E-3</v>
      </c>
    </row>
    <row r="613" spans="1:3" x14ac:dyDescent="0.25">
      <c r="A613" s="6">
        <v>611</v>
      </c>
      <c r="B613" s="7">
        <v>109.470001220703</v>
      </c>
      <c r="C613" s="3">
        <f t="shared" si="2"/>
        <v>1.5651254807811918E-2</v>
      </c>
    </row>
    <row r="614" spans="1:3" x14ac:dyDescent="0.25">
      <c r="A614" s="6">
        <v>612</v>
      </c>
      <c r="B614" s="7">
        <v>105.98999786376901</v>
      </c>
      <c r="C614" s="3">
        <f t="shared" si="2"/>
        <v>-3.2305820383354229E-2</v>
      </c>
    </row>
    <row r="615" spans="1:3" x14ac:dyDescent="0.25">
      <c r="A615" s="6">
        <v>613</v>
      </c>
      <c r="B615" s="7">
        <v>109.52999877929599</v>
      </c>
      <c r="C615" s="3">
        <f t="shared" si="2"/>
        <v>3.2853743306587441E-2</v>
      </c>
    </row>
    <row r="616" spans="1:3" x14ac:dyDescent="0.25">
      <c r="A616" s="6">
        <v>614</v>
      </c>
      <c r="B616" s="7">
        <v>110.949996948242</v>
      </c>
      <c r="C616" s="3">
        <f t="shared" si="2"/>
        <v>1.2881148682170569E-2</v>
      </c>
    </row>
    <row r="617" spans="1:3" x14ac:dyDescent="0.25">
      <c r="A617" s="6">
        <v>615</v>
      </c>
      <c r="B617" s="7">
        <v>110.680000305175</v>
      </c>
      <c r="C617" s="3">
        <f t="shared" si="2"/>
        <v>-2.4364641968989366E-3</v>
      </c>
    </row>
    <row r="618" spans="1:3" x14ac:dyDescent="0.25">
      <c r="A618" s="6">
        <v>616</v>
      </c>
      <c r="B618" s="7">
        <v>110.379997253417</v>
      </c>
      <c r="C618" s="3">
        <f t="shared" si="2"/>
        <v>-2.714224547620458E-3</v>
      </c>
    </row>
    <row r="619" spans="1:3" x14ac:dyDescent="0.25">
      <c r="A619" s="6">
        <v>617</v>
      </c>
      <c r="B619" s="7">
        <v>110.83000183105401</v>
      </c>
      <c r="C619" s="3">
        <f t="shared" si="2"/>
        <v>4.0685791804684884E-3</v>
      </c>
    </row>
    <row r="620" spans="1:3" x14ac:dyDescent="0.25">
      <c r="A620" s="6">
        <v>618</v>
      </c>
      <c r="B620" s="7">
        <v>110.209999084472</v>
      </c>
      <c r="C620" s="3">
        <f t="shared" si="2"/>
        <v>-5.6098839125186314E-3</v>
      </c>
    </row>
    <row r="621" spans="1:3" x14ac:dyDescent="0.25">
      <c r="A621" s="6">
        <v>619</v>
      </c>
      <c r="B621" s="7">
        <v>110.81999969482401</v>
      </c>
      <c r="C621" s="3">
        <f t="shared" si="2"/>
        <v>5.5196322890769698E-3</v>
      </c>
    </row>
    <row r="622" spans="1:3" x14ac:dyDescent="0.25">
      <c r="A622" s="6">
        <v>620</v>
      </c>
      <c r="B622" s="7">
        <v>110.040000915527</v>
      </c>
      <c r="C622" s="3">
        <f t="shared" si="2"/>
        <v>-7.0633163090836606E-3</v>
      </c>
    </row>
    <row r="623" spans="1:3" x14ac:dyDescent="0.25">
      <c r="A623" s="6">
        <v>621</v>
      </c>
      <c r="B623" s="7">
        <v>110.120002746582</v>
      </c>
      <c r="C623" s="3">
        <f t="shared" si="2"/>
        <v>7.2676083980341964E-4</v>
      </c>
    </row>
    <row r="624" spans="1:3" x14ac:dyDescent="0.25">
      <c r="A624" s="6">
        <v>622</v>
      </c>
      <c r="B624" s="7">
        <v>110.419998168945</v>
      </c>
      <c r="C624" s="3">
        <f t="shared" si="2"/>
        <v>2.7205550571348918E-3</v>
      </c>
    </row>
    <row r="625" spans="1:3" x14ac:dyDescent="0.25">
      <c r="A625" s="6">
        <v>623</v>
      </c>
      <c r="B625" s="7">
        <v>112.050003051757</v>
      </c>
      <c r="C625" s="3">
        <f t="shared" si="2"/>
        <v>1.4653967209347923E-2</v>
      </c>
    </row>
    <row r="626" spans="1:3" x14ac:dyDescent="0.25">
      <c r="A626" s="6">
        <v>624</v>
      </c>
      <c r="B626" s="7">
        <v>112.51000213623</v>
      </c>
      <c r="C626" s="3">
        <f t="shared" si="2"/>
        <v>4.0968980873965092E-3</v>
      </c>
    </row>
    <row r="627" spans="1:3" x14ac:dyDescent="0.25">
      <c r="A627" s="6">
        <v>625</v>
      </c>
      <c r="B627" s="7">
        <v>113.83000183105401</v>
      </c>
      <c r="C627" s="3">
        <f t="shared" si="2"/>
        <v>1.1663997852986285E-2</v>
      </c>
    </row>
    <row r="628" spans="1:3" x14ac:dyDescent="0.25">
      <c r="A628" s="6">
        <v>626</v>
      </c>
      <c r="B628" s="7">
        <v>114.629997253417</v>
      </c>
      <c r="C628" s="3">
        <f t="shared" si="2"/>
        <v>7.0034027435074584E-3</v>
      </c>
    </row>
    <row r="629" spans="1:3" x14ac:dyDescent="0.25">
      <c r="A629" s="6">
        <v>627</v>
      </c>
      <c r="B629" s="7">
        <v>114.309997558593</v>
      </c>
      <c r="C629" s="3">
        <f t="shared" si="2"/>
        <v>-2.7954914865834565E-3</v>
      </c>
    </row>
    <row r="630" spans="1:3" x14ac:dyDescent="0.25">
      <c r="A630" s="6">
        <v>628</v>
      </c>
      <c r="B630" s="7">
        <v>113.11000061035099</v>
      </c>
      <c r="C630" s="3">
        <f t="shared" si="2"/>
        <v>-1.0553232740540992E-2</v>
      </c>
    </row>
    <row r="631" spans="1:3" x14ac:dyDescent="0.25">
      <c r="A631" s="6">
        <v>629</v>
      </c>
      <c r="B631" s="7">
        <v>110.459999084472</v>
      </c>
      <c r="C631" s="3">
        <f t="shared" si="2"/>
        <v>-2.3707345754653223E-2</v>
      </c>
    </row>
    <row r="632" spans="1:3" x14ac:dyDescent="0.25">
      <c r="A632" s="6">
        <v>630</v>
      </c>
      <c r="B632" s="7">
        <v>110.58999633789</v>
      </c>
      <c r="C632" s="3">
        <f t="shared" si="2"/>
        <v>1.1761797882520926E-3</v>
      </c>
    </row>
    <row r="633" spans="1:3" x14ac:dyDescent="0.25">
      <c r="A633" s="6">
        <v>631</v>
      </c>
      <c r="B633" s="7">
        <v>112.83000183105401</v>
      </c>
      <c r="C633" s="3">
        <f t="shared" si="2"/>
        <v>2.0052641405814701E-2</v>
      </c>
    </row>
    <row r="634" spans="1:3" x14ac:dyDescent="0.25">
      <c r="A634" s="6">
        <v>632</v>
      </c>
      <c r="B634" s="7">
        <v>111.26999664306599</v>
      </c>
      <c r="C634" s="3">
        <f t="shared" si="2"/>
        <v>-1.392262737844209E-2</v>
      </c>
    </row>
    <row r="635" spans="1:3" x14ac:dyDescent="0.25">
      <c r="A635" s="6">
        <v>633</v>
      </c>
      <c r="B635" s="7">
        <v>108.51999664306599</v>
      </c>
      <c r="C635" s="3">
        <f t="shared" si="2"/>
        <v>-2.5025193143396015E-2</v>
      </c>
    </row>
    <row r="636" spans="1:3" x14ac:dyDescent="0.25">
      <c r="A636" s="6">
        <v>634</v>
      </c>
      <c r="B636" s="7">
        <v>109.629997253417</v>
      </c>
      <c r="C636" s="3">
        <f t="shared" si="2"/>
        <v>1.0176577776293407E-2</v>
      </c>
    </row>
    <row r="637" spans="1:3" x14ac:dyDescent="0.25">
      <c r="A637" s="6">
        <v>635</v>
      </c>
      <c r="B637" s="7">
        <v>113.400001525878</v>
      </c>
      <c r="C637" s="3">
        <f t="shared" si="2"/>
        <v>3.3810370116123714E-2</v>
      </c>
    </row>
    <row r="638" spans="1:3" x14ac:dyDescent="0.25">
      <c r="A638" s="6">
        <v>636</v>
      </c>
      <c r="B638" s="7">
        <v>111.150001525878</v>
      </c>
      <c r="C638" s="3">
        <f t="shared" si="2"/>
        <v>-2.004075061106329E-2</v>
      </c>
    </row>
    <row r="639" spans="1:3" x14ac:dyDescent="0.25">
      <c r="A639" s="6">
        <v>637</v>
      </c>
      <c r="B639" s="7">
        <v>109.059997558593</v>
      </c>
      <c r="C639" s="3">
        <f t="shared" si="2"/>
        <v>-1.8982487026294268E-2</v>
      </c>
    </row>
    <row r="640" spans="1:3" x14ac:dyDescent="0.25">
      <c r="A640" s="6">
        <v>638</v>
      </c>
      <c r="B640" s="7">
        <v>109.970001220703</v>
      </c>
      <c r="C640" s="3">
        <f t="shared" si="2"/>
        <v>8.3094453111619074E-3</v>
      </c>
    </row>
    <row r="641" spans="1:3" x14ac:dyDescent="0.25">
      <c r="A641" s="6">
        <v>639</v>
      </c>
      <c r="B641" s="7">
        <v>109.06999969482401</v>
      </c>
      <c r="C641" s="3">
        <f t="shared" si="2"/>
        <v>-8.2177372805016767E-3</v>
      </c>
    </row>
    <row r="642" spans="1:3" x14ac:dyDescent="0.25">
      <c r="A642" s="6">
        <v>640</v>
      </c>
      <c r="B642" s="7">
        <v>108.77999877929599</v>
      </c>
      <c r="C642" s="3">
        <f t="shared" si="2"/>
        <v>-2.6623923696228293E-3</v>
      </c>
    </row>
    <row r="643" spans="1:3" x14ac:dyDescent="0.25">
      <c r="A643" s="6">
        <v>641</v>
      </c>
      <c r="B643" s="7">
        <v>110.970001220703</v>
      </c>
      <c r="C643" s="3">
        <f t="shared" si="2"/>
        <v>1.9932422739723791E-2</v>
      </c>
    </row>
    <row r="644" spans="1:3" x14ac:dyDescent="0.25">
      <c r="A644" s="6">
        <v>642</v>
      </c>
      <c r="B644" s="7">
        <v>111.379997253417</v>
      </c>
      <c r="C644" s="3">
        <f t="shared" si="2"/>
        <v>3.6878479891817649E-3</v>
      </c>
    </row>
    <row r="645" spans="1:3" x14ac:dyDescent="0.25">
      <c r="A645" s="6">
        <v>643</v>
      </c>
      <c r="B645" s="7">
        <v>112.220001220703</v>
      </c>
      <c r="C645" s="3">
        <f t="shared" si="2"/>
        <v>7.513487698641361E-3</v>
      </c>
    </row>
    <row r="646" spans="1:3" x14ac:dyDescent="0.25">
      <c r="A646" s="6">
        <v>644</v>
      </c>
      <c r="B646" s="7">
        <v>112.809997558593</v>
      </c>
      <c r="C646" s="3">
        <f t="shared" si="2"/>
        <v>5.2437247744754577E-3</v>
      </c>
    </row>
    <row r="647" spans="1:3" x14ac:dyDescent="0.25">
      <c r="A647" s="6">
        <v>645</v>
      </c>
      <c r="B647" s="7">
        <v>108.48999786376901</v>
      </c>
      <c r="C647" s="3">
        <f t="shared" si="2"/>
        <v>-3.9046982831288796E-2</v>
      </c>
    </row>
    <row r="648" spans="1:3" x14ac:dyDescent="0.25">
      <c r="A648" s="6">
        <v>646</v>
      </c>
      <c r="B648" s="7">
        <v>109.959999084472</v>
      </c>
      <c r="C648" s="3">
        <f t="shared" si="2"/>
        <v>1.3458671827256021E-2</v>
      </c>
    </row>
    <row r="649" spans="1:3" x14ac:dyDescent="0.25">
      <c r="A649" s="6">
        <v>647</v>
      </c>
      <c r="B649" s="7">
        <v>112.56999969482401</v>
      </c>
      <c r="C649" s="3">
        <f t="shared" si="2"/>
        <v>2.3458592684688535E-2</v>
      </c>
    </row>
    <row r="650" spans="1:3" x14ac:dyDescent="0.25">
      <c r="A650" s="6">
        <v>648</v>
      </c>
      <c r="B650" s="7">
        <v>113.790000915527</v>
      </c>
      <c r="C650" s="3">
        <f t="shared" si="2"/>
        <v>1.077940475895312E-2</v>
      </c>
    </row>
    <row r="651" spans="1:3" x14ac:dyDescent="0.25">
      <c r="A651" s="6">
        <v>649</v>
      </c>
      <c r="B651" s="7">
        <v>113.169998168945</v>
      </c>
      <c r="C651" s="3">
        <f t="shared" si="2"/>
        <v>-5.4635556165123327E-3</v>
      </c>
    </row>
    <row r="652" spans="1:3" x14ac:dyDescent="0.25">
      <c r="A652" s="6">
        <v>650</v>
      </c>
      <c r="B652" s="7">
        <v>113.930000305175</v>
      </c>
      <c r="C652" s="3">
        <f t="shared" si="2"/>
        <v>6.6931305904782143E-3</v>
      </c>
    </row>
    <row r="653" spans="1:3" x14ac:dyDescent="0.25">
      <c r="A653" s="6">
        <v>651</v>
      </c>
      <c r="B653" s="7">
        <v>114.930000305175</v>
      </c>
      <c r="C653" s="3">
        <f t="shared" si="2"/>
        <v>8.73902264733647E-3</v>
      </c>
    </row>
    <row r="654" spans="1:3" x14ac:dyDescent="0.25">
      <c r="A654" s="6">
        <v>652</v>
      </c>
      <c r="B654" s="7">
        <v>116.459999084472</v>
      </c>
      <c r="C654" s="3">
        <f t="shared" si="2"/>
        <v>1.3224608511685984E-2</v>
      </c>
    </row>
    <row r="655" spans="1:3" x14ac:dyDescent="0.25">
      <c r="A655" s="6">
        <v>653</v>
      </c>
      <c r="B655" s="7">
        <v>116.650001525878</v>
      </c>
      <c r="C655" s="3">
        <f t="shared" si="2"/>
        <v>1.6301530005966025E-3</v>
      </c>
    </row>
    <row r="656" spans="1:3" x14ac:dyDescent="0.25">
      <c r="A656" s="6">
        <v>654</v>
      </c>
      <c r="B656" s="7">
        <v>117.889999389648</v>
      </c>
      <c r="C656" s="3">
        <f t="shared" si="2"/>
        <v>1.0573969578473227E-2</v>
      </c>
    </row>
    <row r="657" spans="1:3" x14ac:dyDescent="0.25">
      <c r="A657" s="6">
        <v>655</v>
      </c>
      <c r="B657" s="7">
        <v>115.809997558593</v>
      </c>
      <c r="C657" s="3">
        <f t="shared" si="2"/>
        <v>-1.7801085011590629E-2</v>
      </c>
    </row>
    <row r="658" spans="1:3" x14ac:dyDescent="0.25">
      <c r="A658" s="6">
        <v>656</v>
      </c>
      <c r="B658" s="7">
        <v>112.680000305175</v>
      </c>
      <c r="C658" s="3">
        <f t="shared" si="2"/>
        <v>-2.7398950398639398E-2</v>
      </c>
    </row>
    <row r="659" spans="1:3" x14ac:dyDescent="0.25">
      <c r="A659" s="6">
        <v>657</v>
      </c>
      <c r="B659" s="7">
        <v>112.84999847412099</v>
      </c>
      <c r="C659" s="3">
        <f t="shared" si="2"/>
        <v>1.5075440257367732E-3</v>
      </c>
    </row>
    <row r="660" spans="1:3" x14ac:dyDescent="0.25">
      <c r="A660" s="6">
        <v>658</v>
      </c>
      <c r="B660" s="7">
        <v>111.419998168945</v>
      </c>
      <c r="C660" s="3">
        <f t="shared" si="2"/>
        <v>-1.2752661583381675E-2</v>
      </c>
    </row>
    <row r="661" spans="1:3" x14ac:dyDescent="0.25">
      <c r="A661" s="6">
        <v>659</v>
      </c>
      <c r="B661" s="7">
        <v>113.220001220703</v>
      </c>
      <c r="C661" s="3">
        <f t="shared" si="2"/>
        <v>1.6026011231344027E-2</v>
      </c>
    </row>
    <row r="662" spans="1:3" x14ac:dyDescent="0.25">
      <c r="A662" s="6">
        <v>660</v>
      </c>
      <c r="B662" s="7">
        <v>111.470001220703</v>
      </c>
      <c r="C662" s="3">
        <f t="shared" si="2"/>
        <v>-1.5577332037716791E-2</v>
      </c>
    </row>
    <row r="663" spans="1:3" x14ac:dyDescent="0.25">
      <c r="A663" s="6">
        <v>661</v>
      </c>
      <c r="B663" s="7">
        <v>110.480003356933</v>
      </c>
      <c r="C663" s="3">
        <f t="shared" si="2"/>
        <v>-8.9209678664675923E-3</v>
      </c>
    </row>
    <row r="664" spans="1:3" x14ac:dyDescent="0.25">
      <c r="A664" s="6">
        <v>662</v>
      </c>
      <c r="B664" s="7">
        <v>111.699996948242</v>
      </c>
      <c r="C664" s="3">
        <f t="shared" si="2"/>
        <v>1.098213926811417E-2</v>
      </c>
    </row>
    <row r="665" spans="1:3" x14ac:dyDescent="0.25">
      <c r="A665" s="6">
        <v>663</v>
      </c>
      <c r="B665" s="7">
        <v>113.58000183105401</v>
      </c>
      <c r="C665" s="3">
        <f t="shared" si="2"/>
        <v>1.6690771816423738E-2</v>
      </c>
    </row>
    <row r="666" spans="1:3" x14ac:dyDescent="0.25">
      <c r="A666" s="6">
        <v>664</v>
      </c>
      <c r="B666" s="7">
        <v>115.480003356933</v>
      </c>
      <c r="C666" s="3">
        <f t="shared" si="2"/>
        <v>1.6589933293564722E-2</v>
      </c>
    </row>
    <row r="667" spans="1:3" x14ac:dyDescent="0.25">
      <c r="A667" s="6">
        <v>665</v>
      </c>
      <c r="B667" s="7">
        <v>113.09999847412099</v>
      </c>
      <c r="C667" s="3">
        <f t="shared" si="2"/>
        <v>-2.082501423346254E-2</v>
      </c>
    </row>
    <row r="668" spans="1:3" x14ac:dyDescent="0.25">
      <c r="A668" s="6">
        <v>666</v>
      </c>
      <c r="B668" s="7">
        <v>113.800003051757</v>
      </c>
      <c r="C668" s="3">
        <f t="shared" si="2"/>
        <v>6.1701788784154976E-3</v>
      </c>
    </row>
    <row r="669" spans="1:3" x14ac:dyDescent="0.25">
      <c r="A669" s="6">
        <v>667</v>
      </c>
      <c r="B669" s="7">
        <v>112.66000366210901</v>
      </c>
      <c r="C669" s="3">
        <f t="shared" si="2"/>
        <v>-1.0068082536658692E-2</v>
      </c>
    </row>
    <row r="670" spans="1:3" x14ac:dyDescent="0.25">
      <c r="A670" s="6">
        <v>668</v>
      </c>
      <c r="B670" s="7">
        <v>111.639999389648</v>
      </c>
      <c r="C670" s="3">
        <f t="shared" si="2"/>
        <v>-9.0950627714399476E-3</v>
      </c>
    </row>
    <row r="671" spans="1:3" x14ac:dyDescent="0.25">
      <c r="A671" s="6">
        <v>669</v>
      </c>
      <c r="B671" s="7">
        <v>115</v>
      </c>
      <c r="C671" s="3">
        <f t="shared" si="2"/>
        <v>2.9652725162273075E-2</v>
      </c>
    </row>
    <row r="672" spans="1:3" x14ac:dyDescent="0.25">
      <c r="A672" s="6">
        <v>670</v>
      </c>
      <c r="B672" s="7">
        <v>113.800003051757</v>
      </c>
      <c r="C672" s="3">
        <f t="shared" si="2"/>
        <v>-1.0489579854174483E-2</v>
      </c>
    </row>
    <row r="673" spans="1:3" x14ac:dyDescent="0.25">
      <c r="A673" s="6">
        <v>671</v>
      </c>
      <c r="B673" s="7">
        <v>113.709999084472</v>
      </c>
      <c r="C673" s="3">
        <f t="shared" si="2"/>
        <v>-7.9120892387315143E-4</v>
      </c>
    </row>
    <row r="674" spans="1:3" x14ac:dyDescent="0.25">
      <c r="A674" s="6">
        <v>672</v>
      </c>
      <c r="B674" s="7">
        <v>115.419998168945</v>
      </c>
      <c r="C674" s="3">
        <f t="shared" si="2"/>
        <v>1.4926293833339549E-2</v>
      </c>
    </row>
    <row r="675" spans="1:3" x14ac:dyDescent="0.25">
      <c r="A675" s="6">
        <v>673</v>
      </c>
      <c r="B675" s="7">
        <v>118.26999664306599</v>
      </c>
      <c r="C675" s="3">
        <f t="shared" si="2"/>
        <v>2.4392484460835504E-2</v>
      </c>
    </row>
    <row r="676" spans="1:3" x14ac:dyDescent="0.25">
      <c r="A676" s="6">
        <v>674</v>
      </c>
      <c r="B676" s="7">
        <v>114.290000915527</v>
      </c>
      <c r="C676" s="3">
        <f t="shared" si="2"/>
        <v>-3.4231031959310022E-2</v>
      </c>
    </row>
    <row r="677" spans="1:3" x14ac:dyDescent="0.25">
      <c r="A677" s="6">
        <v>675</v>
      </c>
      <c r="B677" s="7">
        <v>112.81999969482401</v>
      </c>
      <c r="C677" s="3">
        <f t="shared" si="2"/>
        <v>-1.2945460313218714E-2</v>
      </c>
    </row>
    <row r="678" spans="1:3" x14ac:dyDescent="0.25">
      <c r="A678" s="6">
        <v>676</v>
      </c>
      <c r="B678" s="7">
        <v>111.33999633789</v>
      </c>
      <c r="C678" s="3">
        <f t="shared" si="2"/>
        <v>-1.3205075742721615E-2</v>
      </c>
    </row>
    <row r="679" spans="1:3" x14ac:dyDescent="0.25">
      <c r="A679" s="6">
        <v>677</v>
      </c>
      <c r="B679" s="7">
        <v>114.31999969482401</v>
      </c>
      <c r="C679" s="3">
        <f t="shared" si="2"/>
        <v>2.6412981087995654E-2</v>
      </c>
    </row>
    <row r="680" spans="1:3" x14ac:dyDescent="0.25">
      <c r="A680" s="6">
        <v>678</v>
      </c>
      <c r="B680" s="7">
        <v>113</v>
      </c>
      <c r="C680" s="3">
        <f t="shared" si="2"/>
        <v>-1.1613712239782279E-2</v>
      </c>
    </row>
    <row r="681" spans="1:3" x14ac:dyDescent="0.25">
      <c r="A681" s="6">
        <v>679</v>
      </c>
      <c r="B681" s="7">
        <v>115.08999633789</v>
      </c>
      <c r="C681" s="3">
        <f t="shared" si="2"/>
        <v>1.8326580448526131E-2</v>
      </c>
    </row>
    <row r="682" spans="1:3" x14ac:dyDescent="0.25">
      <c r="A682" s="6">
        <v>680</v>
      </c>
      <c r="B682" s="7">
        <v>115.449996948242</v>
      </c>
      <c r="C682" s="3">
        <f t="shared" si="2"/>
        <v>3.123110206047176E-3</v>
      </c>
    </row>
    <row r="683" spans="1:3" x14ac:dyDescent="0.25">
      <c r="A683" s="6">
        <v>681</v>
      </c>
      <c r="B683" s="7">
        <v>114.41000366210901</v>
      </c>
      <c r="C683" s="3">
        <f t="shared" si="2"/>
        <v>-9.0489896454173154E-3</v>
      </c>
    </row>
    <row r="684" spans="1:3" x14ac:dyDescent="0.25">
      <c r="A684" s="6">
        <v>682</v>
      </c>
      <c r="B684" s="7">
        <v>112.459999084472</v>
      </c>
      <c r="C684" s="3">
        <f t="shared" si="2"/>
        <v>-1.719092499836199E-2</v>
      </c>
    </row>
    <row r="685" spans="1:3" x14ac:dyDescent="0.25">
      <c r="A685" s="6">
        <v>683</v>
      </c>
      <c r="B685" s="7">
        <v>112.800003051757</v>
      </c>
      <c r="C685" s="3">
        <f t="shared" si="2"/>
        <v>3.0187713954070972E-3</v>
      </c>
    </row>
    <row r="686" spans="1:3" x14ac:dyDescent="0.25">
      <c r="A686" s="6">
        <v>684</v>
      </c>
      <c r="B686" s="7">
        <v>112.720001220703</v>
      </c>
      <c r="C686" s="3">
        <f t="shared" si="2"/>
        <v>-7.0948769860123455E-4</v>
      </c>
    </row>
    <row r="687" spans="1:3" x14ac:dyDescent="0.25">
      <c r="A687" s="6">
        <v>685</v>
      </c>
      <c r="B687" s="7">
        <v>112.02999877929599</v>
      </c>
      <c r="C687" s="3">
        <f t="shared" si="2"/>
        <v>-6.140196745532768E-3</v>
      </c>
    </row>
    <row r="688" spans="1:3" x14ac:dyDescent="0.25">
      <c r="A688" s="6">
        <v>686</v>
      </c>
      <c r="B688" s="7">
        <v>110.08999633789</v>
      </c>
      <c r="C688" s="3">
        <f t="shared" si="2"/>
        <v>-1.7468501856788908E-2</v>
      </c>
    </row>
    <row r="689" spans="1:3" x14ac:dyDescent="0.25">
      <c r="A689" s="6">
        <v>687</v>
      </c>
      <c r="B689" s="7">
        <v>113.11000061035099</v>
      </c>
      <c r="C689" s="3">
        <f t="shared" si="2"/>
        <v>2.7062622121754296E-2</v>
      </c>
    </row>
    <row r="690" spans="1:3" x14ac:dyDescent="0.25">
      <c r="A690" s="6">
        <v>688</v>
      </c>
      <c r="B690" s="7">
        <v>112.980003356933</v>
      </c>
      <c r="C690" s="3">
        <f t="shared" si="2"/>
        <v>-1.1499603296269484E-3</v>
      </c>
    </row>
    <row r="691" spans="1:3" x14ac:dyDescent="0.25">
      <c r="A691" s="6">
        <v>689</v>
      </c>
      <c r="B691" s="7">
        <v>114.949996948242</v>
      </c>
      <c r="C691" s="3">
        <f t="shared" si="2"/>
        <v>1.7286383050875053E-2</v>
      </c>
    </row>
    <row r="692" spans="1:3" x14ac:dyDescent="0.25">
      <c r="A692" s="6">
        <v>690</v>
      </c>
      <c r="B692" s="7">
        <v>111.76000213623</v>
      </c>
      <c r="C692" s="3">
        <f t="shared" si="2"/>
        <v>-2.814349059747338E-2</v>
      </c>
    </row>
    <row r="693" spans="1:3" x14ac:dyDescent="0.25">
      <c r="A693" s="6">
        <v>691</v>
      </c>
      <c r="B693" s="7">
        <v>112.34999847412099</v>
      </c>
      <c r="C693" s="3">
        <f t="shared" si="2"/>
        <v>5.2652509867127358E-3</v>
      </c>
    </row>
    <row r="694" spans="1:3" x14ac:dyDescent="0.25">
      <c r="A694" s="6">
        <v>692</v>
      </c>
      <c r="B694" s="7">
        <v>111.980003356933</v>
      </c>
      <c r="C694" s="3">
        <f t="shared" si="2"/>
        <v>-3.2986711511444975E-3</v>
      </c>
    </row>
    <row r="695" spans="1:3" x14ac:dyDescent="0.25">
      <c r="A695" s="6">
        <v>693</v>
      </c>
      <c r="B695" s="7">
        <v>114.84999847412099</v>
      </c>
      <c r="C695" s="3">
        <f t="shared" si="2"/>
        <v>2.5306601950548759E-2</v>
      </c>
    </row>
    <row r="696" spans="1:3" x14ac:dyDescent="0.25">
      <c r="A696" s="6">
        <v>694</v>
      </c>
      <c r="B696" s="7">
        <v>118.639999389648</v>
      </c>
      <c r="C696" s="3">
        <f t="shared" si="2"/>
        <v>3.2466776835840191E-2</v>
      </c>
    </row>
    <row r="697" spans="1:3" x14ac:dyDescent="0.25">
      <c r="A697" s="6">
        <v>695</v>
      </c>
      <c r="B697" s="7">
        <v>124.01000213623</v>
      </c>
      <c r="C697" s="3">
        <f t="shared" si="2"/>
        <v>4.426853205584811E-2</v>
      </c>
    </row>
    <row r="698" spans="1:3" x14ac:dyDescent="0.25">
      <c r="A698" s="6">
        <v>696</v>
      </c>
      <c r="B698" s="7">
        <v>123.389999389648</v>
      </c>
      <c r="C698" s="3">
        <f t="shared" si="2"/>
        <v>-5.012158777037823E-3</v>
      </c>
    </row>
    <row r="699" spans="1:3" x14ac:dyDescent="0.25">
      <c r="A699" s="6">
        <v>697</v>
      </c>
      <c r="B699" s="7">
        <v>123.419998168945</v>
      </c>
      <c r="C699" s="3">
        <f t="shared" si="2"/>
        <v>2.4309209303901395E-4</v>
      </c>
    </row>
    <row r="700" spans="1:3" x14ac:dyDescent="0.25">
      <c r="A700" s="6">
        <v>698</v>
      </c>
      <c r="B700" s="7">
        <v>124.11000061035099</v>
      </c>
      <c r="C700" s="3">
        <f t="shared" si="2"/>
        <v>5.5751160022986584E-3</v>
      </c>
    </row>
    <row r="701" spans="1:3" x14ac:dyDescent="0.25">
      <c r="A701" s="6">
        <v>699</v>
      </c>
      <c r="B701" s="7">
        <v>123.51000213623</v>
      </c>
      <c r="C701" s="3">
        <f t="shared" si="2"/>
        <v>-4.8461323133213658E-3</v>
      </c>
    </row>
    <row r="702" spans="1:3" x14ac:dyDescent="0.25">
      <c r="A702" s="6">
        <v>700</v>
      </c>
      <c r="B702" s="7">
        <v>122.669998168945</v>
      </c>
      <c r="C702" s="3">
        <f t="shared" si="2"/>
        <v>-6.8243336279439808E-3</v>
      </c>
    </row>
    <row r="703" spans="1:3" x14ac:dyDescent="0.25">
      <c r="A703" s="6">
        <v>701</v>
      </c>
      <c r="B703" s="7">
        <v>121.559997558593</v>
      </c>
      <c r="C703" s="3">
        <f t="shared" si="2"/>
        <v>-9.0898601533619602E-3</v>
      </c>
    </row>
    <row r="704" spans="1:3" x14ac:dyDescent="0.25">
      <c r="A704" s="6">
        <v>702</v>
      </c>
      <c r="B704" s="7">
        <v>122.040000915527</v>
      </c>
      <c r="C704" s="3">
        <f t="shared" si="2"/>
        <v>3.9409193857037027E-3</v>
      </c>
    </row>
    <row r="705" spans="1:3" x14ac:dyDescent="0.25">
      <c r="A705" s="6">
        <v>703</v>
      </c>
      <c r="B705" s="7">
        <v>121.199996948242</v>
      </c>
      <c r="C705" s="3">
        <f t="shared" si="2"/>
        <v>-6.906818894636655E-3</v>
      </c>
    </row>
    <row r="706" spans="1:3" x14ac:dyDescent="0.25">
      <c r="A706" s="6">
        <v>704</v>
      </c>
      <c r="B706" s="7">
        <v>121.870002746582</v>
      </c>
      <c r="C706" s="3">
        <f t="shared" si="2"/>
        <v>5.512876916700416E-3</v>
      </c>
    </row>
    <row r="707" spans="1:3" x14ac:dyDescent="0.25">
      <c r="A707" s="6">
        <v>705</v>
      </c>
      <c r="B707" s="7">
        <v>120.76000213623</v>
      </c>
      <c r="C707" s="3">
        <f t="shared" si="2"/>
        <v>-9.1498028438740751E-3</v>
      </c>
    </row>
    <row r="708" spans="1:3" x14ac:dyDescent="0.25">
      <c r="A708" s="6">
        <v>706</v>
      </c>
      <c r="B708" s="7">
        <v>124.040000915527</v>
      </c>
      <c r="C708" s="3">
        <f t="shared" si="2"/>
        <v>2.6798979084630945E-2</v>
      </c>
    </row>
    <row r="709" spans="1:3" x14ac:dyDescent="0.25">
      <c r="A709" s="6">
        <v>707</v>
      </c>
      <c r="B709" s="7">
        <v>123.86000061035099</v>
      </c>
      <c r="C709" s="3">
        <f t="shared" si="2"/>
        <v>-1.4522011754856366E-3</v>
      </c>
    </row>
    <row r="710" spans="1:3" x14ac:dyDescent="0.25">
      <c r="A710" s="6">
        <v>708</v>
      </c>
      <c r="B710" s="7">
        <v>124.91000366210901</v>
      </c>
      <c r="C710" s="3">
        <f t="shared" si="2"/>
        <v>8.4416068581346475E-3</v>
      </c>
    </row>
    <row r="711" spans="1:3" x14ac:dyDescent="0.25">
      <c r="A711" s="6">
        <v>709</v>
      </c>
      <c r="B711" s="7">
        <v>125.69000244140599</v>
      </c>
      <c r="C711" s="3">
        <f t="shared" si="2"/>
        <v>6.225070064974767E-3</v>
      </c>
    </row>
    <row r="712" spans="1:3" x14ac:dyDescent="0.25">
      <c r="A712" s="6">
        <v>710</v>
      </c>
      <c r="B712" s="7">
        <v>126.209999084472</v>
      </c>
      <c r="C712" s="3">
        <f t="shared" si="2"/>
        <v>4.1286016557607677E-3</v>
      </c>
    </row>
    <row r="713" spans="1:3" x14ac:dyDescent="0.25">
      <c r="A713" s="6">
        <v>711</v>
      </c>
      <c r="B713" s="7">
        <v>126.379997253417</v>
      </c>
      <c r="C713" s="3">
        <f t="shared" si="2"/>
        <v>1.3460405960403876E-3</v>
      </c>
    </row>
    <row r="714" spans="1:3" x14ac:dyDescent="0.25">
      <c r="A714" s="6">
        <v>712</v>
      </c>
      <c r="B714" s="7">
        <v>126.309997558593</v>
      </c>
      <c r="C714" s="3">
        <f t="shared" si="2"/>
        <v>-5.5403615538198998E-4</v>
      </c>
    </row>
    <row r="715" spans="1:3" x14ac:dyDescent="0.25">
      <c r="A715" s="6">
        <v>713</v>
      </c>
      <c r="B715" s="7">
        <v>124.629997253417</v>
      </c>
      <c r="C715" s="3">
        <f t="shared" si="2"/>
        <v>-1.3389857656803296E-2</v>
      </c>
    </row>
    <row r="716" spans="1:3" x14ac:dyDescent="0.25">
      <c r="A716" s="6">
        <v>714</v>
      </c>
      <c r="B716" s="7">
        <v>125.720001220703</v>
      </c>
      <c r="C716" s="3">
        <f t="shared" si="2"/>
        <v>8.7078958386738771E-3</v>
      </c>
    </row>
    <row r="717" spans="1:3" x14ac:dyDescent="0.25">
      <c r="A717" s="6">
        <v>715</v>
      </c>
      <c r="B717" s="7">
        <v>124.449996948242</v>
      </c>
      <c r="C717" s="3">
        <f t="shared" si="2"/>
        <v>-1.0153217347422796E-2</v>
      </c>
    </row>
    <row r="718" spans="1:3" x14ac:dyDescent="0.25">
      <c r="A718" s="6">
        <v>716</v>
      </c>
      <c r="B718" s="7">
        <v>125.900001525878</v>
      </c>
      <c r="C718" s="3">
        <f t="shared" si="2"/>
        <v>1.1583948878422923E-2</v>
      </c>
    </row>
    <row r="719" spans="1:3" x14ac:dyDescent="0.25">
      <c r="A719" s="6">
        <v>717</v>
      </c>
      <c r="B719" s="7">
        <v>124.59999847412099</v>
      </c>
      <c r="C719" s="3">
        <f t="shared" si="2"/>
        <v>-1.0379359062930341E-2</v>
      </c>
    </row>
    <row r="720" spans="1:3" x14ac:dyDescent="0.25">
      <c r="A720" s="6">
        <v>718</v>
      </c>
      <c r="B720" s="7">
        <v>125.540000915527</v>
      </c>
      <c r="C720" s="3">
        <f t="shared" si="2"/>
        <v>7.5158460749644761E-3</v>
      </c>
    </row>
    <row r="721" spans="1:3" x14ac:dyDescent="0.25">
      <c r="A721" s="6">
        <v>719</v>
      </c>
      <c r="B721" s="7">
        <v>124.730003356933</v>
      </c>
      <c r="C721" s="3">
        <f t="shared" si="2"/>
        <v>-6.4730121308824023E-3</v>
      </c>
    </row>
    <row r="722" spans="1:3" x14ac:dyDescent="0.25">
      <c r="A722" s="6">
        <v>720</v>
      </c>
      <c r="B722" s="7">
        <v>123.180000305175</v>
      </c>
      <c r="C722" s="3">
        <f t="shared" si="2"/>
        <v>-1.2504725314845515E-2</v>
      </c>
    </row>
    <row r="723" spans="1:3" x14ac:dyDescent="0.25">
      <c r="A723" s="6">
        <v>721</v>
      </c>
      <c r="B723" s="7">
        <v>122.919998168945</v>
      </c>
      <c r="C723" s="3">
        <f t="shared" si="2"/>
        <v>-2.112980370400112E-3</v>
      </c>
    </row>
    <row r="724" spans="1:3" x14ac:dyDescent="0.25">
      <c r="A724" s="6">
        <v>722</v>
      </c>
      <c r="B724" s="7">
        <v>122.26000213623</v>
      </c>
      <c r="C724" s="3">
        <f t="shared" si="2"/>
        <v>-5.3837802925451941E-3</v>
      </c>
    </row>
    <row r="725" spans="1:3" x14ac:dyDescent="0.25">
      <c r="A725" s="6">
        <v>723</v>
      </c>
      <c r="B725" s="7">
        <v>120.73999786376901</v>
      </c>
      <c r="C725" s="3">
        <f t="shared" si="2"/>
        <v>-1.2510486397963256E-2</v>
      </c>
    </row>
    <row r="726" spans="1:3" x14ac:dyDescent="0.25">
      <c r="A726" s="6">
        <v>724</v>
      </c>
      <c r="B726" s="7">
        <v>126.34999847412099</v>
      </c>
      <c r="C726" s="3">
        <f t="shared" si="2"/>
        <v>4.5416366082137734E-2</v>
      </c>
    </row>
    <row r="727" spans="1:3" x14ac:dyDescent="0.25">
      <c r="A727" s="6">
        <v>725</v>
      </c>
      <c r="B727" s="7">
        <v>124.36000061035099</v>
      </c>
      <c r="C727" s="3">
        <f t="shared" si="2"/>
        <v>-1.5875231659108834E-2</v>
      </c>
    </row>
    <row r="728" spans="1:3" x14ac:dyDescent="0.25">
      <c r="A728" s="6">
        <v>726</v>
      </c>
      <c r="B728" s="7">
        <v>125.309997558593</v>
      </c>
      <c r="C728" s="3">
        <f t="shared" si="2"/>
        <v>7.6100575957655922E-3</v>
      </c>
    </row>
    <row r="729" spans="1:3" x14ac:dyDescent="0.25">
      <c r="A729" s="6">
        <v>727</v>
      </c>
      <c r="B729" s="7">
        <v>124.900001525878</v>
      </c>
      <c r="C729" s="3">
        <f t="shared" si="2"/>
        <v>-3.2772183459258098E-3</v>
      </c>
    </row>
    <row r="730" spans="1:3" x14ac:dyDescent="0.25">
      <c r="A730" s="6">
        <v>728</v>
      </c>
      <c r="B730" s="7">
        <v>128.19000244140599</v>
      </c>
      <c r="C730" s="3">
        <f t="shared" si="2"/>
        <v>2.6000128020927892E-2</v>
      </c>
    </row>
    <row r="731" spans="1:3" x14ac:dyDescent="0.25">
      <c r="A731" s="6">
        <v>729</v>
      </c>
      <c r="B731" s="7">
        <v>126.389999389648</v>
      </c>
      <c r="C731" s="3">
        <f t="shared" si="2"/>
        <v>-1.4141197539338558E-2</v>
      </c>
    </row>
    <row r="732" spans="1:3" x14ac:dyDescent="0.25">
      <c r="A732" s="6">
        <v>730</v>
      </c>
      <c r="B732" s="7">
        <v>126.51000213623</v>
      </c>
      <c r="C732" s="3">
        <f t="shared" si="2"/>
        <v>9.4901348251837797E-4</v>
      </c>
    </row>
    <row r="733" spans="1:3" x14ac:dyDescent="0.25">
      <c r="A733" s="6">
        <v>731</v>
      </c>
      <c r="B733" s="7">
        <v>123.81999969482401</v>
      </c>
      <c r="C733" s="3">
        <f t="shared" si="2"/>
        <v>-2.149247768602524E-2</v>
      </c>
    </row>
    <row r="734" spans="1:3" x14ac:dyDescent="0.25">
      <c r="A734" s="6">
        <v>732</v>
      </c>
      <c r="B734" s="7">
        <v>125.199996948242</v>
      </c>
      <c r="C734" s="3">
        <f t="shared" si="2"/>
        <v>1.1083538664522422E-2</v>
      </c>
    </row>
    <row r="735" spans="1:3" x14ac:dyDescent="0.25">
      <c r="A735" s="6">
        <v>733</v>
      </c>
      <c r="B735" s="7">
        <v>125.23999786376901</v>
      </c>
      <c r="C735" s="3">
        <f t="shared" si="2"/>
        <v>3.1944511017253951E-4</v>
      </c>
    </row>
    <row r="736" spans="1:3" x14ac:dyDescent="0.25">
      <c r="A736" s="6">
        <v>734</v>
      </c>
      <c r="B736" s="7">
        <v>121.629997253417</v>
      </c>
      <c r="C736" s="3">
        <f t="shared" si="2"/>
        <v>-2.9248252352221879E-2</v>
      </c>
    </row>
    <row r="737" spans="1:3" x14ac:dyDescent="0.25">
      <c r="A737" s="6">
        <v>735</v>
      </c>
      <c r="B737" s="7">
        <v>121.040000915527</v>
      </c>
      <c r="C737" s="3">
        <f t="shared" si="2"/>
        <v>-4.8625500049458139E-3</v>
      </c>
    </row>
    <row r="738" spans="1:3" x14ac:dyDescent="0.25">
      <c r="A738" s="6">
        <v>736</v>
      </c>
      <c r="B738" s="7">
        <v>116.980003356933</v>
      </c>
      <c r="C738" s="3">
        <f t="shared" si="2"/>
        <v>-3.4118068332419135E-2</v>
      </c>
    </row>
    <row r="739" spans="1:3" x14ac:dyDescent="0.25">
      <c r="A739" s="6">
        <v>737</v>
      </c>
      <c r="B739" s="7">
        <v>115.169998168945</v>
      </c>
      <c r="C739" s="3">
        <f t="shared" si="2"/>
        <v>-1.5593726929418811E-2</v>
      </c>
    </row>
    <row r="740" spans="1:3" x14ac:dyDescent="0.25">
      <c r="A740" s="6">
        <v>738</v>
      </c>
      <c r="B740" s="7">
        <v>116.08000183105401</v>
      </c>
      <c r="C740" s="3">
        <f t="shared" si="2"/>
        <v>7.8703425679008936E-3</v>
      </c>
    </row>
    <row r="741" spans="1:3" x14ac:dyDescent="0.25">
      <c r="A741" s="6">
        <v>739</v>
      </c>
      <c r="B741" s="7">
        <v>115.98999786376901</v>
      </c>
      <c r="C741" s="3">
        <f t="shared" si="2"/>
        <v>-7.756622735893468E-4</v>
      </c>
    </row>
    <row r="742" spans="1:3" x14ac:dyDescent="0.25">
      <c r="A742" s="6">
        <v>740</v>
      </c>
      <c r="B742" s="7">
        <v>117.300003051757</v>
      </c>
      <c r="C742" s="3">
        <f t="shared" si="2"/>
        <v>1.1230819599700681E-2</v>
      </c>
    </row>
    <row r="743" spans="1:3" x14ac:dyDescent="0.25">
      <c r="A743" s="6">
        <v>741</v>
      </c>
      <c r="B743" s="7">
        <v>117.36000061035099</v>
      </c>
      <c r="C743" s="3">
        <f t="shared" si="2"/>
        <v>5.113573592862012E-4</v>
      </c>
    </row>
    <row r="744" spans="1:3" x14ac:dyDescent="0.25">
      <c r="A744" s="6">
        <v>742</v>
      </c>
      <c r="B744" s="7">
        <v>121</v>
      </c>
      <c r="C744" s="3">
        <f t="shared" si="2"/>
        <v>3.0544406561341834E-2</v>
      </c>
    </row>
    <row r="745" spans="1:3" x14ac:dyDescent="0.25">
      <c r="A745" s="6">
        <v>743</v>
      </c>
      <c r="B745" s="7">
        <v>121.75</v>
      </c>
      <c r="C745" s="3">
        <f t="shared" si="2"/>
        <v>6.1792163659581184E-3</v>
      </c>
    </row>
    <row r="746" spans="1:3" x14ac:dyDescent="0.25">
      <c r="A746" s="6">
        <v>744</v>
      </c>
      <c r="B746" s="7">
        <v>123.41000366210901</v>
      </c>
      <c r="C746" s="3">
        <f t="shared" si="2"/>
        <v>1.3542413176722176E-2</v>
      </c>
    </row>
    <row r="747" spans="1:3" x14ac:dyDescent="0.25">
      <c r="A747" s="6">
        <v>745</v>
      </c>
      <c r="B747" s="7">
        <v>122.120002746582</v>
      </c>
      <c r="C747" s="3">
        <f t="shared" si="2"/>
        <v>-1.0507984781899344E-2</v>
      </c>
    </row>
    <row r="748" spans="1:3" x14ac:dyDescent="0.25">
      <c r="A748" s="6">
        <v>746</v>
      </c>
      <c r="B748" s="7">
        <v>120.56999969482401</v>
      </c>
      <c r="C748" s="3">
        <f t="shared" si="2"/>
        <v>-1.2773695759412979E-2</v>
      </c>
    </row>
    <row r="749" spans="1:3" x14ac:dyDescent="0.25">
      <c r="A749" s="6">
        <v>747</v>
      </c>
      <c r="B749" s="7">
        <v>119.730003356933</v>
      </c>
      <c r="C749" s="3">
        <f t="shared" si="2"/>
        <v>-6.9912588318310565E-3</v>
      </c>
    </row>
    <row r="750" spans="1:3" x14ac:dyDescent="0.25">
      <c r="A750" s="6">
        <v>748</v>
      </c>
      <c r="B750" s="7">
        <v>119.309997558593</v>
      </c>
      <c r="C750" s="3">
        <f t="shared" si="2"/>
        <v>-3.5141083412881372E-3</v>
      </c>
    </row>
    <row r="751" spans="1:3" x14ac:dyDescent="0.25">
      <c r="A751" s="6">
        <v>749</v>
      </c>
      <c r="B751" s="7">
        <v>117.459999084472</v>
      </c>
      <c r="C751" s="3">
        <f t="shared" si="2"/>
        <v>-1.562728512499735E-2</v>
      </c>
    </row>
    <row r="752" spans="1:3" x14ac:dyDescent="0.25">
      <c r="A752" s="6">
        <v>750</v>
      </c>
      <c r="B752" s="7">
        <v>119.900001525878</v>
      </c>
      <c r="C752" s="3">
        <f t="shared" si="2"/>
        <v>2.0560232459731306E-2</v>
      </c>
    </row>
    <row r="753" spans="1:3" x14ac:dyDescent="0.25">
      <c r="A753" s="6">
        <v>751</v>
      </c>
      <c r="B753" s="7">
        <v>118.26000213623</v>
      </c>
      <c r="C753" s="3">
        <f t="shared" si="2"/>
        <v>-1.3772466303197577E-2</v>
      </c>
    </row>
    <row r="754" spans="1:3" x14ac:dyDescent="0.25">
      <c r="A754" s="6">
        <v>752</v>
      </c>
      <c r="B754" s="7">
        <v>119.980003356933</v>
      </c>
      <c r="C754" s="3">
        <f t="shared" si="2"/>
        <v>1.4439481747525382E-2</v>
      </c>
    </row>
    <row r="755" spans="1:3" x14ac:dyDescent="0.25">
      <c r="A755" s="6">
        <v>753</v>
      </c>
      <c r="B755" s="7">
        <v>120.650001525878</v>
      </c>
      <c r="C755" s="3">
        <f t="shared" si="2"/>
        <v>5.5687145141338846E-3</v>
      </c>
    </row>
    <row r="756" spans="1:3" x14ac:dyDescent="0.25">
      <c r="A756" s="6">
        <v>754</v>
      </c>
      <c r="B756" s="7">
        <v>121.430000305175</v>
      </c>
      <c r="C756" s="3">
        <f t="shared" si="2"/>
        <v>6.4441628607185865E-3</v>
      </c>
    </row>
    <row r="757" spans="1:3" x14ac:dyDescent="0.25">
      <c r="A757" s="6">
        <v>755</v>
      </c>
      <c r="B757" s="7">
        <v>119.209999084472</v>
      </c>
      <c r="C757" s="3">
        <f t="shared" si="2"/>
        <v>-1.8451331528953459E-2</v>
      </c>
    </row>
    <row r="758" spans="1:3" x14ac:dyDescent="0.25">
      <c r="A758" s="6">
        <v>756</v>
      </c>
      <c r="B758" s="7">
        <v>120.980003356933</v>
      </c>
      <c r="C758" s="3">
        <f t="shared" si="2"/>
        <v>1.4738634376651608E-2</v>
      </c>
    </row>
    <row r="759" spans="1:3" x14ac:dyDescent="0.25">
      <c r="A759" s="6">
        <v>757</v>
      </c>
      <c r="B759" s="7">
        <v>120.76999664306599</v>
      </c>
      <c r="C759" s="3">
        <f t="shared" si="2"/>
        <v>-1.7373879354104509E-3</v>
      </c>
    </row>
    <row r="760" spans="1:3" x14ac:dyDescent="0.25">
      <c r="A760" s="6">
        <v>758</v>
      </c>
      <c r="B760" s="7">
        <v>122.790000915527</v>
      </c>
      <c r="C760" s="3">
        <f t="shared" si="2"/>
        <v>1.65877041372684E-2</v>
      </c>
    </row>
    <row r="761" spans="1:3" x14ac:dyDescent="0.25">
      <c r="A761" s="6">
        <v>759</v>
      </c>
      <c r="B761" s="7">
        <v>124.52999877929599</v>
      </c>
      <c r="C761" s="3">
        <f t="shared" si="2"/>
        <v>1.4071054302107569E-2</v>
      </c>
    </row>
    <row r="762" spans="1:3" x14ac:dyDescent="0.25">
      <c r="A762" s="6">
        <v>760</v>
      </c>
      <c r="B762" s="7">
        <v>124.220001220703</v>
      </c>
      <c r="C762" s="3">
        <f t="shared" si="2"/>
        <v>-2.4924439724666393E-3</v>
      </c>
    </row>
    <row r="763" spans="1:3" x14ac:dyDescent="0.25">
      <c r="A763" s="6">
        <v>761</v>
      </c>
      <c r="B763" s="7">
        <v>123.48999786376901</v>
      </c>
      <c r="C763" s="3">
        <f t="shared" si="2"/>
        <v>-5.8940331271878201E-3</v>
      </c>
    </row>
    <row r="764" spans="1:3" x14ac:dyDescent="0.25">
      <c r="A764" s="6">
        <v>762</v>
      </c>
      <c r="B764" s="7">
        <v>124.620002746582</v>
      </c>
      <c r="C764" s="3">
        <f t="shared" si="2"/>
        <v>9.1089653248190121E-3</v>
      </c>
    </row>
    <row r="765" spans="1:3" x14ac:dyDescent="0.25">
      <c r="A765" s="6">
        <v>763</v>
      </c>
      <c r="B765" s="7">
        <v>127.19000244140599</v>
      </c>
      <c r="C765" s="3">
        <f t="shared" si="2"/>
        <v>2.0412921502613101E-2</v>
      </c>
    </row>
    <row r="766" spans="1:3" x14ac:dyDescent="0.25">
      <c r="A766" s="6">
        <v>764</v>
      </c>
      <c r="B766" s="7">
        <v>124.040000915527</v>
      </c>
      <c r="C766" s="3">
        <f t="shared" si="2"/>
        <v>-2.507794904519579E-2</v>
      </c>
    </row>
    <row r="767" spans="1:3" x14ac:dyDescent="0.25">
      <c r="A767" s="6">
        <v>765</v>
      </c>
      <c r="B767" s="7">
        <v>123.430000305175</v>
      </c>
      <c r="C767" s="3">
        <f t="shared" si="2"/>
        <v>-4.9299053848582035E-3</v>
      </c>
    </row>
    <row r="768" spans="1:3" x14ac:dyDescent="0.25">
      <c r="A768" s="6">
        <v>766</v>
      </c>
      <c r="B768" s="7">
        <v>126.680000305175</v>
      </c>
      <c r="C768" s="3">
        <f t="shared" ref="C768:C1022" si="3">LN(B768/B767)</f>
        <v>2.5990027851170404E-2</v>
      </c>
    </row>
    <row r="769" spans="1:3" x14ac:dyDescent="0.25">
      <c r="A769" s="6">
        <v>767</v>
      </c>
      <c r="B769" s="7">
        <v>128.52999877929599</v>
      </c>
      <c r="C769" s="3">
        <f t="shared" si="3"/>
        <v>1.4498106545153952E-2</v>
      </c>
    </row>
    <row r="770" spans="1:3" x14ac:dyDescent="0.25">
      <c r="A770" s="6">
        <v>768</v>
      </c>
      <c r="B770" s="7">
        <v>128.05999755859301</v>
      </c>
      <c r="C770" s="3">
        <f t="shared" si="3"/>
        <v>-3.6634455985153185E-3</v>
      </c>
    </row>
    <row r="771" spans="1:3" x14ac:dyDescent="0.25">
      <c r="A771" s="6">
        <v>769</v>
      </c>
      <c r="B771" s="7">
        <v>128.350006103515</v>
      </c>
      <c r="C771" s="3">
        <f t="shared" si="3"/>
        <v>2.2620698447292126E-3</v>
      </c>
    </row>
    <row r="772" spans="1:3" x14ac:dyDescent="0.25">
      <c r="A772" s="6">
        <v>770</v>
      </c>
      <c r="B772" s="7">
        <v>130.16000366210901</v>
      </c>
      <c r="C772" s="3">
        <f t="shared" si="3"/>
        <v>1.4003536175393331E-2</v>
      </c>
    </row>
    <row r="773" spans="1:3" x14ac:dyDescent="0.25">
      <c r="A773" s="6">
        <v>771</v>
      </c>
      <c r="B773" s="7">
        <v>131.419998168945</v>
      </c>
      <c r="C773" s="3">
        <f t="shared" si="3"/>
        <v>9.6337964906497223E-3</v>
      </c>
    </row>
    <row r="774" spans="1:3" x14ac:dyDescent="0.25">
      <c r="A774" s="6">
        <v>772</v>
      </c>
      <c r="B774" s="7">
        <v>131.75</v>
      </c>
      <c r="C774" s="3">
        <f t="shared" si="3"/>
        <v>2.5078998845988291E-3</v>
      </c>
    </row>
    <row r="775" spans="1:3" x14ac:dyDescent="0.25">
      <c r="A775" s="6">
        <v>773</v>
      </c>
      <c r="B775" s="7">
        <v>132.99000549316401</v>
      </c>
      <c r="C775" s="3">
        <f t="shared" si="3"/>
        <v>9.3677913086899715E-3</v>
      </c>
    </row>
    <row r="776" spans="1:3" x14ac:dyDescent="0.25">
      <c r="A776" s="6">
        <v>774</v>
      </c>
      <c r="B776" s="7">
        <v>132.75</v>
      </c>
      <c r="C776" s="3">
        <f t="shared" si="3"/>
        <v>-1.8063186081134631E-3</v>
      </c>
    </row>
    <row r="777" spans="1:3" x14ac:dyDescent="0.25">
      <c r="A777" s="6">
        <v>775</v>
      </c>
      <c r="B777" s="7">
        <v>133.83999633789</v>
      </c>
      <c r="C777" s="3">
        <f t="shared" si="3"/>
        <v>8.1773691946698673E-3</v>
      </c>
    </row>
    <row r="778" spans="1:3" x14ac:dyDescent="0.25">
      <c r="A778" s="6">
        <v>776</v>
      </c>
      <c r="B778" s="7">
        <v>132.08000183105401</v>
      </c>
      <c r="C778" s="3">
        <f t="shared" si="3"/>
        <v>-1.3237215841626446E-2</v>
      </c>
    </row>
    <row r="779" spans="1:3" x14ac:dyDescent="0.25">
      <c r="A779" s="6">
        <v>777</v>
      </c>
      <c r="B779" s="7">
        <v>132.259994506835</v>
      </c>
      <c r="C779" s="3">
        <f t="shared" si="3"/>
        <v>1.3618272383449132E-3</v>
      </c>
    </row>
    <row r="780" spans="1:3" x14ac:dyDescent="0.25">
      <c r="A780" s="6">
        <v>778</v>
      </c>
      <c r="B780" s="7">
        <v>133.05000305175699</v>
      </c>
      <c r="C780" s="3">
        <f t="shared" si="3"/>
        <v>5.9553796471797345E-3</v>
      </c>
    </row>
    <row r="781" spans="1:3" x14ac:dyDescent="0.25">
      <c r="A781" s="6">
        <v>779</v>
      </c>
      <c r="B781" s="7">
        <v>130.02999877929599</v>
      </c>
      <c r="C781" s="3">
        <f t="shared" si="3"/>
        <v>-2.2959836685252203E-2</v>
      </c>
    </row>
    <row r="782" spans="1:3" x14ac:dyDescent="0.25">
      <c r="A782" s="6">
        <v>780</v>
      </c>
      <c r="B782" s="7">
        <v>131.11000061035099</v>
      </c>
      <c r="C782" s="3">
        <f t="shared" si="3"/>
        <v>8.2714864912053626E-3</v>
      </c>
    </row>
    <row r="783" spans="1:3" x14ac:dyDescent="0.25">
      <c r="A783" s="6">
        <v>781</v>
      </c>
      <c r="B783" s="7">
        <v>129.36999511718699</v>
      </c>
      <c r="C783" s="3">
        <f t="shared" si="3"/>
        <v>-1.336019197976797E-2</v>
      </c>
    </row>
    <row r="784" spans="1:3" x14ac:dyDescent="0.25">
      <c r="A784" s="6">
        <v>782</v>
      </c>
      <c r="B784" s="7">
        <v>131.86000061035099</v>
      </c>
      <c r="C784" s="3">
        <f t="shared" si="3"/>
        <v>1.9064280127132818E-2</v>
      </c>
    </row>
    <row r="785" spans="1:3" x14ac:dyDescent="0.25">
      <c r="A785" s="6">
        <v>783</v>
      </c>
      <c r="B785" s="7">
        <v>131.86999511718699</v>
      </c>
      <c r="C785" s="3">
        <f t="shared" si="3"/>
        <v>7.5793478198830276E-5</v>
      </c>
    </row>
    <row r="786" spans="1:3" x14ac:dyDescent="0.25">
      <c r="A786" s="6">
        <v>784</v>
      </c>
      <c r="B786" s="7">
        <v>133.55999755859301</v>
      </c>
      <c r="C786" s="3">
        <f t="shared" si="3"/>
        <v>1.2734245003843495E-2</v>
      </c>
    </row>
    <row r="787" spans="1:3" x14ac:dyDescent="0.25">
      <c r="A787" s="6">
        <v>785</v>
      </c>
      <c r="B787" s="7">
        <v>133.64999389648401</v>
      </c>
      <c r="C787" s="3">
        <f t="shared" si="3"/>
        <v>6.7360012104206754E-4</v>
      </c>
    </row>
    <row r="788" spans="1:3" x14ac:dyDescent="0.25">
      <c r="A788" s="6">
        <v>786</v>
      </c>
      <c r="B788" s="7">
        <v>134.63999938964801</v>
      </c>
      <c r="C788" s="3">
        <f t="shared" si="3"/>
        <v>7.3801484323178512E-3</v>
      </c>
    </row>
    <row r="789" spans="1:3" x14ac:dyDescent="0.25">
      <c r="A789" s="6">
        <v>787</v>
      </c>
      <c r="B789" s="7">
        <v>132.66000366210901</v>
      </c>
      <c r="C789" s="3">
        <f t="shared" si="3"/>
        <v>-1.4815053646702705E-2</v>
      </c>
    </row>
    <row r="790" spans="1:3" x14ac:dyDescent="0.25">
      <c r="A790" s="6">
        <v>788</v>
      </c>
      <c r="B790" s="7">
        <v>130.57000732421801</v>
      </c>
      <c r="C790" s="3">
        <f t="shared" si="3"/>
        <v>-1.5879954188500692E-2</v>
      </c>
    </row>
    <row r="791" spans="1:3" x14ac:dyDescent="0.25">
      <c r="A791" s="6">
        <v>789</v>
      </c>
      <c r="B791" s="7">
        <v>129.78999328613199</v>
      </c>
      <c r="C791" s="3">
        <f t="shared" si="3"/>
        <v>-5.9918295431668324E-3</v>
      </c>
    </row>
    <row r="792" spans="1:3" x14ac:dyDescent="0.25">
      <c r="A792" s="6">
        <v>790</v>
      </c>
      <c r="B792" s="7">
        <v>130.77000427246</v>
      </c>
      <c r="C792" s="3">
        <f t="shared" si="3"/>
        <v>7.5223796190050964E-3</v>
      </c>
    </row>
    <row r="793" spans="1:3" x14ac:dyDescent="0.25">
      <c r="A793" s="6">
        <v>791</v>
      </c>
      <c r="B793" s="7">
        <v>130.99000549316401</v>
      </c>
      <c r="C793" s="3">
        <f t="shared" si="3"/>
        <v>1.6809387553362958E-3</v>
      </c>
    </row>
    <row r="794" spans="1:3" x14ac:dyDescent="0.25">
      <c r="A794" s="6">
        <v>792</v>
      </c>
      <c r="B794" s="7">
        <v>131.259994506835</v>
      </c>
      <c r="C794" s="3">
        <f t="shared" si="3"/>
        <v>2.0590208507711523E-3</v>
      </c>
    </row>
    <row r="795" spans="1:3" x14ac:dyDescent="0.25">
      <c r="A795" s="6">
        <v>793</v>
      </c>
      <c r="B795" s="7">
        <v>133.11999511718699</v>
      </c>
      <c r="C795" s="3">
        <f t="shared" si="3"/>
        <v>1.4070893197033999E-2</v>
      </c>
    </row>
    <row r="796" spans="1:3" x14ac:dyDescent="0.25">
      <c r="A796" s="6">
        <v>794</v>
      </c>
      <c r="B796" s="7">
        <v>134.07000732421801</v>
      </c>
      <c r="C796" s="3">
        <f t="shared" si="3"/>
        <v>7.1111658501611186E-3</v>
      </c>
    </row>
    <row r="797" spans="1:3" x14ac:dyDescent="0.25">
      <c r="A797" s="6">
        <v>795</v>
      </c>
      <c r="B797" s="7">
        <v>133.88000488281199</v>
      </c>
      <c r="C797" s="3">
        <f t="shared" si="3"/>
        <v>-1.4181934285920437E-3</v>
      </c>
    </row>
    <row r="798" spans="1:3" x14ac:dyDescent="0.25">
      <c r="A798" s="6">
        <v>796</v>
      </c>
      <c r="B798" s="7">
        <v>135.850006103515</v>
      </c>
      <c r="C798" s="3">
        <f t="shared" si="3"/>
        <v>1.4607467986014054E-2</v>
      </c>
    </row>
    <row r="799" spans="1:3" x14ac:dyDescent="0.25">
      <c r="A799" s="6">
        <v>797</v>
      </c>
      <c r="B799" s="7">
        <v>135.05000305175699</v>
      </c>
      <c r="C799" s="3">
        <f t="shared" si="3"/>
        <v>-5.9062779648334863E-3</v>
      </c>
    </row>
    <row r="800" spans="1:3" x14ac:dyDescent="0.25">
      <c r="A800" s="6">
        <v>798</v>
      </c>
      <c r="B800" s="7">
        <v>135.5</v>
      </c>
      <c r="C800" s="3">
        <f t="shared" si="3"/>
        <v>3.3265374838932819E-3</v>
      </c>
    </row>
    <row r="801" spans="1:3" x14ac:dyDescent="0.25">
      <c r="A801" s="6">
        <v>799</v>
      </c>
      <c r="B801" s="7">
        <v>136.5</v>
      </c>
      <c r="C801" s="3">
        <f t="shared" si="3"/>
        <v>7.3529743052587332E-3</v>
      </c>
    </row>
    <row r="802" spans="1:3" x14ac:dyDescent="0.25">
      <c r="A802" s="6">
        <v>800</v>
      </c>
      <c r="B802" s="7">
        <v>135.27999877929599</v>
      </c>
      <c r="C802" s="3">
        <f t="shared" si="3"/>
        <v>-8.9779190582260603E-3</v>
      </c>
    </row>
    <row r="803" spans="1:3" x14ac:dyDescent="0.25">
      <c r="A803" s="6">
        <v>801</v>
      </c>
      <c r="B803" s="7">
        <v>135.16000366210901</v>
      </c>
      <c r="C803" s="3">
        <f t="shared" si="3"/>
        <v>-8.8740662607835776E-4</v>
      </c>
    </row>
    <row r="804" spans="1:3" x14ac:dyDescent="0.25">
      <c r="A804" s="6">
        <v>802</v>
      </c>
      <c r="B804" s="7">
        <v>134.38999938964801</v>
      </c>
      <c r="C804" s="3">
        <f t="shared" si="3"/>
        <v>-5.7132729233846666E-3</v>
      </c>
    </row>
    <row r="805" spans="1:3" x14ac:dyDescent="0.25">
      <c r="A805" s="6">
        <v>803</v>
      </c>
      <c r="B805" s="7">
        <v>131.88999938964801</v>
      </c>
      <c r="C805" s="3">
        <f t="shared" si="3"/>
        <v>-1.8777778807267203E-2</v>
      </c>
    </row>
    <row r="806" spans="1:3" x14ac:dyDescent="0.25">
      <c r="A806" s="6">
        <v>804</v>
      </c>
      <c r="B806" s="7">
        <v>129.600006103515</v>
      </c>
      <c r="C806" s="3">
        <f t="shared" si="3"/>
        <v>-1.7515406196861923E-2</v>
      </c>
    </row>
    <row r="807" spans="1:3" x14ac:dyDescent="0.25">
      <c r="A807" s="6">
        <v>805</v>
      </c>
      <c r="B807" s="7">
        <v>126.51000213623</v>
      </c>
      <c r="C807" s="3">
        <f t="shared" si="3"/>
        <v>-2.4131457700759446E-2</v>
      </c>
    </row>
    <row r="808" spans="1:3" x14ac:dyDescent="0.25">
      <c r="A808" s="6">
        <v>806</v>
      </c>
      <c r="B808" s="7">
        <v>129.05999755859301</v>
      </c>
      <c r="C808" s="3">
        <f t="shared" si="3"/>
        <v>1.9956020278419636E-2</v>
      </c>
    </row>
    <row r="809" spans="1:3" x14ac:dyDescent="0.25">
      <c r="A809" s="6">
        <v>807</v>
      </c>
      <c r="B809" s="7">
        <v>128.58000183105401</v>
      </c>
      <c r="C809" s="3">
        <f t="shared" si="3"/>
        <v>-3.7261006367340864E-3</v>
      </c>
    </row>
    <row r="810" spans="1:3" x14ac:dyDescent="0.25">
      <c r="A810" s="6">
        <v>808</v>
      </c>
      <c r="B810" s="7">
        <v>131.33999633789</v>
      </c>
      <c r="C810" s="3">
        <f t="shared" si="3"/>
        <v>2.1238059926032945E-2</v>
      </c>
    </row>
    <row r="811" spans="1:3" x14ac:dyDescent="0.25">
      <c r="A811" s="6">
        <v>809</v>
      </c>
      <c r="B811" s="7">
        <v>130.47000122070301</v>
      </c>
      <c r="C811" s="3">
        <f t="shared" si="3"/>
        <v>-6.6460282463016917E-3</v>
      </c>
    </row>
    <row r="812" spans="1:3" x14ac:dyDescent="0.25">
      <c r="A812" s="6">
        <v>810</v>
      </c>
      <c r="B812" s="7">
        <v>130.66000366210901</v>
      </c>
      <c r="C812" s="3">
        <f t="shared" si="3"/>
        <v>1.4552328065247232E-3</v>
      </c>
    </row>
    <row r="813" spans="1:3" x14ac:dyDescent="0.25">
      <c r="A813" s="6">
        <v>811</v>
      </c>
      <c r="B813" s="7">
        <v>134.28999328613199</v>
      </c>
      <c r="C813" s="3">
        <f t="shared" si="3"/>
        <v>2.7403033157410477E-2</v>
      </c>
    </row>
    <row r="814" spans="1:3" x14ac:dyDescent="0.25">
      <c r="A814" s="6">
        <v>812</v>
      </c>
      <c r="B814" s="7">
        <v>132.80000305175699</v>
      </c>
      <c r="C814" s="3">
        <f t="shared" si="3"/>
        <v>-1.115733057535785E-2</v>
      </c>
    </row>
    <row r="815" spans="1:3" x14ac:dyDescent="0.25">
      <c r="A815" s="6">
        <v>813</v>
      </c>
      <c r="B815" s="7">
        <v>132.259994506835</v>
      </c>
      <c r="C815" s="3">
        <f t="shared" si="3"/>
        <v>-4.074619308994362E-3</v>
      </c>
    </row>
    <row r="816" spans="1:3" x14ac:dyDescent="0.25">
      <c r="A816" s="6">
        <v>814</v>
      </c>
      <c r="B816" s="7">
        <v>136.100006103515</v>
      </c>
      <c r="C816" s="3">
        <f t="shared" si="3"/>
        <v>2.862031378979461E-2</v>
      </c>
    </row>
    <row r="817" spans="1:3" x14ac:dyDescent="0.25">
      <c r="A817" s="6">
        <v>815</v>
      </c>
      <c r="B817" s="7">
        <v>134.99000549316401</v>
      </c>
      <c r="C817" s="3">
        <f t="shared" si="3"/>
        <v>-8.1892121893784239E-3</v>
      </c>
    </row>
    <row r="818" spans="1:3" x14ac:dyDescent="0.25">
      <c r="A818" s="6">
        <v>816</v>
      </c>
      <c r="B818" s="7">
        <v>134.61999511718699</v>
      </c>
      <c r="C818" s="3">
        <f t="shared" si="3"/>
        <v>-2.7447840023681258E-3</v>
      </c>
    </row>
    <row r="819" spans="1:3" x14ac:dyDescent="0.25">
      <c r="A819" s="6">
        <v>817</v>
      </c>
      <c r="B819" s="7">
        <v>132.77999877929599</v>
      </c>
      <c r="C819" s="3">
        <f t="shared" si="3"/>
        <v>-1.3762344213904326E-2</v>
      </c>
    </row>
    <row r="820" spans="1:3" x14ac:dyDescent="0.25">
      <c r="A820" s="6">
        <v>818</v>
      </c>
      <c r="B820" s="7">
        <v>134.27000427246</v>
      </c>
      <c r="C820" s="3">
        <f t="shared" si="3"/>
        <v>1.115911580695083E-2</v>
      </c>
    </row>
    <row r="821" spans="1:3" x14ac:dyDescent="0.25">
      <c r="A821" s="6">
        <v>819</v>
      </c>
      <c r="B821" s="7">
        <v>137.97999572753901</v>
      </c>
      <c r="C821" s="3">
        <f t="shared" si="3"/>
        <v>2.7255986249080988E-2</v>
      </c>
    </row>
    <row r="822" spans="1:3" x14ac:dyDescent="0.25">
      <c r="A822" s="6">
        <v>820</v>
      </c>
      <c r="B822" s="7">
        <v>141.64999389648401</v>
      </c>
      <c r="C822" s="3">
        <f t="shared" si="3"/>
        <v>2.625046703420084E-2</v>
      </c>
    </row>
    <row r="823" spans="1:3" x14ac:dyDescent="0.25">
      <c r="A823" s="6">
        <v>821</v>
      </c>
      <c r="B823" s="7">
        <v>141.86999511718699</v>
      </c>
      <c r="C823" s="3">
        <f t="shared" si="3"/>
        <v>1.5519277185643025E-3</v>
      </c>
    </row>
    <row r="824" spans="1:3" x14ac:dyDescent="0.25">
      <c r="A824" s="6">
        <v>822</v>
      </c>
      <c r="B824" s="7">
        <v>142.44000244140599</v>
      </c>
      <c r="C824" s="3">
        <f t="shared" si="3"/>
        <v>4.0097646430898677E-3</v>
      </c>
    </row>
    <row r="825" spans="1:3" x14ac:dyDescent="0.25">
      <c r="A825" s="6">
        <v>823</v>
      </c>
      <c r="B825" s="7">
        <v>138.919998168945</v>
      </c>
      <c r="C825" s="3">
        <f t="shared" si="3"/>
        <v>-2.5022660854237672E-2</v>
      </c>
    </row>
    <row r="826" spans="1:3" x14ac:dyDescent="0.25">
      <c r="A826" s="6">
        <v>824</v>
      </c>
      <c r="B826" s="7">
        <v>139.69999694824199</v>
      </c>
      <c r="C826" s="3">
        <f t="shared" si="3"/>
        <v>5.5990297226038181E-3</v>
      </c>
    </row>
    <row r="827" spans="1:3" x14ac:dyDescent="0.25">
      <c r="A827" s="6">
        <v>825</v>
      </c>
      <c r="B827" s="7">
        <v>143.27000427246</v>
      </c>
      <c r="C827" s="3">
        <f t="shared" si="3"/>
        <v>2.5233747308484104E-2</v>
      </c>
    </row>
    <row r="828" spans="1:3" x14ac:dyDescent="0.25">
      <c r="A828" s="6">
        <v>826</v>
      </c>
      <c r="B828" s="7">
        <v>141.83000183105401</v>
      </c>
      <c r="C828" s="3">
        <f t="shared" si="3"/>
        <v>-1.0101821509599216E-2</v>
      </c>
    </row>
    <row r="829" spans="1:3" x14ac:dyDescent="0.25">
      <c r="A829" s="6">
        <v>827</v>
      </c>
      <c r="B829" s="7">
        <v>138.83000183105401</v>
      </c>
      <c r="C829" s="3">
        <f t="shared" si="3"/>
        <v>-2.1378993980826527E-2</v>
      </c>
    </row>
    <row r="830" spans="1:3" x14ac:dyDescent="0.25">
      <c r="A830" s="6">
        <v>828</v>
      </c>
      <c r="B830" s="7">
        <v>138.92999267578099</v>
      </c>
      <c r="C830" s="3">
        <f t="shared" si="3"/>
        <v>7.1998020610485839E-4</v>
      </c>
    </row>
    <row r="831" spans="1:3" x14ac:dyDescent="0.25">
      <c r="A831" s="6">
        <v>829</v>
      </c>
      <c r="B831" s="7">
        <v>136.22999572753901</v>
      </c>
      <c r="C831" s="3">
        <f t="shared" si="3"/>
        <v>-1.9625554026143372E-2</v>
      </c>
    </row>
    <row r="832" spans="1:3" x14ac:dyDescent="0.25">
      <c r="A832" s="6">
        <v>830</v>
      </c>
      <c r="B832" s="7">
        <v>133.38999938964801</v>
      </c>
      <c r="C832" s="3">
        <f t="shared" si="3"/>
        <v>-2.1067438838596068E-2</v>
      </c>
    </row>
    <row r="833" spans="1:3" x14ac:dyDescent="0.25">
      <c r="A833" s="6">
        <v>831</v>
      </c>
      <c r="B833" s="7">
        <v>132.55999755859301</v>
      </c>
      <c r="C833" s="3">
        <f t="shared" si="3"/>
        <v>-6.2418088763232533E-3</v>
      </c>
    </row>
    <row r="834" spans="1:3" x14ac:dyDescent="0.25">
      <c r="A834" s="6">
        <v>832</v>
      </c>
      <c r="B834" s="7">
        <v>130.89999389648401</v>
      </c>
      <c r="C834" s="3">
        <f t="shared" si="3"/>
        <v>-1.2601728412399513E-2</v>
      </c>
    </row>
    <row r="835" spans="1:3" x14ac:dyDescent="0.25">
      <c r="A835" s="6">
        <v>833</v>
      </c>
      <c r="B835" s="7">
        <v>131.80999755859301</v>
      </c>
      <c r="C835" s="3">
        <f t="shared" si="3"/>
        <v>6.9278469136714437E-3</v>
      </c>
    </row>
    <row r="836" spans="1:3" x14ac:dyDescent="0.25">
      <c r="A836" s="6">
        <v>834</v>
      </c>
      <c r="B836" s="7">
        <v>131.33000183105401</v>
      </c>
      <c r="C836" s="3">
        <f t="shared" si="3"/>
        <v>-3.648219662748098E-3</v>
      </c>
    </row>
    <row r="837" spans="1:3" x14ac:dyDescent="0.25">
      <c r="A837" s="6">
        <v>835</v>
      </c>
      <c r="B837" s="7">
        <v>131.41000366210901</v>
      </c>
      <c r="C837" s="3">
        <f t="shared" si="3"/>
        <v>6.0898098389904651E-4</v>
      </c>
    </row>
    <row r="838" spans="1:3" x14ac:dyDescent="0.25">
      <c r="A838" s="6">
        <v>836</v>
      </c>
      <c r="B838" s="7">
        <v>130</v>
      </c>
      <c r="C838" s="3">
        <f t="shared" si="3"/>
        <v>-1.0787784067774576E-2</v>
      </c>
    </row>
    <row r="839" spans="1:3" x14ac:dyDescent="0.25">
      <c r="A839" s="6">
        <v>837</v>
      </c>
      <c r="B839" s="7">
        <v>131.24000549316401</v>
      </c>
      <c r="C839" s="3">
        <f t="shared" si="3"/>
        <v>9.4932994931848213E-3</v>
      </c>
    </row>
    <row r="840" spans="1:3" x14ac:dyDescent="0.25">
      <c r="A840" s="6">
        <v>838</v>
      </c>
      <c r="B840" s="7">
        <v>130.25</v>
      </c>
      <c r="C840" s="3">
        <f t="shared" si="3"/>
        <v>-7.5720693152908566E-3</v>
      </c>
    </row>
    <row r="841" spans="1:3" x14ac:dyDescent="0.25">
      <c r="A841" s="6">
        <v>839</v>
      </c>
      <c r="B841" s="7">
        <v>131.58999633789</v>
      </c>
      <c r="C841" s="3">
        <f t="shared" si="3"/>
        <v>1.0235319698874139E-2</v>
      </c>
    </row>
    <row r="842" spans="1:3" x14ac:dyDescent="0.25">
      <c r="A842" s="6">
        <v>840</v>
      </c>
      <c r="B842" s="7">
        <v>132.27000427246</v>
      </c>
      <c r="C842" s="3">
        <f t="shared" si="3"/>
        <v>5.1543200066557788E-3</v>
      </c>
    </row>
    <row r="843" spans="1:3" x14ac:dyDescent="0.25">
      <c r="A843" s="6">
        <v>841</v>
      </c>
      <c r="B843" s="7">
        <v>132.05000305175699</v>
      </c>
      <c r="C843" s="3">
        <f t="shared" si="3"/>
        <v>-1.6646584852482882E-3</v>
      </c>
    </row>
    <row r="844" spans="1:3" x14ac:dyDescent="0.25">
      <c r="A844" s="6">
        <v>842</v>
      </c>
      <c r="B844" s="7">
        <v>134.17999267578099</v>
      </c>
      <c r="C844" s="3">
        <f t="shared" si="3"/>
        <v>1.6001465695954897E-2</v>
      </c>
    </row>
    <row r="845" spans="1:3" x14ac:dyDescent="0.25">
      <c r="A845" s="6">
        <v>843</v>
      </c>
      <c r="B845" s="7">
        <v>134.05000305175699</v>
      </c>
      <c r="C845" s="3">
        <f t="shared" si="3"/>
        <v>-9.6924010193370237E-4</v>
      </c>
    </row>
    <row r="846" spans="1:3" x14ac:dyDescent="0.25">
      <c r="A846" s="6">
        <v>844</v>
      </c>
      <c r="B846" s="7">
        <v>132.24000549316401</v>
      </c>
      <c r="C846" s="3">
        <f t="shared" si="3"/>
        <v>-1.3594392395658617E-2</v>
      </c>
    </row>
    <row r="847" spans="1:3" x14ac:dyDescent="0.25">
      <c r="A847" s="6">
        <v>845</v>
      </c>
      <c r="B847" s="7">
        <v>132.21000671386699</v>
      </c>
      <c r="C847" s="3">
        <f t="shared" si="3"/>
        <v>-2.26876748277132E-4</v>
      </c>
    </row>
    <row r="848" spans="1:3" x14ac:dyDescent="0.25">
      <c r="A848" s="6">
        <v>846</v>
      </c>
      <c r="B848" s="7">
        <v>132.49000549316401</v>
      </c>
      <c r="C848" s="3">
        <f t="shared" si="3"/>
        <v>2.1155940371581296E-3</v>
      </c>
    </row>
    <row r="849" spans="1:3" x14ac:dyDescent="0.25">
      <c r="A849" s="6">
        <v>847</v>
      </c>
      <c r="B849" s="7">
        <v>133.25</v>
      </c>
      <c r="C849" s="3">
        <f t="shared" si="3"/>
        <v>5.7198507049523372E-3</v>
      </c>
    </row>
    <row r="850" spans="1:3" x14ac:dyDescent="0.25">
      <c r="A850" s="6">
        <v>848</v>
      </c>
      <c r="B850" s="7">
        <v>137.41000366210901</v>
      </c>
      <c r="C850" s="3">
        <f t="shared" si="3"/>
        <v>3.0742120948692976E-2</v>
      </c>
    </row>
    <row r="851" spans="1:3" x14ac:dyDescent="0.25">
      <c r="A851" s="6">
        <v>849</v>
      </c>
      <c r="B851" s="7">
        <v>138.669998168945</v>
      </c>
      <c r="C851" s="3">
        <f t="shared" si="3"/>
        <v>9.1278125667197708E-3</v>
      </c>
    </row>
    <row r="852" spans="1:3" x14ac:dyDescent="0.25">
      <c r="A852" s="6">
        <v>850</v>
      </c>
      <c r="B852" s="7">
        <v>140.77999877929599</v>
      </c>
      <c r="C852" s="3">
        <f t="shared" si="3"/>
        <v>1.5101382947614518E-2</v>
      </c>
    </row>
    <row r="853" spans="1:3" x14ac:dyDescent="0.25">
      <c r="A853" s="6">
        <v>851</v>
      </c>
      <c r="B853" s="7">
        <v>140.97999572753901</v>
      </c>
      <c r="C853" s="3">
        <f t="shared" si="3"/>
        <v>1.4196265313074843E-3</v>
      </c>
    </row>
    <row r="854" spans="1:3" x14ac:dyDescent="0.25">
      <c r="A854" s="6">
        <v>852</v>
      </c>
      <c r="B854" s="7">
        <v>140.759994506835</v>
      </c>
      <c r="C854" s="3">
        <f t="shared" si="3"/>
        <v>-1.561732611947624E-3</v>
      </c>
    </row>
    <row r="855" spans="1:3" x14ac:dyDescent="0.25">
      <c r="A855" s="6">
        <v>853</v>
      </c>
      <c r="B855" s="7">
        <v>141.99000549316401</v>
      </c>
      <c r="C855" s="3">
        <f t="shared" si="3"/>
        <v>8.7003978449024556E-3</v>
      </c>
    </row>
    <row r="856" spans="1:3" x14ac:dyDescent="0.25">
      <c r="A856" s="6">
        <v>854</v>
      </c>
      <c r="B856" s="7">
        <v>140.49000549316401</v>
      </c>
      <c r="C856" s="3">
        <f t="shared" si="3"/>
        <v>-1.0620320309648591E-2</v>
      </c>
    </row>
    <row r="857" spans="1:3" x14ac:dyDescent="0.25">
      <c r="A857" s="6">
        <v>855</v>
      </c>
      <c r="B857" s="7">
        <v>142.58999633789</v>
      </c>
      <c r="C857" s="3">
        <f t="shared" si="3"/>
        <v>1.4837002647635742E-2</v>
      </c>
    </row>
    <row r="858" spans="1:3" x14ac:dyDescent="0.25">
      <c r="A858" s="6">
        <v>856</v>
      </c>
      <c r="B858" s="7">
        <v>141.419998168945</v>
      </c>
      <c r="C858" s="3">
        <f t="shared" si="3"/>
        <v>-8.2391803827741375E-3</v>
      </c>
    </row>
    <row r="859" spans="1:3" x14ac:dyDescent="0.25">
      <c r="A859" s="6">
        <v>857</v>
      </c>
      <c r="B859" s="7">
        <v>141.80000305175699</v>
      </c>
      <c r="C859" s="3">
        <f t="shared" si="3"/>
        <v>2.6834623911289488E-3</v>
      </c>
    </row>
    <row r="860" spans="1:3" x14ac:dyDescent="0.25">
      <c r="A860" s="6">
        <v>858</v>
      </c>
      <c r="B860" s="7">
        <v>143.42999267578099</v>
      </c>
      <c r="C860" s="3">
        <f t="shared" si="3"/>
        <v>1.1429424621771614E-2</v>
      </c>
    </row>
    <row r="861" spans="1:3" x14ac:dyDescent="0.25">
      <c r="A861" s="6">
        <v>859</v>
      </c>
      <c r="B861" s="7">
        <v>142.49000549316401</v>
      </c>
      <c r="C861" s="3">
        <f t="shared" si="3"/>
        <v>-6.5751998824356206E-3</v>
      </c>
    </row>
    <row r="862" spans="1:3" x14ac:dyDescent="0.25">
      <c r="A862" s="6">
        <v>860</v>
      </c>
      <c r="B862" s="7">
        <v>143.03999328613199</v>
      </c>
      <c r="C862" s="3">
        <f t="shared" si="3"/>
        <v>3.8524041292847719E-3</v>
      </c>
    </row>
    <row r="863" spans="1:3" x14ac:dyDescent="0.25">
      <c r="A863" s="6">
        <v>861</v>
      </c>
      <c r="B863" s="7">
        <v>145.16000366210901</v>
      </c>
      <c r="C863" s="3">
        <f t="shared" si="3"/>
        <v>1.4712343084749471E-2</v>
      </c>
    </row>
    <row r="864" spans="1:3" x14ac:dyDescent="0.25">
      <c r="A864" s="6">
        <v>862</v>
      </c>
      <c r="B864" s="7">
        <v>143.78999328613199</v>
      </c>
      <c r="C864" s="3">
        <f t="shared" si="3"/>
        <v>-9.4827524254831545E-3</v>
      </c>
    </row>
    <row r="865" spans="1:3" x14ac:dyDescent="0.25">
      <c r="A865" s="6">
        <v>863</v>
      </c>
      <c r="B865" s="7">
        <v>142.919998168945</v>
      </c>
      <c r="C865" s="3">
        <f t="shared" si="3"/>
        <v>-6.0688348040111913E-3</v>
      </c>
    </row>
    <row r="866" spans="1:3" x14ac:dyDescent="0.25">
      <c r="A866" s="6">
        <v>864</v>
      </c>
      <c r="B866" s="7">
        <v>143.38999938964801</v>
      </c>
      <c r="C866" s="3">
        <f t="shared" si="3"/>
        <v>3.283166126899949E-3</v>
      </c>
    </row>
    <row r="867" spans="1:3" x14ac:dyDescent="0.25">
      <c r="A867" s="6">
        <v>865</v>
      </c>
      <c r="B867" s="7">
        <v>144.74000549316401</v>
      </c>
      <c r="C867" s="3">
        <f t="shared" si="3"/>
        <v>9.370880919561465E-3</v>
      </c>
    </row>
    <row r="868" spans="1:3" x14ac:dyDescent="0.25">
      <c r="A868" s="6">
        <v>866</v>
      </c>
      <c r="B868" s="7">
        <v>144.83000183105401</v>
      </c>
      <c r="C868" s="3">
        <f t="shared" si="3"/>
        <v>6.2158606562373857E-4</v>
      </c>
    </row>
    <row r="869" spans="1:3" x14ac:dyDescent="0.25">
      <c r="A869" s="6">
        <v>867</v>
      </c>
      <c r="B869" s="7">
        <v>146.88999938964801</v>
      </c>
      <c r="C869" s="3">
        <f t="shared" si="3"/>
        <v>1.4123349732613772E-2</v>
      </c>
    </row>
    <row r="870" spans="1:3" x14ac:dyDescent="0.25">
      <c r="A870" s="6">
        <v>868</v>
      </c>
      <c r="B870" s="7">
        <v>147.75</v>
      </c>
      <c r="C870" s="3">
        <f t="shared" si="3"/>
        <v>5.8376530980476637E-3</v>
      </c>
    </row>
    <row r="871" spans="1:3" x14ac:dyDescent="0.25">
      <c r="A871" s="6">
        <v>869</v>
      </c>
      <c r="B871" s="7">
        <v>149.600006103515</v>
      </c>
      <c r="C871" s="3">
        <f t="shared" si="3"/>
        <v>1.244345005306551E-2</v>
      </c>
    </row>
    <row r="872" spans="1:3" x14ac:dyDescent="0.25">
      <c r="A872" s="6">
        <v>870</v>
      </c>
      <c r="B872" s="7">
        <v>149.38999938964801</v>
      </c>
      <c r="C872" s="3">
        <f t="shared" si="3"/>
        <v>-1.4047743706752972E-3</v>
      </c>
    </row>
    <row r="873" spans="1:3" x14ac:dyDescent="0.25">
      <c r="A873" s="6">
        <v>871</v>
      </c>
      <c r="B873" s="7">
        <v>151.16000366210901</v>
      </c>
      <c r="C873" s="3">
        <f t="shared" si="3"/>
        <v>1.1778570739397035E-2</v>
      </c>
    </row>
    <row r="874" spans="1:3" x14ac:dyDescent="0.25">
      <c r="A874" s="6">
        <v>872</v>
      </c>
      <c r="B874" s="7">
        <v>150.83000183105401</v>
      </c>
      <c r="C874" s="3">
        <f t="shared" si="3"/>
        <v>-2.185515787981106E-3</v>
      </c>
    </row>
    <row r="875" spans="1:3" x14ac:dyDescent="0.25">
      <c r="A875" s="6">
        <v>873</v>
      </c>
      <c r="B875" s="7">
        <v>150.72999572753901</v>
      </c>
      <c r="C875" s="3">
        <f t="shared" si="3"/>
        <v>-6.6325844270324463E-4</v>
      </c>
    </row>
    <row r="876" spans="1:3" x14ac:dyDescent="0.25">
      <c r="A876" s="6">
        <v>874</v>
      </c>
      <c r="B876" s="7">
        <v>150.94999694824199</v>
      </c>
      <c r="C876" s="3">
        <f t="shared" si="3"/>
        <v>1.4585074585248571E-3</v>
      </c>
    </row>
    <row r="877" spans="1:3" x14ac:dyDescent="0.25">
      <c r="A877" s="6">
        <v>875</v>
      </c>
      <c r="B877" s="7">
        <v>150.61000061035099</v>
      </c>
      <c r="C877" s="3">
        <f t="shared" si="3"/>
        <v>-2.254917659551655E-3</v>
      </c>
    </row>
    <row r="878" spans="1:3" x14ac:dyDescent="0.25">
      <c r="A878" s="6">
        <v>876</v>
      </c>
      <c r="B878" s="7">
        <v>150.5</v>
      </c>
      <c r="C878" s="3">
        <f t="shared" si="3"/>
        <v>-7.3063408735319377E-4</v>
      </c>
    </row>
    <row r="879" spans="1:3" x14ac:dyDescent="0.25">
      <c r="A879" s="6">
        <v>877</v>
      </c>
      <c r="B879" s="7">
        <v>150.77000427246</v>
      </c>
      <c r="C879" s="3">
        <f t="shared" si="3"/>
        <v>1.7924409394966486E-3</v>
      </c>
    </row>
    <row r="880" spans="1:3" x14ac:dyDescent="0.25">
      <c r="A880" s="6">
        <v>878</v>
      </c>
      <c r="B880" s="7">
        <v>150.32000732421801</v>
      </c>
      <c r="C880" s="3">
        <f t="shared" si="3"/>
        <v>-2.9891212990432177E-3</v>
      </c>
    </row>
    <row r="881" spans="1:3" x14ac:dyDescent="0.25">
      <c r="A881" s="6">
        <v>879</v>
      </c>
      <c r="B881" s="7">
        <v>150.67999267578099</v>
      </c>
      <c r="C881" s="3">
        <f t="shared" si="3"/>
        <v>2.39193038668382E-3</v>
      </c>
    </row>
    <row r="882" spans="1:3" x14ac:dyDescent="0.25">
      <c r="A882" s="6">
        <v>880</v>
      </c>
      <c r="B882" s="7">
        <v>152.100006103515</v>
      </c>
      <c r="C882" s="3">
        <f t="shared" si="3"/>
        <v>9.37990517748237E-3</v>
      </c>
    </row>
    <row r="883" spans="1:3" x14ac:dyDescent="0.25">
      <c r="A883" s="6">
        <v>881</v>
      </c>
      <c r="B883" s="7">
        <v>152.63000488281199</v>
      </c>
      <c r="C883" s="3">
        <f t="shared" si="3"/>
        <v>3.4784845246482185E-3</v>
      </c>
    </row>
    <row r="884" spans="1:3" x14ac:dyDescent="0.25">
      <c r="A884" s="6">
        <v>882</v>
      </c>
      <c r="B884" s="7">
        <v>151</v>
      </c>
      <c r="C884" s="3">
        <f t="shared" si="3"/>
        <v>-1.0736887103273925E-2</v>
      </c>
    </row>
    <row r="885" spans="1:3" x14ac:dyDescent="0.25">
      <c r="A885" s="6">
        <v>883</v>
      </c>
      <c r="B885" s="7">
        <v>148.850006103515</v>
      </c>
      <c r="C885" s="3">
        <f t="shared" si="3"/>
        <v>-1.4340708348672151E-2</v>
      </c>
    </row>
    <row r="886" spans="1:3" x14ac:dyDescent="0.25">
      <c r="A886" s="6">
        <v>884</v>
      </c>
      <c r="B886" s="7">
        <v>148.919998168945</v>
      </c>
      <c r="C886" s="3">
        <f t="shared" si="3"/>
        <v>4.7010824270249878E-4</v>
      </c>
    </row>
    <row r="887" spans="1:3" x14ac:dyDescent="0.25">
      <c r="A887" s="6">
        <v>885</v>
      </c>
      <c r="B887" s="7">
        <v>152.07000732421801</v>
      </c>
      <c r="C887" s="3">
        <f t="shared" si="3"/>
        <v>2.0931752606876124E-2</v>
      </c>
    </row>
    <row r="888" spans="1:3" x14ac:dyDescent="0.25">
      <c r="A888" s="6">
        <v>886</v>
      </c>
      <c r="B888" s="7">
        <v>154.07000732421801</v>
      </c>
      <c r="C888" s="3">
        <f t="shared" si="3"/>
        <v>1.3066102816100506E-2</v>
      </c>
    </row>
    <row r="889" spans="1:3" x14ac:dyDescent="0.25">
      <c r="A889" s="6">
        <v>887</v>
      </c>
      <c r="B889" s="7">
        <v>155.22000122070301</v>
      </c>
      <c r="C889" s="3">
        <f t="shared" si="3"/>
        <v>7.4363811584024341E-3</v>
      </c>
    </row>
    <row r="890" spans="1:3" x14ac:dyDescent="0.25">
      <c r="A890" s="6">
        <v>888</v>
      </c>
      <c r="B890" s="7">
        <v>156.75</v>
      </c>
      <c r="C890" s="3">
        <f t="shared" si="3"/>
        <v>9.8087062226964276E-3</v>
      </c>
    </row>
    <row r="891" spans="1:3" x14ac:dyDescent="0.25">
      <c r="A891" s="6">
        <v>889</v>
      </c>
      <c r="B891" s="7">
        <v>159.97999572753901</v>
      </c>
      <c r="C891" s="3">
        <f t="shared" si="3"/>
        <v>2.0396601201425796E-2</v>
      </c>
    </row>
    <row r="892" spans="1:3" x14ac:dyDescent="0.25">
      <c r="A892" s="6">
        <v>890</v>
      </c>
      <c r="B892" s="7">
        <v>160.67999267578099</v>
      </c>
      <c r="C892" s="3">
        <f t="shared" si="3"/>
        <v>4.3659831939818006E-3</v>
      </c>
    </row>
    <row r="893" spans="1:3" x14ac:dyDescent="0.25">
      <c r="A893" s="6">
        <v>891</v>
      </c>
      <c r="B893" s="7">
        <v>158.69999694824199</v>
      </c>
      <c r="C893" s="3">
        <f t="shared" si="3"/>
        <v>-1.2399155605803774E-2</v>
      </c>
    </row>
    <row r="894" spans="1:3" x14ac:dyDescent="0.25">
      <c r="A894" s="6">
        <v>892</v>
      </c>
      <c r="B894" s="7">
        <v>159.28999328613199</v>
      </c>
      <c r="C894" s="3">
        <f t="shared" si="3"/>
        <v>3.7107898552019639E-3</v>
      </c>
    </row>
    <row r="895" spans="1:3" x14ac:dyDescent="0.25">
      <c r="A895" s="6">
        <v>893</v>
      </c>
      <c r="B895" s="7">
        <v>155.83999633789</v>
      </c>
      <c r="C895" s="3">
        <f t="shared" si="3"/>
        <v>-2.1896581762777166E-2</v>
      </c>
    </row>
    <row r="896" spans="1:3" x14ac:dyDescent="0.25">
      <c r="A896" s="6">
        <v>894</v>
      </c>
      <c r="B896" s="7">
        <v>155</v>
      </c>
      <c r="C896" s="3">
        <f t="shared" si="3"/>
        <v>-5.4046994758122141E-3</v>
      </c>
    </row>
    <row r="897" spans="1:3" x14ac:dyDescent="0.25">
      <c r="A897" s="6">
        <v>895</v>
      </c>
      <c r="B897" s="7">
        <v>155.33999633789</v>
      </c>
      <c r="C897" s="3">
        <f t="shared" si="3"/>
        <v>2.1911224974507258E-3</v>
      </c>
    </row>
    <row r="898" spans="1:3" x14ac:dyDescent="0.25">
      <c r="A898" s="6">
        <v>896</v>
      </c>
      <c r="B898" s="7">
        <v>155.82000732421801</v>
      </c>
      <c r="C898" s="3">
        <f t="shared" si="3"/>
        <v>3.0853024903648358E-3</v>
      </c>
    </row>
    <row r="899" spans="1:3" x14ac:dyDescent="0.25">
      <c r="A899" s="6">
        <v>897</v>
      </c>
      <c r="B899" s="7">
        <v>156.88999938964801</v>
      </c>
      <c r="C899" s="3">
        <f t="shared" si="3"/>
        <v>6.8433770474839797E-3</v>
      </c>
    </row>
    <row r="900" spans="1:3" x14ac:dyDescent="0.25">
      <c r="A900" s="6">
        <v>898</v>
      </c>
      <c r="B900" s="7">
        <v>157.47000122070301</v>
      </c>
      <c r="C900" s="3">
        <f t="shared" si="3"/>
        <v>3.6900527297438214E-3</v>
      </c>
    </row>
    <row r="901" spans="1:3" x14ac:dyDescent="0.25">
      <c r="A901" s="6">
        <v>899</v>
      </c>
      <c r="B901" s="7">
        <v>154.17999267578099</v>
      </c>
      <c r="C901" s="3">
        <f t="shared" si="3"/>
        <v>-2.1114268157514104E-2</v>
      </c>
    </row>
    <row r="902" spans="1:3" x14ac:dyDescent="0.25">
      <c r="A902" s="6">
        <v>900</v>
      </c>
      <c r="B902" s="7">
        <v>153.07000732421801</v>
      </c>
      <c r="C902" s="3">
        <f t="shared" si="3"/>
        <v>-7.2253225743468472E-3</v>
      </c>
    </row>
    <row r="903" spans="1:3" x14ac:dyDescent="0.25">
      <c r="A903" s="6">
        <v>901</v>
      </c>
      <c r="B903" s="7">
        <v>151.919998168945</v>
      </c>
      <c r="C903" s="3">
        <f t="shared" si="3"/>
        <v>-7.541326501156703E-3</v>
      </c>
    </row>
    <row r="904" spans="1:3" x14ac:dyDescent="0.25">
      <c r="A904" s="6">
        <v>902</v>
      </c>
      <c r="B904" s="7">
        <v>152.259994506835</v>
      </c>
      <c r="C904" s="3">
        <f t="shared" si="3"/>
        <v>2.2354953492616835E-3</v>
      </c>
    </row>
    <row r="905" spans="1:3" x14ac:dyDescent="0.25">
      <c r="A905" s="6">
        <v>903</v>
      </c>
      <c r="B905" s="7">
        <v>150</v>
      </c>
      <c r="C905" s="3">
        <f t="shared" si="3"/>
        <v>-1.4954255704278248E-2</v>
      </c>
    </row>
    <row r="906" spans="1:3" x14ac:dyDescent="0.25">
      <c r="A906" s="6">
        <v>904</v>
      </c>
      <c r="B906" s="7">
        <v>146</v>
      </c>
      <c r="C906" s="3">
        <f t="shared" si="3"/>
        <v>-2.7028672387919259E-2</v>
      </c>
    </row>
    <row r="907" spans="1:3" x14ac:dyDescent="0.25">
      <c r="A907" s="6">
        <v>905</v>
      </c>
      <c r="B907" s="7">
        <v>148.600006103515</v>
      </c>
      <c r="C907" s="3">
        <f t="shared" si="3"/>
        <v>1.7651551648773772E-2</v>
      </c>
    </row>
    <row r="908" spans="1:3" x14ac:dyDescent="0.25">
      <c r="A908" s="6">
        <v>906</v>
      </c>
      <c r="B908" s="7">
        <v>146.63000488281199</v>
      </c>
      <c r="C908" s="3">
        <f t="shared" si="3"/>
        <v>-1.3345733067897889E-2</v>
      </c>
    </row>
    <row r="909" spans="1:3" x14ac:dyDescent="0.25">
      <c r="A909" s="6">
        <v>907</v>
      </c>
      <c r="B909" s="7">
        <v>146.44999694824199</v>
      </c>
      <c r="C909" s="3">
        <f t="shared" si="3"/>
        <v>-1.2283878536947061E-3</v>
      </c>
    </row>
    <row r="910" spans="1:3" x14ac:dyDescent="0.25">
      <c r="A910" s="6">
        <v>908</v>
      </c>
      <c r="B910" s="7">
        <v>146.600006103515</v>
      </c>
      <c r="C910" s="3">
        <f t="shared" si="3"/>
        <v>1.0237786508322296E-3</v>
      </c>
    </row>
    <row r="911" spans="1:3" x14ac:dyDescent="0.25">
      <c r="A911" s="6">
        <v>909</v>
      </c>
      <c r="B911" s="7">
        <v>148.13999938964801</v>
      </c>
      <c r="C911" s="3">
        <f t="shared" si="3"/>
        <v>1.0449937378690962E-2</v>
      </c>
    </row>
    <row r="912" spans="1:3" x14ac:dyDescent="0.25">
      <c r="A912" s="6">
        <v>910</v>
      </c>
      <c r="B912" s="7">
        <v>147.61999511718699</v>
      </c>
      <c r="C912" s="3">
        <f t="shared" si="3"/>
        <v>-3.5163972000419059E-3</v>
      </c>
    </row>
    <row r="913" spans="1:3" x14ac:dyDescent="0.25">
      <c r="A913" s="6">
        <v>911</v>
      </c>
      <c r="B913" s="7">
        <v>151.05000305175699</v>
      </c>
      <c r="C913" s="3">
        <f t="shared" si="3"/>
        <v>2.2969556771303398E-2</v>
      </c>
    </row>
    <row r="914" spans="1:3" x14ac:dyDescent="0.25">
      <c r="A914" s="6">
        <v>912</v>
      </c>
      <c r="B914" s="7">
        <v>153.02999877929599</v>
      </c>
      <c r="C914" s="3">
        <f t="shared" si="3"/>
        <v>1.3023044589749367E-2</v>
      </c>
    </row>
    <row r="915" spans="1:3" x14ac:dyDescent="0.25">
      <c r="A915" s="6">
        <v>913</v>
      </c>
      <c r="B915" s="7">
        <v>153.05000305175699</v>
      </c>
      <c r="C915" s="3">
        <f t="shared" si="3"/>
        <v>1.3071270497789402E-4</v>
      </c>
    </row>
    <row r="916" spans="1:3" x14ac:dyDescent="0.25">
      <c r="A916" s="6">
        <v>914</v>
      </c>
      <c r="B916" s="7">
        <v>152.21000671386699</v>
      </c>
      <c r="C916" s="3">
        <f t="shared" si="3"/>
        <v>-5.5034949302175317E-3</v>
      </c>
    </row>
    <row r="917" spans="1:3" x14ac:dyDescent="0.25">
      <c r="A917" s="6">
        <v>915</v>
      </c>
      <c r="B917" s="7">
        <v>152.08000183105401</v>
      </c>
      <c r="C917" s="3">
        <f t="shared" si="3"/>
        <v>-8.544801805669039E-4</v>
      </c>
    </row>
    <row r="918" spans="1:3" x14ac:dyDescent="0.25">
      <c r="A918" s="6">
        <v>916</v>
      </c>
      <c r="B918" s="7">
        <v>151.71000671386699</v>
      </c>
      <c r="C918" s="3">
        <f t="shared" si="3"/>
        <v>-2.4358622056335909E-3</v>
      </c>
    </row>
    <row r="919" spans="1:3" x14ac:dyDescent="0.25">
      <c r="A919" s="6">
        <v>917</v>
      </c>
      <c r="B919" s="7">
        <v>151.19999694824199</v>
      </c>
      <c r="C919" s="3">
        <f t="shared" si="3"/>
        <v>-3.3674044527634175E-3</v>
      </c>
    </row>
    <row r="920" spans="1:3" x14ac:dyDescent="0.25">
      <c r="A920" s="6">
        <v>918</v>
      </c>
      <c r="B920" s="7">
        <v>150.07000732421801</v>
      </c>
      <c r="C920" s="3">
        <f t="shared" si="3"/>
        <v>-7.5015428486064038E-3</v>
      </c>
    </row>
    <row r="921" spans="1:3" x14ac:dyDescent="0.25">
      <c r="A921" s="6">
        <v>919</v>
      </c>
      <c r="B921" s="7">
        <v>151.55000305175699</v>
      </c>
      <c r="C921" s="3">
        <f t="shared" si="3"/>
        <v>9.8137229275352348E-3</v>
      </c>
    </row>
    <row r="922" spans="1:3" x14ac:dyDescent="0.25">
      <c r="A922" s="6">
        <v>920</v>
      </c>
      <c r="B922" s="7">
        <v>151.46000671386699</v>
      </c>
      <c r="C922" s="3">
        <f t="shared" si="3"/>
        <v>-5.9401562744353391E-4</v>
      </c>
    </row>
    <row r="923" spans="1:3" x14ac:dyDescent="0.25">
      <c r="A923" s="6">
        <v>921</v>
      </c>
      <c r="B923" s="7">
        <v>151.24000549316401</v>
      </c>
      <c r="C923" s="3">
        <f t="shared" si="3"/>
        <v>-1.453592669760482E-3</v>
      </c>
    </row>
    <row r="924" spans="1:3" x14ac:dyDescent="0.25">
      <c r="A924" s="6">
        <v>922</v>
      </c>
      <c r="B924" s="7">
        <v>151.509994506835</v>
      </c>
      <c r="C924" s="3">
        <f t="shared" si="3"/>
        <v>1.7835777720491149E-3</v>
      </c>
    </row>
    <row r="925" spans="1:3" x14ac:dyDescent="0.25">
      <c r="A925" s="6">
        <v>923</v>
      </c>
      <c r="B925" s="7">
        <v>149.36000061035099</v>
      </c>
      <c r="C925" s="3">
        <f t="shared" si="3"/>
        <v>-1.4292089795712483E-2</v>
      </c>
    </row>
    <row r="926" spans="1:3" x14ac:dyDescent="0.25">
      <c r="A926" s="6">
        <v>924</v>
      </c>
      <c r="B926" s="7">
        <v>147.02999877929599</v>
      </c>
      <c r="C926" s="3">
        <f t="shared" si="3"/>
        <v>-1.5722864032757987E-2</v>
      </c>
    </row>
    <row r="927" spans="1:3" x14ac:dyDescent="0.25">
      <c r="A927" s="6">
        <v>925</v>
      </c>
      <c r="B927" s="7">
        <v>144.86999511718699</v>
      </c>
      <c r="C927" s="3">
        <f t="shared" si="3"/>
        <v>-1.4799884438382201E-2</v>
      </c>
    </row>
    <row r="928" spans="1:3" x14ac:dyDescent="0.25">
      <c r="A928" s="6">
        <v>926</v>
      </c>
      <c r="B928" s="7">
        <v>143.72000122070301</v>
      </c>
      <c r="C928" s="3">
        <f t="shared" si="3"/>
        <v>-7.9697841098315559E-3</v>
      </c>
    </row>
    <row r="929" spans="1:3" x14ac:dyDescent="0.25">
      <c r="A929" s="6">
        <v>927</v>
      </c>
      <c r="B929" s="7">
        <v>142.57000732421801</v>
      </c>
      <c r="C929" s="3">
        <f t="shared" si="3"/>
        <v>-8.0338122002839123E-3</v>
      </c>
    </row>
    <row r="930" spans="1:3" x14ac:dyDescent="0.25">
      <c r="A930" s="6">
        <v>928</v>
      </c>
      <c r="B930" s="7">
        <v>142.94000244140599</v>
      </c>
      <c r="C930" s="3">
        <f t="shared" si="3"/>
        <v>2.5918203331145675E-3</v>
      </c>
    </row>
    <row r="931" spans="1:3" x14ac:dyDescent="0.25">
      <c r="A931" s="6">
        <v>929</v>
      </c>
      <c r="B931" s="7">
        <v>144.11999511718699</v>
      </c>
      <c r="C931" s="3">
        <f t="shared" si="3"/>
        <v>8.2212731279334688E-3</v>
      </c>
    </row>
    <row r="932" spans="1:3" x14ac:dyDescent="0.25">
      <c r="A932" s="6">
        <v>930</v>
      </c>
      <c r="B932" s="7">
        <v>140.509994506835</v>
      </c>
      <c r="C932" s="3">
        <f t="shared" si="3"/>
        <v>-2.5367630475930856E-2</v>
      </c>
    </row>
    <row r="933" spans="1:3" x14ac:dyDescent="0.25">
      <c r="A933" s="6">
        <v>931</v>
      </c>
      <c r="B933" s="7">
        <v>142.72999572753901</v>
      </c>
      <c r="C933" s="3">
        <f t="shared" si="3"/>
        <v>1.5676082184037841E-2</v>
      </c>
    </row>
    <row r="934" spans="1:3" x14ac:dyDescent="0.25">
      <c r="A934" s="6">
        <v>932</v>
      </c>
      <c r="B934" s="7">
        <v>140.39999389648401</v>
      </c>
      <c r="C934" s="3">
        <f t="shared" si="3"/>
        <v>-1.6459255588434918E-2</v>
      </c>
    </row>
    <row r="935" spans="1:3" x14ac:dyDescent="0.25">
      <c r="A935" s="6">
        <v>933</v>
      </c>
      <c r="B935" s="7">
        <v>139.96000671386699</v>
      </c>
      <c r="C935" s="3">
        <f t="shared" si="3"/>
        <v>-3.1387326499890977E-3</v>
      </c>
    </row>
    <row r="936" spans="1:3" x14ac:dyDescent="0.25">
      <c r="A936" s="6">
        <v>934</v>
      </c>
      <c r="B936" s="7">
        <v>138.16000366210901</v>
      </c>
      <c r="C936" s="3">
        <f t="shared" si="3"/>
        <v>-1.294425512467188E-2</v>
      </c>
    </row>
    <row r="937" spans="1:3" x14ac:dyDescent="0.25">
      <c r="A937" s="6">
        <v>935</v>
      </c>
      <c r="B937" s="7">
        <v>138.14999389648401</v>
      </c>
      <c r="C937" s="3">
        <f t="shared" si="3"/>
        <v>-7.2453155642757098E-5</v>
      </c>
    </row>
    <row r="938" spans="1:3" x14ac:dyDescent="0.25">
      <c r="A938" s="6">
        <v>936</v>
      </c>
      <c r="B938" s="7">
        <v>139.92999267578099</v>
      </c>
      <c r="C938" s="3">
        <f t="shared" si="3"/>
        <v>1.2802238036529554E-2</v>
      </c>
    </row>
    <row r="939" spans="1:3" x14ac:dyDescent="0.25">
      <c r="A939" s="6">
        <v>937</v>
      </c>
      <c r="B939" s="7">
        <v>143.30000305175699</v>
      </c>
      <c r="C939" s="3">
        <f t="shared" si="3"/>
        <v>2.37981109048069E-2</v>
      </c>
    </row>
    <row r="940" spans="1:3" x14ac:dyDescent="0.25">
      <c r="A940" s="6">
        <v>938</v>
      </c>
      <c r="B940" s="7">
        <v>141.33999633789</v>
      </c>
      <c r="C940" s="3">
        <f t="shared" si="3"/>
        <v>-1.3772046777632004E-2</v>
      </c>
    </row>
    <row r="941" spans="1:3" x14ac:dyDescent="0.25">
      <c r="A941" s="6">
        <v>939</v>
      </c>
      <c r="B941" s="7">
        <v>140.05999755859301</v>
      </c>
      <c r="C941" s="3">
        <f t="shared" si="3"/>
        <v>-9.0974245565537838E-3</v>
      </c>
    </row>
    <row r="942" spans="1:3" x14ac:dyDescent="0.25">
      <c r="A942" s="6">
        <v>940</v>
      </c>
      <c r="B942" s="7">
        <v>140.509994506835</v>
      </c>
      <c r="C942" s="3">
        <f t="shared" si="3"/>
        <v>3.2077367275502385E-3</v>
      </c>
    </row>
    <row r="943" spans="1:3" x14ac:dyDescent="0.25">
      <c r="A943" s="6">
        <v>941</v>
      </c>
      <c r="B943" s="7">
        <v>139.66000366210901</v>
      </c>
      <c r="C943" s="3">
        <f t="shared" si="3"/>
        <v>-6.0676978842794495E-3</v>
      </c>
    </row>
    <row r="944" spans="1:3" x14ac:dyDescent="0.25">
      <c r="A944" s="6">
        <v>942</v>
      </c>
      <c r="B944" s="7">
        <v>139.55000305175699</v>
      </c>
      <c r="C944" s="3">
        <f t="shared" si="3"/>
        <v>-7.8794178860445486E-4</v>
      </c>
    </row>
    <row r="945" spans="1:3" x14ac:dyDescent="0.25">
      <c r="A945" s="6">
        <v>943</v>
      </c>
      <c r="B945" s="7">
        <v>141.78999328613199</v>
      </c>
      <c r="C945" s="3">
        <f t="shared" si="3"/>
        <v>1.5924060547791993E-2</v>
      </c>
    </row>
    <row r="946" spans="1:3" x14ac:dyDescent="0.25">
      <c r="A946" s="6">
        <v>944</v>
      </c>
      <c r="B946" s="7">
        <v>137.72999572753901</v>
      </c>
      <c r="C946" s="3">
        <f t="shared" si="3"/>
        <v>-2.9051826489993788E-2</v>
      </c>
    </row>
    <row r="947" spans="1:3" x14ac:dyDescent="0.25">
      <c r="A947" s="6">
        <v>945</v>
      </c>
      <c r="B947" s="7">
        <v>138.96000671386699</v>
      </c>
      <c r="C947" s="3">
        <f t="shared" si="3"/>
        <v>8.8909543392681218E-3</v>
      </c>
    </row>
    <row r="948" spans="1:3" x14ac:dyDescent="0.25">
      <c r="A948" s="6">
        <v>946</v>
      </c>
      <c r="B948" s="7">
        <v>143.350006103515</v>
      </c>
      <c r="C948" s="3">
        <f t="shared" si="3"/>
        <v>3.1103064659136412E-2</v>
      </c>
    </row>
    <row r="949" spans="1:3" x14ac:dyDescent="0.25">
      <c r="A949" s="6">
        <v>947</v>
      </c>
      <c r="B949" s="7">
        <v>141.33000183105401</v>
      </c>
      <c r="C949" s="3">
        <f t="shared" si="3"/>
        <v>-1.4191640571154166E-2</v>
      </c>
    </row>
    <row r="950" spans="1:3" x14ac:dyDescent="0.25">
      <c r="A950" s="6">
        <v>948</v>
      </c>
      <c r="B950" s="7">
        <v>141.47000122070301</v>
      </c>
      <c r="C950" s="3">
        <f t="shared" si="3"/>
        <v>9.9009476361297988E-4</v>
      </c>
    </row>
    <row r="951" spans="1:3" x14ac:dyDescent="0.25">
      <c r="A951" s="6">
        <v>949</v>
      </c>
      <c r="B951" s="7">
        <v>141.08999633789</v>
      </c>
      <c r="C951" s="3">
        <f t="shared" si="3"/>
        <v>-2.6897304303265066E-3</v>
      </c>
    </row>
    <row r="952" spans="1:3" x14ac:dyDescent="0.25">
      <c r="A952" s="6">
        <v>950</v>
      </c>
      <c r="B952" s="7">
        <v>141.21000671386699</v>
      </c>
      <c r="C952" s="3">
        <f t="shared" si="3"/>
        <v>8.5023295720309177E-4</v>
      </c>
    </row>
    <row r="953" spans="1:3" x14ac:dyDescent="0.25">
      <c r="A953" s="6">
        <v>951</v>
      </c>
      <c r="B953" s="7">
        <v>140.5</v>
      </c>
      <c r="C953" s="3">
        <f t="shared" si="3"/>
        <v>-5.0407028526248624E-3</v>
      </c>
    </row>
    <row r="954" spans="1:3" x14ac:dyDescent="0.25">
      <c r="A954" s="6">
        <v>952</v>
      </c>
      <c r="B954" s="7">
        <v>140</v>
      </c>
      <c r="C954" s="3">
        <f t="shared" si="3"/>
        <v>-3.5650661644961459E-3</v>
      </c>
    </row>
    <row r="955" spans="1:3" x14ac:dyDescent="0.25">
      <c r="A955" s="6">
        <v>953</v>
      </c>
      <c r="B955" s="7">
        <v>138.80000305175699</v>
      </c>
      <c r="C955" s="3">
        <f t="shared" si="3"/>
        <v>-8.6083525498785955E-3</v>
      </c>
    </row>
    <row r="956" spans="1:3" x14ac:dyDescent="0.25">
      <c r="A956" s="6">
        <v>954</v>
      </c>
      <c r="B956" s="7">
        <v>140</v>
      </c>
      <c r="C956" s="3">
        <f t="shared" si="3"/>
        <v>8.6083525498786197E-3</v>
      </c>
    </row>
    <row r="957" spans="1:3" x14ac:dyDescent="0.25">
      <c r="A957" s="6">
        <v>955</v>
      </c>
      <c r="B957" s="7">
        <v>138.57000732421801</v>
      </c>
      <c r="C957" s="3">
        <f t="shared" si="3"/>
        <v>-1.0266756642955519E-2</v>
      </c>
    </row>
    <row r="958" spans="1:3" x14ac:dyDescent="0.25">
      <c r="A958" s="6">
        <v>956</v>
      </c>
      <c r="B958" s="7">
        <v>140.33000183105401</v>
      </c>
      <c r="C958" s="3">
        <f t="shared" si="3"/>
        <v>1.2621138844896268E-2</v>
      </c>
    </row>
    <row r="959" spans="1:3" x14ac:dyDescent="0.25">
      <c r="A959" s="6">
        <v>957</v>
      </c>
      <c r="B959" s="7">
        <v>140.75</v>
      </c>
      <c r="C959" s="3">
        <f t="shared" si="3"/>
        <v>2.9884622085547935E-3</v>
      </c>
    </row>
    <row r="960" spans="1:3" x14ac:dyDescent="0.25">
      <c r="A960" s="6">
        <v>958</v>
      </c>
      <c r="B960" s="7">
        <v>140.350006103515</v>
      </c>
      <c r="C960" s="3">
        <f t="shared" si="3"/>
        <v>-2.8459207240930807E-3</v>
      </c>
    </row>
    <row r="961" spans="1:3" x14ac:dyDescent="0.25">
      <c r="A961" s="6">
        <v>959</v>
      </c>
      <c r="B961" s="7">
        <v>141.02999877929599</v>
      </c>
      <c r="C961" s="3">
        <f t="shared" si="3"/>
        <v>4.8332787528085151E-3</v>
      </c>
    </row>
    <row r="962" spans="1:3" x14ac:dyDescent="0.25">
      <c r="A962" s="6">
        <v>960</v>
      </c>
      <c r="B962" s="7">
        <v>142.33000183105401</v>
      </c>
      <c r="C962" s="3">
        <f t="shared" si="3"/>
        <v>9.1756928988680347E-3</v>
      </c>
    </row>
    <row r="963" spans="1:3" x14ac:dyDescent="0.25">
      <c r="A963" s="6">
        <v>961</v>
      </c>
      <c r="B963" s="7">
        <v>143.94000244140599</v>
      </c>
      <c r="C963" s="3">
        <f t="shared" si="3"/>
        <v>1.1248245093550326E-2</v>
      </c>
    </row>
    <row r="964" spans="1:3" x14ac:dyDescent="0.25">
      <c r="A964" s="6">
        <v>962</v>
      </c>
      <c r="B964" s="7">
        <v>144.97000122070301</v>
      </c>
      <c r="C964" s="3">
        <f t="shared" si="3"/>
        <v>7.1302698422561414E-3</v>
      </c>
    </row>
    <row r="965" spans="1:3" x14ac:dyDescent="0.25">
      <c r="A965" s="6">
        <v>963</v>
      </c>
      <c r="B965" s="7">
        <v>147.83999633789</v>
      </c>
      <c r="C965" s="3">
        <f t="shared" si="3"/>
        <v>1.9603750239418426E-2</v>
      </c>
    </row>
    <row r="966" spans="1:3" x14ac:dyDescent="0.25">
      <c r="A966" s="6">
        <v>964</v>
      </c>
      <c r="B966" s="7">
        <v>145.509994506835</v>
      </c>
      <c r="C966" s="3">
        <f t="shared" si="3"/>
        <v>-1.5885808101538269E-2</v>
      </c>
    </row>
    <row r="967" spans="1:3" x14ac:dyDescent="0.25">
      <c r="A967" s="6">
        <v>965</v>
      </c>
      <c r="B967" s="7">
        <v>145.44000244140599</v>
      </c>
      <c r="C967" s="3">
        <f t="shared" si="3"/>
        <v>-4.8112780555644618E-4</v>
      </c>
    </row>
    <row r="968" spans="1:3" x14ac:dyDescent="0.25">
      <c r="A968" s="6">
        <v>966</v>
      </c>
      <c r="B968" s="7">
        <v>146.08000183105401</v>
      </c>
      <c r="C968" s="3">
        <f t="shared" si="3"/>
        <v>4.3907821657424339E-3</v>
      </c>
    </row>
    <row r="969" spans="1:3" x14ac:dyDescent="0.25">
      <c r="A969" s="6">
        <v>967</v>
      </c>
      <c r="B969" s="7">
        <v>144.66000366210901</v>
      </c>
      <c r="C969" s="3">
        <f t="shared" si="3"/>
        <v>-9.7682426448372217E-3</v>
      </c>
    </row>
    <row r="970" spans="1:3" x14ac:dyDescent="0.25">
      <c r="A970" s="6">
        <v>968</v>
      </c>
      <c r="B970" s="7">
        <v>146</v>
      </c>
      <c r="C970" s="3">
        <f t="shared" si="3"/>
        <v>9.2204349719179207E-3</v>
      </c>
    </row>
    <row r="971" spans="1:3" x14ac:dyDescent="0.25">
      <c r="A971" s="6">
        <v>969</v>
      </c>
      <c r="B971" s="7">
        <v>145.53999328613199</v>
      </c>
      <c r="C971" s="3">
        <f t="shared" si="3"/>
        <v>-3.1557049201379013E-3</v>
      </c>
    </row>
    <row r="972" spans="1:3" x14ac:dyDescent="0.25">
      <c r="A972" s="6">
        <v>970</v>
      </c>
      <c r="B972" s="7">
        <v>147.64999389648401</v>
      </c>
      <c r="C972" s="3">
        <f t="shared" si="3"/>
        <v>1.4393650064001071E-2</v>
      </c>
    </row>
    <row r="973" spans="1:3" x14ac:dyDescent="0.25">
      <c r="A973" s="6">
        <v>971</v>
      </c>
      <c r="B973" s="7">
        <v>149.30999755859301</v>
      </c>
      <c r="C973" s="3">
        <f t="shared" si="3"/>
        <v>1.1180098335110317E-2</v>
      </c>
    </row>
    <row r="974" spans="1:3" x14ac:dyDescent="0.25">
      <c r="A974" s="6">
        <v>972</v>
      </c>
      <c r="B974" s="7">
        <v>144.69999694824199</v>
      </c>
      <c r="C974" s="3">
        <f t="shared" si="3"/>
        <v>-3.1362052640113956E-2</v>
      </c>
    </row>
    <row r="975" spans="1:3" x14ac:dyDescent="0.25">
      <c r="A975" s="6">
        <v>973</v>
      </c>
      <c r="B975" s="7">
        <v>144.72000122070301</v>
      </c>
      <c r="C975" s="3">
        <f t="shared" si="3"/>
        <v>1.3823697477332336E-4</v>
      </c>
    </row>
    <row r="976" spans="1:3" x14ac:dyDescent="0.25">
      <c r="A976" s="6">
        <v>974</v>
      </c>
      <c r="B976" s="7">
        <v>141.11000061035099</v>
      </c>
      <c r="C976" s="3">
        <f t="shared" si="3"/>
        <v>-2.526111712694391E-2</v>
      </c>
    </row>
    <row r="977" spans="1:3" x14ac:dyDescent="0.25">
      <c r="A977" s="6">
        <v>975</v>
      </c>
      <c r="B977" s="7">
        <v>145.07000732421801</v>
      </c>
      <c r="C977" s="3">
        <f t="shared" si="3"/>
        <v>2.7676702643259242E-2</v>
      </c>
    </row>
    <row r="978" spans="1:3" x14ac:dyDescent="0.25">
      <c r="A978" s="6">
        <v>976</v>
      </c>
      <c r="B978" s="7">
        <v>146.41000366210901</v>
      </c>
      <c r="C978" s="3">
        <f t="shared" si="3"/>
        <v>9.1944951798030965E-3</v>
      </c>
    </row>
    <row r="979" spans="1:3" x14ac:dyDescent="0.25">
      <c r="A979" s="6">
        <v>977</v>
      </c>
      <c r="B979" s="7">
        <v>144.77000427246</v>
      </c>
      <c r="C979" s="3">
        <f t="shared" si="3"/>
        <v>-1.1264624540082434E-2</v>
      </c>
    </row>
    <row r="980" spans="1:3" x14ac:dyDescent="0.25">
      <c r="A980" s="6">
        <v>978</v>
      </c>
      <c r="B980" s="7">
        <v>143.24000549316401</v>
      </c>
      <c r="C980" s="3">
        <f t="shared" si="3"/>
        <v>-1.0624722198402398E-2</v>
      </c>
    </row>
    <row r="981" spans="1:3" x14ac:dyDescent="0.25">
      <c r="A981" s="6">
        <v>979</v>
      </c>
      <c r="B981" s="7">
        <v>142.42999267578099</v>
      </c>
      <c r="C981" s="3">
        <f t="shared" si="3"/>
        <v>-5.6709839563981283E-3</v>
      </c>
    </row>
    <row r="982" spans="1:3" x14ac:dyDescent="0.25">
      <c r="A982" s="6">
        <v>980</v>
      </c>
      <c r="B982" s="7">
        <v>137.33999633789</v>
      </c>
      <c r="C982" s="3">
        <f t="shared" si="3"/>
        <v>-3.6391022995229956E-2</v>
      </c>
    </row>
    <row r="983" spans="1:3" x14ac:dyDescent="0.25">
      <c r="A983" s="6">
        <v>981</v>
      </c>
      <c r="B983" s="7">
        <v>137.36000061035099</v>
      </c>
      <c r="C983" s="3">
        <f t="shared" si="3"/>
        <v>1.4564450468586339E-4</v>
      </c>
    </row>
    <row r="984" spans="1:3" x14ac:dyDescent="0.25">
      <c r="A984" s="6">
        <v>982</v>
      </c>
      <c r="B984" s="7">
        <v>138.02000427246</v>
      </c>
      <c r="C984" s="3">
        <f t="shared" si="3"/>
        <v>4.7934121151635076E-3</v>
      </c>
    </row>
    <row r="985" spans="1:3" x14ac:dyDescent="0.25">
      <c r="A985" s="6">
        <v>983</v>
      </c>
      <c r="B985" s="7">
        <v>135.83000183105401</v>
      </c>
      <c r="C985" s="3">
        <f t="shared" si="3"/>
        <v>-1.5994515832941814E-2</v>
      </c>
    </row>
    <row r="986" spans="1:3" x14ac:dyDescent="0.25">
      <c r="A986" s="6">
        <v>984</v>
      </c>
      <c r="B986" s="7">
        <v>136.49000549316401</v>
      </c>
      <c r="C986" s="3">
        <f t="shared" si="3"/>
        <v>4.8472747991292102E-3</v>
      </c>
    </row>
    <row r="987" spans="1:3" x14ac:dyDescent="0.25">
      <c r="A987" s="6">
        <v>985</v>
      </c>
      <c r="B987" s="7">
        <v>139.259994506835</v>
      </c>
      <c r="C987" s="3">
        <f t="shared" si="3"/>
        <v>2.0091257954998522E-2</v>
      </c>
    </row>
    <row r="988" spans="1:3" x14ac:dyDescent="0.25">
      <c r="A988" s="6">
        <v>986</v>
      </c>
      <c r="B988" s="7">
        <v>138.91000366210901</v>
      </c>
      <c r="C988" s="3">
        <f t="shared" si="3"/>
        <v>-2.5163822965348368E-3</v>
      </c>
    </row>
    <row r="989" spans="1:3" x14ac:dyDescent="0.25">
      <c r="A989" s="6">
        <v>987</v>
      </c>
      <c r="B989" s="7">
        <v>136.33000183105401</v>
      </c>
      <c r="C989" s="3">
        <f t="shared" si="3"/>
        <v>-1.8747837143394553E-2</v>
      </c>
    </row>
    <row r="990" spans="1:3" x14ac:dyDescent="0.25">
      <c r="A990" s="6">
        <v>988</v>
      </c>
      <c r="B990" s="7">
        <v>135.58999633789</v>
      </c>
      <c r="C990" s="3">
        <f t="shared" si="3"/>
        <v>-5.4428311635658679E-3</v>
      </c>
    </row>
    <row r="991" spans="1:3" x14ac:dyDescent="0.25">
      <c r="A991" s="6">
        <v>989</v>
      </c>
      <c r="B991" s="7">
        <v>135.94999694824199</v>
      </c>
      <c r="C991" s="3">
        <f t="shared" si="3"/>
        <v>2.6515491653146704E-3</v>
      </c>
    </row>
    <row r="992" spans="1:3" x14ac:dyDescent="0.25">
      <c r="A992" s="6">
        <v>990</v>
      </c>
      <c r="B992" s="7">
        <v>134.89999389648401</v>
      </c>
      <c r="C992" s="3">
        <f t="shared" si="3"/>
        <v>-7.7534306618645583E-3</v>
      </c>
    </row>
    <row r="993" spans="1:3" x14ac:dyDescent="0.25">
      <c r="A993" s="6">
        <v>991</v>
      </c>
      <c r="B993" s="7">
        <v>133.86999511718699</v>
      </c>
      <c r="C993" s="3">
        <f t="shared" si="3"/>
        <v>-7.6645746454478206E-3</v>
      </c>
    </row>
    <row r="994" spans="1:3" x14ac:dyDescent="0.25">
      <c r="A994" s="6">
        <v>992</v>
      </c>
      <c r="B994" s="7">
        <v>137.63000488281199</v>
      </c>
      <c r="C994" s="3">
        <f t="shared" si="3"/>
        <v>2.7699817145740581E-2</v>
      </c>
    </row>
    <row r="995" spans="1:3" x14ac:dyDescent="0.25">
      <c r="A995" s="6">
        <v>993</v>
      </c>
      <c r="B995" s="7">
        <v>136.11999511718699</v>
      </c>
      <c r="C995" s="3">
        <f t="shared" si="3"/>
        <v>-1.1032146707939094E-2</v>
      </c>
    </row>
    <row r="996" spans="1:3" x14ac:dyDescent="0.25">
      <c r="A996" s="6">
        <v>994</v>
      </c>
      <c r="B996" s="7">
        <v>137.36999511718699</v>
      </c>
      <c r="C996" s="3">
        <f t="shared" si="3"/>
        <v>9.1411660308209179E-3</v>
      </c>
    </row>
    <row r="997" spans="1:3" x14ac:dyDescent="0.25">
      <c r="A997" s="6">
        <v>995</v>
      </c>
      <c r="B997" s="7">
        <v>136.92999267578099</v>
      </c>
      <c r="C997" s="3">
        <f t="shared" si="3"/>
        <v>-3.20818693678135E-3</v>
      </c>
    </row>
    <row r="998" spans="1:3" x14ac:dyDescent="0.25">
      <c r="A998" s="6">
        <v>996</v>
      </c>
      <c r="B998" s="7">
        <v>136.77000427246</v>
      </c>
      <c r="C998" s="3">
        <f t="shared" si="3"/>
        <v>-1.1690787236156926E-3</v>
      </c>
    </row>
    <row r="999" spans="1:3" x14ac:dyDescent="0.25">
      <c r="A999" s="6">
        <v>997</v>
      </c>
      <c r="B999" s="7">
        <v>137.850006103515</v>
      </c>
      <c r="C999" s="3">
        <f t="shared" si="3"/>
        <v>7.8654676145583861E-3</v>
      </c>
    </row>
    <row r="1000" spans="1:3" x14ac:dyDescent="0.25">
      <c r="A1000" s="6">
        <v>998</v>
      </c>
      <c r="B1000" s="7">
        <v>136.05999755859301</v>
      </c>
      <c r="C1000" s="3">
        <f t="shared" si="3"/>
        <v>-1.3070234772992026E-2</v>
      </c>
    </row>
    <row r="1001" spans="1:3" x14ac:dyDescent="0.25">
      <c r="A1001" s="6">
        <v>999</v>
      </c>
      <c r="B1001" s="7">
        <v>135.41000366210901</v>
      </c>
      <c r="C1001" s="3">
        <f t="shared" si="3"/>
        <v>-4.7887069339786576E-3</v>
      </c>
    </row>
    <row r="1002" spans="1:3" x14ac:dyDescent="0.25">
      <c r="A1002" s="6">
        <v>1000</v>
      </c>
      <c r="B1002" s="7">
        <v>137.39999389648401</v>
      </c>
      <c r="C1002" s="3">
        <f t="shared" si="3"/>
        <v>1.4589095327403868E-2</v>
      </c>
    </row>
    <row r="1003" spans="1:3" x14ac:dyDescent="0.25">
      <c r="A1003" s="6">
        <v>1001</v>
      </c>
      <c r="B1003" s="7">
        <v>136.27999877929599</v>
      </c>
      <c r="C1003" s="3">
        <f t="shared" si="3"/>
        <v>-8.184751531291572E-3</v>
      </c>
    </row>
    <row r="1004" spans="1:3" x14ac:dyDescent="0.25">
      <c r="A1004" s="6">
        <v>1002</v>
      </c>
      <c r="B1004" s="7">
        <v>136.16000366210901</v>
      </c>
      <c r="C1004" s="3">
        <f t="shared" si="3"/>
        <v>-8.80892114748749E-4</v>
      </c>
    </row>
    <row r="1005" spans="1:3" x14ac:dyDescent="0.25">
      <c r="A1005" s="6">
        <v>1003</v>
      </c>
      <c r="B1005" s="7">
        <v>132.66000366210901</v>
      </c>
      <c r="C1005" s="3">
        <f t="shared" si="3"/>
        <v>-2.6041200018060331E-2</v>
      </c>
    </row>
    <row r="1006" spans="1:3" x14ac:dyDescent="0.25">
      <c r="A1006" s="6">
        <v>1004</v>
      </c>
      <c r="B1006" s="7">
        <v>134.02000427246</v>
      </c>
      <c r="C1006" s="3">
        <f t="shared" si="3"/>
        <v>1.0199582721662406E-2</v>
      </c>
    </row>
    <row r="1007" spans="1:3" x14ac:dyDescent="0.25">
      <c r="A1007" s="6">
        <v>1005</v>
      </c>
      <c r="B1007" s="7">
        <v>134.96000671386699</v>
      </c>
      <c r="C1007" s="3">
        <f t="shared" si="3"/>
        <v>6.9894135605035679E-3</v>
      </c>
    </row>
    <row r="1008" spans="1:3" x14ac:dyDescent="0.25">
      <c r="A1008" s="6">
        <v>1006</v>
      </c>
      <c r="B1008" s="7">
        <v>132.44000244140599</v>
      </c>
      <c r="C1008" s="3">
        <f t="shared" si="3"/>
        <v>-1.8848756871701153E-2</v>
      </c>
    </row>
    <row r="1009" spans="1:3" x14ac:dyDescent="0.25">
      <c r="A1009" s="6">
        <v>1007</v>
      </c>
      <c r="B1009" s="7">
        <v>129.53999328613199</v>
      </c>
      <c r="C1009" s="3">
        <f t="shared" si="3"/>
        <v>-2.2140069186860664E-2</v>
      </c>
    </row>
    <row r="1010" spans="1:3" x14ac:dyDescent="0.25">
      <c r="A1010" s="6">
        <v>1008</v>
      </c>
      <c r="B1010" s="7">
        <v>126.730003356933</v>
      </c>
      <c r="C1010" s="3">
        <f t="shared" si="3"/>
        <v>-2.1930796343407152E-2</v>
      </c>
    </row>
    <row r="1011" spans="1:3" x14ac:dyDescent="0.25">
      <c r="A1011" s="6">
        <v>1009</v>
      </c>
      <c r="B1011" s="7">
        <v>129.72999572753901</v>
      </c>
      <c r="C1011" s="3">
        <f t="shared" si="3"/>
        <v>2.3396469066605047E-2</v>
      </c>
    </row>
    <row r="1012" spans="1:3" x14ac:dyDescent="0.25">
      <c r="A1012" s="6">
        <v>1010</v>
      </c>
      <c r="B1012" s="7">
        <v>133.08999633789</v>
      </c>
      <c r="C1012" s="3">
        <f t="shared" si="3"/>
        <v>2.5570228932987084E-2</v>
      </c>
    </row>
    <row r="1013" spans="1:3" x14ac:dyDescent="0.25">
      <c r="A1013" s="6">
        <v>1011</v>
      </c>
      <c r="B1013" s="7">
        <v>134.89999389648401</v>
      </c>
      <c r="C1013" s="3">
        <f t="shared" si="3"/>
        <v>1.3508154386542256E-2</v>
      </c>
    </row>
    <row r="1014" spans="1:3" x14ac:dyDescent="0.25">
      <c r="A1014" s="6">
        <v>1012</v>
      </c>
      <c r="B1014" s="7">
        <v>138.27000427246</v>
      </c>
      <c r="C1014" s="3">
        <f t="shared" si="3"/>
        <v>2.4674608330960985E-2</v>
      </c>
    </row>
    <row r="1015" spans="1:3" x14ac:dyDescent="0.25">
      <c r="A1015" s="6">
        <v>1013</v>
      </c>
      <c r="B1015" s="7">
        <v>135.97999572753901</v>
      </c>
      <c r="C1015" s="3">
        <f t="shared" si="3"/>
        <v>-1.6700541621387687E-2</v>
      </c>
    </row>
    <row r="1016" spans="1:3" x14ac:dyDescent="0.25">
      <c r="A1016" s="6">
        <v>1014</v>
      </c>
      <c r="B1016" s="7">
        <v>139.86999511718699</v>
      </c>
      <c r="C1016" s="3">
        <f t="shared" si="3"/>
        <v>2.8205600203021781E-2</v>
      </c>
    </row>
    <row r="1017" spans="1:3" x14ac:dyDescent="0.25">
      <c r="A1017" s="6">
        <v>1015</v>
      </c>
      <c r="B1017" s="7">
        <v>137.05999755859301</v>
      </c>
      <c r="C1017" s="3">
        <f t="shared" si="3"/>
        <v>-2.0294616536570317E-2</v>
      </c>
    </row>
    <row r="1018" spans="1:3" x14ac:dyDescent="0.25">
      <c r="A1018" s="6">
        <v>1016</v>
      </c>
      <c r="B1018" s="7">
        <v>136.80999755859301</v>
      </c>
      <c r="C1018" s="3">
        <f t="shared" si="3"/>
        <v>-1.8256842582049394E-3</v>
      </c>
    </row>
    <row r="1019" spans="1:3" x14ac:dyDescent="0.25">
      <c r="A1019" s="6">
        <v>1017</v>
      </c>
      <c r="B1019" s="7">
        <v>142.16000366210901</v>
      </c>
      <c r="C1019" s="3">
        <f t="shared" si="3"/>
        <v>3.8360125520085095E-2</v>
      </c>
    </row>
    <row r="1020" spans="1:3" x14ac:dyDescent="0.25">
      <c r="A1020" s="6">
        <v>1018</v>
      </c>
      <c r="B1020" s="7">
        <v>144</v>
      </c>
      <c r="C1020" s="3">
        <f t="shared" si="3"/>
        <v>1.2860089969130932E-2</v>
      </c>
    </row>
    <row r="1021" spans="1:3" x14ac:dyDescent="0.25">
      <c r="A1021" s="6">
        <v>1019</v>
      </c>
      <c r="B1021" s="7">
        <v>144.64999389648401</v>
      </c>
      <c r="C1021" s="3">
        <f t="shared" si="3"/>
        <v>4.5036896510787065E-3</v>
      </c>
    </row>
    <row r="1022" spans="1:3" x14ac:dyDescent="0.25">
      <c r="A1022" s="6">
        <v>1020</v>
      </c>
      <c r="B1022" s="7">
        <v>145.52999877929599</v>
      </c>
      <c r="C1022" s="3">
        <f t="shared" si="3"/>
        <v>6.065253310166786E-3</v>
      </c>
    </row>
    <row r="1023" spans="1:3" x14ac:dyDescent="0.25">
      <c r="A1023" s="6">
        <v>1021</v>
      </c>
      <c r="B1023" s="7">
        <v>147.100006103515</v>
      </c>
      <c r="C1023" s="3">
        <f t="shared" ref="C1023:C1260" si="4">LN(B1023/B1022)</f>
        <v>1.0730426562429143E-2</v>
      </c>
    </row>
    <row r="1024" spans="1:3" x14ac:dyDescent="0.25">
      <c r="A1024" s="6">
        <v>1022</v>
      </c>
      <c r="B1024" s="7">
        <v>145.759994506835</v>
      </c>
      <c r="C1024" s="3">
        <f t="shared" si="4"/>
        <v>-9.1512732743956691E-3</v>
      </c>
    </row>
    <row r="1025" spans="1:3" x14ac:dyDescent="0.25">
      <c r="A1025" s="6">
        <v>1023</v>
      </c>
      <c r="B1025" s="7">
        <v>146.21000671386699</v>
      </c>
      <c r="C1025" s="3">
        <f t="shared" si="4"/>
        <v>3.0825945234080527E-3</v>
      </c>
    </row>
    <row r="1026" spans="1:3" x14ac:dyDescent="0.25">
      <c r="A1026" s="6">
        <v>1024</v>
      </c>
      <c r="B1026" s="7">
        <v>147.53999328613199</v>
      </c>
      <c r="C1026" s="3">
        <f t="shared" si="4"/>
        <v>9.0552896020588258E-3</v>
      </c>
    </row>
    <row r="1027" spans="1:3" x14ac:dyDescent="0.25">
      <c r="A1027" s="6">
        <v>1025</v>
      </c>
      <c r="B1027" s="7">
        <v>145.77999877929599</v>
      </c>
      <c r="C1027" s="3">
        <f t="shared" si="4"/>
        <v>-1.2000652370283653E-2</v>
      </c>
    </row>
    <row r="1028" spans="1:3" x14ac:dyDescent="0.25">
      <c r="A1028" s="6">
        <v>1026</v>
      </c>
      <c r="B1028" s="7">
        <v>146.80000305175699</v>
      </c>
      <c r="C1028" s="3">
        <f t="shared" si="4"/>
        <v>6.9725093884875572E-3</v>
      </c>
    </row>
    <row r="1029" spans="1:3" x14ac:dyDescent="0.25">
      <c r="A1029" s="6">
        <v>1027</v>
      </c>
      <c r="B1029" s="7">
        <v>145.36000061035099</v>
      </c>
      <c r="C1029" s="3">
        <f t="shared" si="4"/>
        <v>-9.8577086821422088E-3</v>
      </c>
    </row>
    <row r="1030" spans="1:3" x14ac:dyDescent="0.25">
      <c r="A1030" s="6">
        <v>1028</v>
      </c>
      <c r="B1030" s="7">
        <v>145.5</v>
      </c>
      <c r="C1030" s="3">
        <f t="shared" si="4"/>
        <v>9.6265832473904547E-4</v>
      </c>
    </row>
    <row r="1031" spans="1:3" x14ac:dyDescent="0.25">
      <c r="A1031" s="6">
        <v>1029</v>
      </c>
      <c r="B1031" s="7">
        <v>147.11999511718699</v>
      </c>
      <c r="C1031" s="3">
        <f t="shared" si="4"/>
        <v>1.1072460495196262E-2</v>
      </c>
    </row>
    <row r="1032" spans="1:3" x14ac:dyDescent="0.25">
      <c r="A1032" s="6">
        <v>1030</v>
      </c>
      <c r="B1032" s="7">
        <v>146.80000305175699</v>
      </c>
      <c r="C1032" s="3">
        <f t="shared" si="4"/>
        <v>-2.1774101377930316E-3</v>
      </c>
    </row>
    <row r="1033" spans="1:3" x14ac:dyDescent="0.25">
      <c r="A1033" s="6">
        <v>1031</v>
      </c>
      <c r="B1033" s="7">
        <v>150.28999328613199</v>
      </c>
      <c r="C1033" s="3">
        <f t="shared" si="4"/>
        <v>2.3495579304298925E-2</v>
      </c>
    </row>
    <row r="1034" spans="1:3" x14ac:dyDescent="0.25">
      <c r="A1034" s="6">
        <v>1032</v>
      </c>
      <c r="B1034" s="7">
        <v>146.72999572753901</v>
      </c>
      <c r="C1034" s="3">
        <f t="shared" si="4"/>
        <v>-2.3972582171716335E-2</v>
      </c>
    </row>
    <row r="1035" spans="1:3" x14ac:dyDescent="0.25">
      <c r="A1035" s="6">
        <v>1033</v>
      </c>
      <c r="B1035" s="7">
        <v>145.83999633789</v>
      </c>
      <c r="C1035" s="3">
        <f t="shared" si="4"/>
        <v>-6.084028841589071E-3</v>
      </c>
    </row>
    <row r="1036" spans="1:3" x14ac:dyDescent="0.25">
      <c r="A1036" s="6">
        <v>1034</v>
      </c>
      <c r="B1036" s="7">
        <v>144.99000549316401</v>
      </c>
      <c r="C1036" s="3">
        <f t="shared" si="4"/>
        <v>-5.845292848339503E-3</v>
      </c>
    </row>
    <row r="1037" spans="1:3" x14ac:dyDescent="0.25">
      <c r="A1037" s="6">
        <v>1035</v>
      </c>
      <c r="B1037" s="7">
        <v>146.86999511718699</v>
      </c>
      <c r="C1037" s="3">
        <f t="shared" si="4"/>
        <v>1.2882996108350201E-2</v>
      </c>
    </row>
    <row r="1038" spans="1:3" x14ac:dyDescent="0.25">
      <c r="A1038" s="6">
        <v>1036</v>
      </c>
      <c r="B1038" s="7">
        <v>147.46000671386699</v>
      </c>
      <c r="C1038" s="3">
        <f t="shared" si="4"/>
        <v>4.0091895716385766E-3</v>
      </c>
    </row>
    <row r="1039" spans="1:3" x14ac:dyDescent="0.25">
      <c r="A1039" s="6">
        <v>1037</v>
      </c>
      <c r="B1039" s="7">
        <v>150.22999572753901</v>
      </c>
      <c r="C1039" s="3">
        <f t="shared" si="4"/>
        <v>1.8610426543272815E-2</v>
      </c>
    </row>
    <row r="1040" spans="1:3" x14ac:dyDescent="0.25">
      <c r="A1040" s="6">
        <v>1038</v>
      </c>
      <c r="B1040" s="7">
        <v>151.69000244140599</v>
      </c>
      <c r="C1040" s="3">
        <f t="shared" si="4"/>
        <v>9.6715560634212452E-3</v>
      </c>
    </row>
    <row r="1041" spans="1:3" x14ac:dyDescent="0.25">
      <c r="A1041" s="6">
        <v>1039</v>
      </c>
      <c r="B1041" s="7">
        <v>153.46000671386699</v>
      </c>
      <c r="C1041" s="3">
        <f t="shared" si="4"/>
        <v>1.1601009801178867E-2</v>
      </c>
    </row>
    <row r="1042" spans="1:3" x14ac:dyDescent="0.25">
      <c r="A1042" s="6">
        <v>1040</v>
      </c>
      <c r="B1042" s="7">
        <v>153.96000671386699</v>
      </c>
      <c r="C1042" s="3">
        <f t="shared" si="4"/>
        <v>3.2528815239441173E-3</v>
      </c>
    </row>
    <row r="1043" spans="1:3" x14ac:dyDescent="0.25">
      <c r="A1043" s="6">
        <v>1041</v>
      </c>
      <c r="B1043" s="7">
        <v>153.63999938964801</v>
      </c>
      <c r="C1043" s="3">
        <f t="shared" si="4"/>
        <v>-2.0806725183172008E-3</v>
      </c>
    </row>
    <row r="1044" spans="1:3" x14ac:dyDescent="0.25">
      <c r="A1044" s="6">
        <v>1042</v>
      </c>
      <c r="B1044" s="7">
        <v>156.86999511718699</v>
      </c>
      <c r="C1044" s="3">
        <f t="shared" si="4"/>
        <v>2.0805206236562269E-2</v>
      </c>
    </row>
    <row r="1045" spans="1:3" x14ac:dyDescent="0.25">
      <c r="A1045" s="6">
        <v>1043</v>
      </c>
      <c r="B1045" s="7">
        <v>161.27000427246</v>
      </c>
      <c r="C1045" s="3">
        <f t="shared" si="4"/>
        <v>2.7662599743358871E-2</v>
      </c>
    </row>
    <row r="1046" spans="1:3" x14ac:dyDescent="0.25">
      <c r="A1046" s="6">
        <v>1044</v>
      </c>
      <c r="B1046" s="7">
        <v>165.19999694824199</v>
      </c>
      <c r="C1046" s="3">
        <f t="shared" si="4"/>
        <v>2.4076837128752068E-2</v>
      </c>
    </row>
    <row r="1047" spans="1:3" x14ac:dyDescent="0.25">
      <c r="A1047" s="6">
        <v>1045</v>
      </c>
      <c r="B1047" s="7">
        <v>166.5</v>
      </c>
      <c r="C1047" s="3">
        <f t="shared" si="4"/>
        <v>7.8384668067324713E-3</v>
      </c>
    </row>
    <row r="1048" spans="1:3" x14ac:dyDescent="0.25">
      <c r="A1048" s="6">
        <v>1046</v>
      </c>
      <c r="B1048" s="7">
        <v>168.11999511718699</v>
      </c>
      <c r="C1048" s="3">
        <f t="shared" si="4"/>
        <v>9.6826716727993253E-3</v>
      </c>
    </row>
    <row r="1049" spans="1:3" x14ac:dyDescent="0.25">
      <c r="A1049" s="6">
        <v>1047</v>
      </c>
      <c r="B1049" s="7">
        <v>168.47999572753901</v>
      </c>
      <c r="C1049" s="3">
        <f t="shared" si="4"/>
        <v>2.1390419335057978E-3</v>
      </c>
    </row>
    <row r="1050" spans="1:3" x14ac:dyDescent="0.25">
      <c r="A1050" s="6">
        <v>1048</v>
      </c>
      <c r="B1050" s="7">
        <v>164.75</v>
      </c>
      <c r="C1050" s="3">
        <f t="shared" si="4"/>
        <v>-2.238784964418692E-2</v>
      </c>
    </row>
    <row r="1051" spans="1:3" x14ac:dyDescent="0.25">
      <c r="A1051" s="6">
        <v>1049</v>
      </c>
      <c r="B1051" s="7">
        <v>163.52000427246</v>
      </c>
      <c r="C1051" s="3">
        <f t="shared" si="4"/>
        <v>-7.4938402392196388E-3</v>
      </c>
    </row>
    <row r="1052" spans="1:3" x14ac:dyDescent="0.25">
      <c r="A1052" s="6">
        <v>1050</v>
      </c>
      <c r="B1052" s="7">
        <v>161.89999389648401</v>
      </c>
      <c r="C1052" s="3">
        <f t="shared" si="4"/>
        <v>-9.9565101591040372E-3</v>
      </c>
    </row>
    <row r="1053" spans="1:3" x14ac:dyDescent="0.25">
      <c r="A1053" s="6">
        <v>1051</v>
      </c>
      <c r="B1053" s="7">
        <v>162.19000244140599</v>
      </c>
      <c r="C1053" s="3">
        <f t="shared" si="4"/>
        <v>1.7896795680579418E-3</v>
      </c>
    </row>
    <row r="1054" spans="1:3" x14ac:dyDescent="0.25">
      <c r="A1054" s="6">
        <v>1052</v>
      </c>
      <c r="B1054" s="7">
        <v>162.009994506835</v>
      </c>
      <c r="C1054" s="3">
        <f t="shared" si="4"/>
        <v>-1.1104747363576697E-3</v>
      </c>
    </row>
    <row r="1055" spans="1:3" x14ac:dyDescent="0.25">
      <c r="A1055" s="6">
        <v>1053</v>
      </c>
      <c r="B1055" s="7">
        <v>161.14999389648401</v>
      </c>
      <c r="C1055" s="3">
        <f t="shared" si="4"/>
        <v>-5.3224574292973312E-3</v>
      </c>
    </row>
    <row r="1056" spans="1:3" x14ac:dyDescent="0.25">
      <c r="A1056" s="6">
        <v>1054</v>
      </c>
      <c r="B1056" s="7">
        <v>161.22999572753901</v>
      </c>
      <c r="C1056" s="3">
        <f t="shared" si="4"/>
        <v>4.9632008978327518E-4</v>
      </c>
    </row>
    <row r="1057" spans="1:3" x14ac:dyDescent="0.25">
      <c r="A1057" s="6">
        <v>1055</v>
      </c>
      <c r="B1057" s="7">
        <v>158.53999328613199</v>
      </c>
      <c r="C1057" s="3">
        <f t="shared" si="4"/>
        <v>-1.6825005415571845E-2</v>
      </c>
    </row>
    <row r="1058" spans="1:3" x14ac:dyDescent="0.25">
      <c r="A1058" s="6">
        <v>1056</v>
      </c>
      <c r="B1058" s="7">
        <v>156.39999389648401</v>
      </c>
      <c r="C1058" s="3">
        <f t="shared" si="4"/>
        <v>-1.3590095974735747E-2</v>
      </c>
    </row>
    <row r="1059" spans="1:3" x14ac:dyDescent="0.25">
      <c r="A1059" s="6">
        <v>1057</v>
      </c>
      <c r="B1059" s="7">
        <v>154.259994506835</v>
      </c>
      <c r="C1059" s="3">
        <f t="shared" si="4"/>
        <v>-1.3777334190101336E-2</v>
      </c>
    </row>
    <row r="1060" spans="1:3" x14ac:dyDescent="0.25">
      <c r="A1060" s="6">
        <v>1058</v>
      </c>
      <c r="B1060" s="7">
        <v>152.97000122070301</v>
      </c>
      <c r="C1060" s="3">
        <f t="shared" si="4"/>
        <v>-8.3976231808804442E-3</v>
      </c>
    </row>
    <row r="1061" spans="1:3" x14ac:dyDescent="0.25">
      <c r="A1061" s="6">
        <v>1059</v>
      </c>
      <c r="B1061" s="7">
        <v>151.669998168945</v>
      </c>
      <c r="C1061" s="3">
        <f t="shared" si="4"/>
        <v>-8.5347357245091297E-3</v>
      </c>
    </row>
    <row r="1062" spans="1:3" x14ac:dyDescent="0.25">
      <c r="A1062" s="6">
        <v>1060</v>
      </c>
      <c r="B1062" s="7">
        <v>152.89999389648401</v>
      </c>
      <c r="C1062" s="3">
        <f t="shared" si="4"/>
        <v>8.0769770259831886E-3</v>
      </c>
    </row>
    <row r="1063" spans="1:3" x14ac:dyDescent="0.25">
      <c r="A1063" s="6">
        <v>1061</v>
      </c>
      <c r="B1063" s="7">
        <v>153.97999572753901</v>
      </c>
      <c r="C1063" s="3">
        <f t="shared" si="4"/>
        <v>7.0386230863823552E-3</v>
      </c>
    </row>
    <row r="1064" spans="1:3" x14ac:dyDescent="0.25">
      <c r="A1064" s="6">
        <v>1062</v>
      </c>
      <c r="B1064" s="7">
        <v>151.88000488281199</v>
      </c>
      <c r="C1064" s="3">
        <f t="shared" si="4"/>
        <v>-1.3731928590301392E-2</v>
      </c>
    </row>
    <row r="1065" spans="1:3" x14ac:dyDescent="0.25">
      <c r="A1065" s="6">
        <v>1063</v>
      </c>
      <c r="B1065" s="7">
        <v>157</v>
      </c>
      <c r="C1065" s="3">
        <f t="shared" si="4"/>
        <v>3.315503783556295E-2</v>
      </c>
    </row>
    <row r="1066" spans="1:3" x14ac:dyDescent="0.25">
      <c r="A1066" s="6">
        <v>1064</v>
      </c>
      <c r="B1066" s="7">
        <v>155.78999328613199</v>
      </c>
      <c r="C1066" s="3">
        <f t="shared" si="4"/>
        <v>-7.7369019196005624E-3</v>
      </c>
    </row>
    <row r="1067" spans="1:3" x14ac:dyDescent="0.25">
      <c r="A1067" s="6">
        <v>1065</v>
      </c>
      <c r="B1067" s="7">
        <v>157.33999633789</v>
      </c>
      <c r="C1067" s="3">
        <f t="shared" si="4"/>
        <v>9.9001421972519498E-3</v>
      </c>
    </row>
    <row r="1068" spans="1:3" x14ac:dyDescent="0.25">
      <c r="A1068" s="6">
        <v>1066</v>
      </c>
      <c r="B1068" s="7">
        <v>156.36999511718699</v>
      </c>
      <c r="C1068" s="3">
        <f t="shared" si="4"/>
        <v>-6.1840829965627798E-3</v>
      </c>
    </row>
    <row r="1069" spans="1:3" x14ac:dyDescent="0.25">
      <c r="A1069" s="6">
        <v>1067</v>
      </c>
      <c r="B1069" s="7">
        <v>156.41000366210901</v>
      </c>
      <c r="C1069" s="3">
        <f t="shared" si="4"/>
        <v>2.5582547027532806E-4</v>
      </c>
    </row>
    <row r="1070" spans="1:3" x14ac:dyDescent="0.25">
      <c r="A1070" s="6">
        <v>1068</v>
      </c>
      <c r="B1070" s="7">
        <v>155.759994506835</v>
      </c>
      <c r="C1070" s="3">
        <f t="shared" si="4"/>
        <v>-4.1644623025813071E-3</v>
      </c>
    </row>
    <row r="1071" spans="1:3" x14ac:dyDescent="0.25">
      <c r="A1071" s="6">
        <v>1069</v>
      </c>
      <c r="B1071" s="7">
        <v>154.27000427246</v>
      </c>
      <c r="C1071" s="3">
        <f t="shared" si="4"/>
        <v>-9.611984078551938E-3</v>
      </c>
    </row>
    <row r="1072" spans="1:3" x14ac:dyDescent="0.25">
      <c r="A1072" s="6">
        <v>1070</v>
      </c>
      <c r="B1072" s="7">
        <v>156.97000122070301</v>
      </c>
      <c r="C1072" s="3">
        <f t="shared" si="4"/>
        <v>1.735037034524118E-2</v>
      </c>
    </row>
    <row r="1073" spans="1:3" x14ac:dyDescent="0.25">
      <c r="A1073" s="6">
        <v>1071</v>
      </c>
      <c r="B1073" s="7">
        <v>154.75</v>
      </c>
      <c r="C1073" s="3">
        <f t="shared" si="4"/>
        <v>-1.4243800499074486E-2</v>
      </c>
    </row>
    <row r="1074" spans="1:3" x14ac:dyDescent="0.25">
      <c r="A1074" s="6">
        <v>1072</v>
      </c>
      <c r="B1074" s="7">
        <v>156.55999755859301</v>
      </c>
      <c r="C1074" s="3">
        <f t="shared" si="4"/>
        <v>1.1628395929049021E-2</v>
      </c>
    </row>
    <row r="1075" spans="1:3" x14ac:dyDescent="0.25">
      <c r="A1075" s="6">
        <v>1073</v>
      </c>
      <c r="B1075" s="7">
        <v>157.47000122070301</v>
      </c>
      <c r="C1075" s="3">
        <f t="shared" si="4"/>
        <v>5.7956641905354172E-3</v>
      </c>
    </row>
    <row r="1076" spans="1:3" x14ac:dyDescent="0.25">
      <c r="A1076" s="6">
        <v>1074</v>
      </c>
      <c r="B1076" s="7">
        <v>159.53999328613199</v>
      </c>
      <c r="C1076" s="3">
        <f t="shared" si="4"/>
        <v>1.30596607160298E-2</v>
      </c>
    </row>
    <row r="1077" spans="1:3" x14ac:dyDescent="0.25">
      <c r="A1077" s="6">
        <v>1075</v>
      </c>
      <c r="B1077" s="7">
        <v>160.22999572753901</v>
      </c>
      <c r="C1077" s="3">
        <f t="shared" si="4"/>
        <v>4.3156239549174561E-3</v>
      </c>
    </row>
    <row r="1078" spans="1:3" x14ac:dyDescent="0.25">
      <c r="A1078" s="6">
        <v>1076</v>
      </c>
      <c r="B1078" s="7">
        <v>163.58000183105401</v>
      </c>
      <c r="C1078" s="3">
        <f t="shared" si="4"/>
        <v>2.0691922145220719E-2</v>
      </c>
    </row>
    <row r="1079" spans="1:3" x14ac:dyDescent="0.25">
      <c r="A1079" s="6">
        <v>1077</v>
      </c>
      <c r="B1079" s="7">
        <v>167.53999328613199</v>
      </c>
      <c r="C1079" s="3">
        <f t="shared" si="4"/>
        <v>2.3919910151980237E-2</v>
      </c>
    </row>
    <row r="1080" spans="1:3" x14ac:dyDescent="0.25">
      <c r="A1080" s="6">
        <v>1078</v>
      </c>
      <c r="B1080" s="7">
        <v>175.169998168945</v>
      </c>
      <c r="C1080" s="3">
        <f t="shared" si="4"/>
        <v>4.4534831858100442E-2</v>
      </c>
    </row>
    <row r="1081" spans="1:3" x14ac:dyDescent="0.25">
      <c r="A1081" s="6">
        <v>1079</v>
      </c>
      <c r="B1081" s="7">
        <v>167.24000549316401</v>
      </c>
      <c r="C1081" s="3">
        <f t="shared" si="4"/>
        <v>-4.6326981176181267E-2</v>
      </c>
    </row>
    <row r="1082" spans="1:3" x14ac:dyDescent="0.25">
      <c r="A1082" s="6">
        <v>1080</v>
      </c>
      <c r="B1082" s="7">
        <v>166.52000427246</v>
      </c>
      <c r="C1082" s="3">
        <f t="shared" si="4"/>
        <v>-4.3144913502446971E-3</v>
      </c>
    </row>
    <row r="1083" spans="1:3" x14ac:dyDescent="0.25">
      <c r="A1083" s="6">
        <v>1081</v>
      </c>
      <c r="B1083" s="7">
        <v>167.82000732421801</v>
      </c>
      <c r="C1083" s="3">
        <f t="shared" si="4"/>
        <v>7.7765721011060071E-3</v>
      </c>
    </row>
    <row r="1084" spans="1:3" x14ac:dyDescent="0.25">
      <c r="A1084" s="6">
        <v>1082</v>
      </c>
      <c r="B1084" s="7">
        <v>166.509994506835</v>
      </c>
      <c r="C1084" s="3">
        <f t="shared" si="4"/>
        <v>-7.8366853981946399E-3</v>
      </c>
    </row>
    <row r="1085" spans="1:3" x14ac:dyDescent="0.25">
      <c r="A1085" s="6">
        <v>1083</v>
      </c>
      <c r="B1085" s="7">
        <v>167.33999633789</v>
      </c>
      <c r="C1085" s="3">
        <f t="shared" si="4"/>
        <v>4.9723142961804728E-3</v>
      </c>
    </row>
    <row r="1086" spans="1:3" x14ac:dyDescent="0.25">
      <c r="A1086" s="6">
        <v>1084</v>
      </c>
      <c r="B1086" s="7">
        <v>167.13999938964801</v>
      </c>
      <c r="C1086" s="3">
        <f t="shared" si="4"/>
        <v>-1.1958680616555939E-3</v>
      </c>
    </row>
    <row r="1087" spans="1:3" x14ac:dyDescent="0.25">
      <c r="A1087" s="6">
        <v>1085</v>
      </c>
      <c r="B1087" s="7">
        <v>167.58000183105401</v>
      </c>
      <c r="C1087" s="3">
        <f t="shared" si="4"/>
        <v>2.6290791900382355E-3</v>
      </c>
    </row>
    <row r="1088" spans="1:3" x14ac:dyDescent="0.25">
      <c r="A1088" s="6">
        <v>1086</v>
      </c>
      <c r="B1088" s="7">
        <v>171.36000061035099</v>
      </c>
      <c r="C1088" s="3">
        <f t="shared" si="4"/>
        <v>2.2305750149656765E-2</v>
      </c>
    </row>
    <row r="1089" spans="1:3" x14ac:dyDescent="0.25">
      <c r="A1089" s="6">
        <v>1087</v>
      </c>
      <c r="B1089" s="7">
        <v>171.509994506835</v>
      </c>
      <c r="C1089" s="3">
        <f t="shared" si="4"/>
        <v>8.7493165449588925E-4</v>
      </c>
    </row>
    <row r="1090" spans="1:3" x14ac:dyDescent="0.25">
      <c r="A1090" s="6">
        <v>1088</v>
      </c>
      <c r="B1090" s="7">
        <v>178.07000732421801</v>
      </c>
      <c r="C1090" s="3">
        <f t="shared" si="4"/>
        <v>3.7535230628599162E-2</v>
      </c>
    </row>
    <row r="1091" spans="1:3" x14ac:dyDescent="0.25">
      <c r="A1091" s="6">
        <v>1089</v>
      </c>
      <c r="B1091" s="7">
        <v>171.71000671386699</v>
      </c>
      <c r="C1091" s="3">
        <f t="shared" si="4"/>
        <v>-3.6369726118593876E-2</v>
      </c>
    </row>
    <row r="1092" spans="1:3" x14ac:dyDescent="0.25">
      <c r="A1092" s="6">
        <v>1090</v>
      </c>
      <c r="B1092" s="7">
        <v>171.74000549316401</v>
      </c>
      <c r="C1092" s="3">
        <f t="shared" si="4"/>
        <v>1.746908039427144E-4</v>
      </c>
    </row>
    <row r="1093" spans="1:3" x14ac:dyDescent="0.25">
      <c r="A1093" s="6">
        <v>1091</v>
      </c>
      <c r="B1093" s="7">
        <v>172.66000366210901</v>
      </c>
      <c r="C1093" s="3">
        <f t="shared" si="4"/>
        <v>5.3426267876325612E-3</v>
      </c>
    </row>
    <row r="1094" spans="1:3" x14ac:dyDescent="0.25">
      <c r="A1094" s="6">
        <v>1092</v>
      </c>
      <c r="B1094" s="7">
        <v>169.64999389648401</v>
      </c>
      <c r="C1094" s="3">
        <f t="shared" si="4"/>
        <v>-1.7586908764188069E-2</v>
      </c>
    </row>
    <row r="1095" spans="1:3" x14ac:dyDescent="0.25">
      <c r="A1095" s="6">
        <v>1093</v>
      </c>
      <c r="B1095" s="7">
        <v>168.91000366210901</v>
      </c>
      <c r="C1095" s="3">
        <f t="shared" si="4"/>
        <v>-4.3714048800492901E-3</v>
      </c>
    </row>
    <row r="1096" spans="1:3" x14ac:dyDescent="0.25">
      <c r="A1096" s="6">
        <v>1094</v>
      </c>
      <c r="B1096" s="7">
        <v>170.69999694824199</v>
      </c>
      <c r="C1096" s="3">
        <f t="shared" si="4"/>
        <v>1.0541561549408494E-2</v>
      </c>
    </row>
    <row r="1097" spans="1:3" x14ac:dyDescent="0.25">
      <c r="A1097" s="6">
        <v>1095</v>
      </c>
      <c r="B1097" s="7">
        <v>165.14999389648401</v>
      </c>
      <c r="C1097" s="3">
        <f t="shared" si="4"/>
        <v>-3.3053497043102335E-2</v>
      </c>
    </row>
    <row r="1098" spans="1:3" x14ac:dyDescent="0.25">
      <c r="A1098" s="6">
        <v>1096</v>
      </c>
      <c r="B1098" s="7">
        <v>166.05999755859301</v>
      </c>
      <c r="C1098" s="3">
        <f t="shared" si="4"/>
        <v>5.4950392525377739E-3</v>
      </c>
    </row>
    <row r="1099" spans="1:3" x14ac:dyDescent="0.25">
      <c r="A1099" s="6">
        <v>1097</v>
      </c>
      <c r="B1099" s="7">
        <v>164.67999267578099</v>
      </c>
      <c r="C1099" s="3">
        <f t="shared" si="4"/>
        <v>-8.3450017056859189E-3</v>
      </c>
    </row>
    <row r="1100" spans="1:3" x14ac:dyDescent="0.25">
      <c r="A1100" s="6">
        <v>1098</v>
      </c>
      <c r="B1100" s="7">
        <v>162.69999694824199</v>
      </c>
      <c r="C1100" s="3">
        <f t="shared" si="4"/>
        <v>-1.2096156958213247E-2</v>
      </c>
    </row>
    <row r="1101" spans="1:3" x14ac:dyDescent="0.25">
      <c r="A1101" s="6">
        <v>1099</v>
      </c>
      <c r="B1101" s="7">
        <v>164.58000183105401</v>
      </c>
      <c r="C1101" s="3">
        <f t="shared" si="4"/>
        <v>1.1488789835155519E-2</v>
      </c>
    </row>
    <row r="1102" spans="1:3" x14ac:dyDescent="0.25">
      <c r="A1102" s="6">
        <v>1100</v>
      </c>
      <c r="B1102" s="7">
        <v>162.86000061035099</v>
      </c>
      <c r="C1102" s="3">
        <f t="shared" si="4"/>
        <v>-1.0505845516494781E-2</v>
      </c>
    </row>
    <row r="1103" spans="1:3" x14ac:dyDescent="0.25">
      <c r="A1103" s="6">
        <v>1101</v>
      </c>
      <c r="B1103" s="7">
        <v>162.38000488281199</v>
      </c>
      <c r="C1103" s="3">
        <f t="shared" si="4"/>
        <v>-2.9516422821093484E-3</v>
      </c>
    </row>
    <row r="1104" spans="1:3" x14ac:dyDescent="0.25">
      <c r="A1104" s="6">
        <v>1102</v>
      </c>
      <c r="B1104" s="7">
        <v>161.19999694824199</v>
      </c>
      <c r="C1104" s="3">
        <f t="shared" si="4"/>
        <v>-7.2934863635530228E-3</v>
      </c>
    </row>
    <row r="1105" spans="1:3" x14ac:dyDescent="0.25">
      <c r="A1105" s="6">
        <v>1103</v>
      </c>
      <c r="B1105" s="7">
        <v>161.86999511718699</v>
      </c>
      <c r="C1105" s="3">
        <f t="shared" si="4"/>
        <v>4.1477026398147043E-3</v>
      </c>
    </row>
    <row r="1106" spans="1:3" x14ac:dyDescent="0.25">
      <c r="A1106" s="6">
        <v>1104</v>
      </c>
      <c r="B1106" s="7">
        <v>165.08999633789</v>
      </c>
      <c r="C1106" s="3">
        <f t="shared" si="4"/>
        <v>1.9697243776429254E-2</v>
      </c>
    </row>
    <row r="1107" spans="1:3" x14ac:dyDescent="0.25">
      <c r="A1107" s="6">
        <v>1105</v>
      </c>
      <c r="B1107" s="7">
        <v>166.759994506835</v>
      </c>
      <c r="C1107" s="3">
        <f t="shared" si="4"/>
        <v>1.0064862514781888E-2</v>
      </c>
    </row>
    <row r="1108" spans="1:3" x14ac:dyDescent="0.25">
      <c r="A1108" s="6">
        <v>1106</v>
      </c>
      <c r="B1108" s="7">
        <v>166.75</v>
      </c>
      <c r="C1108" s="3">
        <f t="shared" si="4"/>
        <v>-5.993527631915333E-5</v>
      </c>
    </row>
    <row r="1109" spans="1:3" x14ac:dyDescent="0.25">
      <c r="A1109" s="6">
        <v>1107</v>
      </c>
      <c r="B1109" s="7">
        <v>164.27000427246</v>
      </c>
      <c r="C1109" s="3">
        <f t="shared" si="4"/>
        <v>-1.4984243233858937E-2</v>
      </c>
    </row>
    <row r="1110" spans="1:3" x14ac:dyDescent="0.25">
      <c r="A1110" s="6">
        <v>1108</v>
      </c>
      <c r="B1110" s="7">
        <v>161.94999694824199</v>
      </c>
      <c r="C1110" s="3">
        <f t="shared" si="4"/>
        <v>-1.4223814788364464E-2</v>
      </c>
    </row>
    <row r="1111" spans="1:3" x14ac:dyDescent="0.25">
      <c r="A1111" s="6">
        <v>1109</v>
      </c>
      <c r="B1111" s="7">
        <v>164.11000061035099</v>
      </c>
      <c r="C1111" s="3">
        <f t="shared" si="4"/>
        <v>1.3249311637184498E-2</v>
      </c>
    </row>
    <row r="1112" spans="1:3" x14ac:dyDescent="0.25">
      <c r="A1112" s="6">
        <v>1110</v>
      </c>
      <c r="B1112" s="7">
        <v>162.22000122070301</v>
      </c>
      <c r="C1112" s="3">
        <f t="shared" si="4"/>
        <v>-1.1583492243510988E-2</v>
      </c>
    </row>
    <row r="1113" spans="1:3" x14ac:dyDescent="0.25">
      <c r="A1113" s="6">
        <v>1111</v>
      </c>
      <c r="B1113" s="7">
        <v>161.86999511718699</v>
      </c>
      <c r="C1113" s="3">
        <f t="shared" si="4"/>
        <v>-2.1599323863422345E-3</v>
      </c>
    </row>
    <row r="1114" spans="1:3" x14ac:dyDescent="0.25">
      <c r="A1114" s="6">
        <v>1112</v>
      </c>
      <c r="B1114" s="7">
        <v>158.16000366210901</v>
      </c>
      <c r="C1114" s="3">
        <f t="shared" si="4"/>
        <v>-2.3186311764022353E-2</v>
      </c>
    </row>
    <row r="1115" spans="1:3" x14ac:dyDescent="0.25">
      <c r="A1115" s="6">
        <v>1113</v>
      </c>
      <c r="B1115" s="7">
        <v>160.16000366210901</v>
      </c>
      <c r="C1115" s="3">
        <f t="shared" si="4"/>
        <v>1.2566136415407428E-2</v>
      </c>
    </row>
    <row r="1116" spans="1:3" x14ac:dyDescent="0.25">
      <c r="A1116" s="6">
        <v>1114</v>
      </c>
      <c r="B1116" s="7">
        <v>160.16000366210901</v>
      </c>
      <c r="C1116" s="3">
        <f t="shared" si="4"/>
        <v>0</v>
      </c>
    </row>
    <row r="1117" spans="1:3" x14ac:dyDescent="0.25">
      <c r="A1117" s="6">
        <v>1115</v>
      </c>
      <c r="B1117" s="7">
        <v>160.32000732421801</v>
      </c>
      <c r="C1117" s="3">
        <f t="shared" si="4"/>
        <v>9.985251492652628E-4</v>
      </c>
    </row>
    <row r="1118" spans="1:3" x14ac:dyDescent="0.25">
      <c r="A1118" s="6">
        <v>1116</v>
      </c>
      <c r="B1118" s="7">
        <v>157.74000549316401</v>
      </c>
      <c r="C1118" s="3">
        <f t="shared" si="4"/>
        <v>-1.6223720787480876E-2</v>
      </c>
    </row>
    <row r="1119" spans="1:3" x14ac:dyDescent="0.25">
      <c r="A1119" s="6">
        <v>1117</v>
      </c>
      <c r="B1119" s="7">
        <v>155.02000427246</v>
      </c>
      <c r="C1119" s="3">
        <f t="shared" si="4"/>
        <v>-1.739397437994385E-2</v>
      </c>
    </row>
    <row r="1120" spans="1:3" x14ac:dyDescent="0.25">
      <c r="A1120" s="6">
        <v>1118</v>
      </c>
      <c r="B1120" s="7">
        <v>158.91000366210901</v>
      </c>
      <c r="C1120" s="3">
        <f t="shared" si="4"/>
        <v>2.4783858855654477E-2</v>
      </c>
    </row>
    <row r="1121" spans="1:3" x14ac:dyDescent="0.25">
      <c r="A1121" s="6">
        <v>1119</v>
      </c>
      <c r="B1121" s="7">
        <v>157.57000732421801</v>
      </c>
      <c r="C1121" s="3">
        <f t="shared" si="4"/>
        <v>-8.4681768134555243E-3</v>
      </c>
    </row>
    <row r="1122" spans="1:3" x14ac:dyDescent="0.25">
      <c r="A1122" s="6">
        <v>1120</v>
      </c>
      <c r="B1122" s="7">
        <v>156.47999572753901</v>
      </c>
      <c r="C1122" s="3">
        <f t="shared" si="4"/>
        <v>-6.9416714733185137E-3</v>
      </c>
    </row>
    <row r="1123" spans="1:3" x14ac:dyDescent="0.25">
      <c r="A1123" s="6">
        <v>1121</v>
      </c>
      <c r="B1123" s="7">
        <v>155.759994506835</v>
      </c>
      <c r="C1123" s="3">
        <f t="shared" si="4"/>
        <v>-4.6118531858565523E-3</v>
      </c>
    </row>
    <row r="1124" spans="1:3" x14ac:dyDescent="0.25">
      <c r="A1124" s="6">
        <v>1122</v>
      </c>
      <c r="B1124" s="7">
        <v>154.350006103515</v>
      </c>
      <c r="C1124" s="3">
        <f t="shared" si="4"/>
        <v>-9.0935353055801842E-3</v>
      </c>
    </row>
    <row r="1125" spans="1:3" x14ac:dyDescent="0.25">
      <c r="A1125" s="6">
        <v>1123</v>
      </c>
      <c r="B1125" s="7">
        <v>156.27000427246</v>
      </c>
      <c r="C1125" s="3">
        <f t="shared" si="4"/>
        <v>1.2362517273943304E-2</v>
      </c>
    </row>
    <row r="1126" spans="1:3" x14ac:dyDescent="0.25">
      <c r="A1126" s="6">
        <v>1124</v>
      </c>
      <c r="B1126" s="7">
        <v>161.94000244140599</v>
      </c>
      <c r="C1126" s="3">
        <f t="shared" si="4"/>
        <v>3.5640603568505368E-2</v>
      </c>
    </row>
    <row r="1127" spans="1:3" x14ac:dyDescent="0.25">
      <c r="A1127" s="6">
        <v>1125</v>
      </c>
      <c r="B1127" s="7">
        <v>159</v>
      </c>
      <c r="C1127" s="3">
        <f t="shared" si="4"/>
        <v>-1.8321709113727692E-2</v>
      </c>
    </row>
    <row r="1128" spans="1:3" x14ac:dyDescent="0.25">
      <c r="A1128" s="6">
        <v>1126</v>
      </c>
      <c r="B1128" s="7">
        <v>158.919998168945</v>
      </c>
      <c r="C1128" s="3">
        <f t="shared" si="4"/>
        <v>-5.0328279569979552E-4</v>
      </c>
    </row>
    <row r="1129" spans="1:3" x14ac:dyDescent="0.25">
      <c r="A1129" s="6">
        <v>1127</v>
      </c>
      <c r="B1129" s="7">
        <v>156.28999328613199</v>
      </c>
      <c r="C1129" s="3">
        <f t="shared" si="4"/>
        <v>-1.6687706528188611E-2</v>
      </c>
    </row>
    <row r="1130" spans="1:3" x14ac:dyDescent="0.25">
      <c r="A1130" s="6">
        <v>1128</v>
      </c>
      <c r="B1130" s="7">
        <v>159.44999694824199</v>
      </c>
      <c r="C1130" s="3">
        <f t="shared" si="4"/>
        <v>2.0017161420444372E-2</v>
      </c>
    </row>
    <row r="1131" spans="1:3" x14ac:dyDescent="0.25">
      <c r="A1131" s="6">
        <v>1129</v>
      </c>
      <c r="B1131" s="7">
        <v>160.19999694824199</v>
      </c>
      <c r="C1131" s="3">
        <f t="shared" si="4"/>
        <v>4.6926412677956364E-3</v>
      </c>
    </row>
    <row r="1132" spans="1:3" x14ac:dyDescent="0.25">
      <c r="A1132" s="6">
        <v>1130</v>
      </c>
      <c r="B1132" s="7">
        <v>162.94999694824199</v>
      </c>
      <c r="C1132" s="3">
        <f t="shared" si="4"/>
        <v>1.702037097080053E-2</v>
      </c>
    </row>
    <row r="1133" spans="1:3" x14ac:dyDescent="0.25">
      <c r="A1133" s="6">
        <v>1131</v>
      </c>
      <c r="B1133" s="7">
        <v>160.509994506835</v>
      </c>
      <c r="C1133" s="3">
        <f t="shared" si="4"/>
        <v>-1.5087174853452751E-2</v>
      </c>
    </row>
    <row r="1134" spans="1:3" x14ac:dyDescent="0.25">
      <c r="A1134" s="6">
        <v>1132</v>
      </c>
      <c r="B1134" s="7">
        <v>163.33000183105401</v>
      </c>
      <c r="C1134" s="3">
        <f t="shared" si="4"/>
        <v>1.741649357388041E-2</v>
      </c>
    </row>
    <row r="1135" spans="1:3" x14ac:dyDescent="0.25">
      <c r="A1135" s="6">
        <v>1133</v>
      </c>
      <c r="B1135" s="7">
        <v>169.58000183105401</v>
      </c>
      <c r="C1135" s="3">
        <f t="shared" si="4"/>
        <v>3.7552097397627805E-2</v>
      </c>
    </row>
    <row r="1136" spans="1:3" x14ac:dyDescent="0.25">
      <c r="A1136" s="6">
        <v>1134</v>
      </c>
      <c r="B1136" s="7">
        <v>170.66000366210901</v>
      </c>
      <c r="C1136" s="3">
        <f t="shared" si="4"/>
        <v>6.3484918935075452E-3</v>
      </c>
    </row>
    <row r="1137" spans="1:3" x14ac:dyDescent="0.25">
      <c r="A1137" s="6">
        <v>1135</v>
      </c>
      <c r="B1137" s="7">
        <v>171.100006103515</v>
      </c>
      <c r="C1137" s="3">
        <f t="shared" si="4"/>
        <v>2.5749220034095954E-3</v>
      </c>
    </row>
    <row r="1138" spans="1:3" x14ac:dyDescent="0.25">
      <c r="A1138" s="6">
        <v>1136</v>
      </c>
      <c r="B1138" s="7">
        <v>169.58999633789</v>
      </c>
      <c r="C1138" s="3">
        <f t="shared" si="4"/>
        <v>-8.8644788089504156E-3</v>
      </c>
    </row>
    <row r="1139" spans="1:3" x14ac:dyDescent="0.25">
      <c r="A1139" s="6">
        <v>1137</v>
      </c>
      <c r="B1139" s="7">
        <v>165.77000427246</v>
      </c>
      <c r="C1139" s="3">
        <f t="shared" si="4"/>
        <v>-2.2782426551210651E-2</v>
      </c>
    </row>
    <row r="1140" spans="1:3" x14ac:dyDescent="0.25">
      <c r="A1140" s="6">
        <v>1138</v>
      </c>
      <c r="B1140" s="7">
        <v>167.22000122070301</v>
      </c>
      <c r="C1140" s="3">
        <f t="shared" si="4"/>
        <v>8.7090068116985695E-3</v>
      </c>
    </row>
    <row r="1141" spans="1:3" x14ac:dyDescent="0.25">
      <c r="A1141" s="6">
        <v>1139</v>
      </c>
      <c r="B1141" s="7">
        <v>164.100006103515</v>
      </c>
      <c r="C1141" s="3">
        <f t="shared" si="4"/>
        <v>-1.8834282731973778E-2</v>
      </c>
    </row>
    <row r="1142" spans="1:3" x14ac:dyDescent="0.25">
      <c r="A1142" s="6">
        <v>1140</v>
      </c>
      <c r="B1142" s="7">
        <v>168.46000671386699</v>
      </c>
      <c r="C1142" s="3">
        <f t="shared" si="4"/>
        <v>2.6222337451665551E-2</v>
      </c>
    </row>
    <row r="1143" spans="1:3" x14ac:dyDescent="0.25">
      <c r="A1143" s="6">
        <v>1141</v>
      </c>
      <c r="B1143" s="7">
        <v>167.919998168945</v>
      </c>
      <c r="C1143" s="3">
        <f t="shared" si="4"/>
        <v>-3.2107081335377235E-3</v>
      </c>
    </row>
    <row r="1144" spans="1:3" x14ac:dyDescent="0.25">
      <c r="A1144" s="6">
        <v>1142</v>
      </c>
      <c r="B1144" s="7">
        <v>169.94999694824199</v>
      </c>
      <c r="C1144" s="3">
        <f t="shared" si="4"/>
        <v>1.2016593577277693E-2</v>
      </c>
    </row>
    <row r="1145" spans="1:3" x14ac:dyDescent="0.25">
      <c r="A1145" s="6">
        <v>1143</v>
      </c>
      <c r="B1145" s="7">
        <v>168.19999694824199</v>
      </c>
      <c r="C1145" s="3">
        <f t="shared" si="4"/>
        <v>-1.0350528790104872E-2</v>
      </c>
    </row>
    <row r="1146" spans="1:3" x14ac:dyDescent="0.25">
      <c r="A1146" s="6">
        <v>1144</v>
      </c>
      <c r="B1146" s="7">
        <v>169.77000427246</v>
      </c>
      <c r="C1146" s="3">
        <f t="shared" si="4"/>
        <v>9.2908755934870534E-3</v>
      </c>
    </row>
    <row r="1147" spans="1:3" x14ac:dyDescent="0.25">
      <c r="A1147" s="6">
        <v>1145</v>
      </c>
      <c r="B1147" s="7">
        <v>169.36999511718699</v>
      </c>
      <c r="C1147" s="3">
        <f t="shared" si="4"/>
        <v>-2.3589629149456557E-3</v>
      </c>
    </row>
    <row r="1148" spans="1:3" x14ac:dyDescent="0.25">
      <c r="A1148" s="6">
        <v>1146</v>
      </c>
      <c r="B1148" s="7">
        <v>167.509994506835</v>
      </c>
      <c r="C1148" s="3">
        <f t="shared" si="4"/>
        <v>-1.1042623891224559E-2</v>
      </c>
    </row>
    <row r="1149" spans="1:3" x14ac:dyDescent="0.25">
      <c r="A1149" s="6">
        <v>1147</v>
      </c>
      <c r="B1149" s="7">
        <v>163.759994506835</v>
      </c>
      <c r="C1149" s="3">
        <f t="shared" si="4"/>
        <v>-2.2641110373501392E-2</v>
      </c>
    </row>
    <row r="1150" spans="1:3" x14ac:dyDescent="0.25">
      <c r="A1150" s="6">
        <v>1148</v>
      </c>
      <c r="B1150" s="7">
        <v>162.009994506835</v>
      </c>
      <c r="C1150" s="3">
        <f t="shared" si="4"/>
        <v>-1.0743879993042858E-2</v>
      </c>
    </row>
    <row r="1151" spans="1:3" x14ac:dyDescent="0.25">
      <c r="A1151" s="6">
        <v>1149</v>
      </c>
      <c r="B1151" s="7">
        <v>161.05000305175699</v>
      </c>
      <c r="C1151" s="3">
        <f t="shared" si="4"/>
        <v>-5.9431330896581635E-3</v>
      </c>
    </row>
    <row r="1152" spans="1:3" x14ac:dyDescent="0.25">
      <c r="A1152" s="6">
        <v>1150</v>
      </c>
      <c r="B1152" s="7">
        <v>161.47000122070301</v>
      </c>
      <c r="C1152" s="3">
        <f t="shared" si="4"/>
        <v>2.6044797271314035E-3</v>
      </c>
    </row>
    <row r="1153" spans="1:3" x14ac:dyDescent="0.25">
      <c r="A1153" s="6">
        <v>1151</v>
      </c>
      <c r="B1153" s="7">
        <v>159.58000183105401</v>
      </c>
      <c r="C1153" s="3">
        <f t="shared" si="4"/>
        <v>-1.1773999099124377E-2</v>
      </c>
    </row>
    <row r="1154" spans="1:3" x14ac:dyDescent="0.25">
      <c r="A1154" s="6">
        <v>1152</v>
      </c>
      <c r="B1154" s="7">
        <v>161.13000488281199</v>
      </c>
      <c r="C1154" s="3">
        <f t="shared" si="4"/>
        <v>9.6661475346910396E-3</v>
      </c>
    </row>
    <row r="1155" spans="1:3" x14ac:dyDescent="0.25">
      <c r="A1155" s="6">
        <v>1153</v>
      </c>
      <c r="B1155" s="7">
        <v>158.07000732421801</v>
      </c>
      <c r="C1155" s="3">
        <f t="shared" si="4"/>
        <v>-1.9173503664448394E-2</v>
      </c>
    </row>
    <row r="1156" spans="1:3" x14ac:dyDescent="0.25">
      <c r="A1156" s="6">
        <v>1154</v>
      </c>
      <c r="B1156" s="7">
        <v>155.33999633789</v>
      </c>
      <c r="C1156" s="3">
        <f t="shared" si="4"/>
        <v>-1.7421779807887557E-2</v>
      </c>
    </row>
    <row r="1157" spans="1:3" x14ac:dyDescent="0.25">
      <c r="A1157" s="6">
        <v>1155</v>
      </c>
      <c r="B1157" s="7">
        <v>157.97999572753901</v>
      </c>
      <c r="C1157" s="3">
        <f t="shared" si="4"/>
        <v>1.6852176275259735E-2</v>
      </c>
    </row>
    <row r="1158" spans="1:3" x14ac:dyDescent="0.25">
      <c r="A1158" s="6">
        <v>1156</v>
      </c>
      <c r="B1158" s="7">
        <v>160.19000244140599</v>
      </c>
      <c r="C1158" s="3">
        <f t="shared" si="4"/>
        <v>1.3892210262124208E-2</v>
      </c>
    </row>
    <row r="1159" spans="1:3" x14ac:dyDescent="0.25">
      <c r="A1159" s="6">
        <v>1157</v>
      </c>
      <c r="B1159" s="7">
        <v>161.14999389648401</v>
      </c>
      <c r="C1159" s="3">
        <f t="shared" si="4"/>
        <v>5.9749444326147047E-3</v>
      </c>
    </row>
    <row r="1160" spans="1:3" x14ac:dyDescent="0.25">
      <c r="A1160" s="6">
        <v>1158</v>
      </c>
      <c r="B1160" s="7">
        <v>158.44999694824199</v>
      </c>
      <c r="C1160" s="3">
        <f t="shared" si="4"/>
        <v>-1.6896503509835844E-2</v>
      </c>
    </row>
    <row r="1161" spans="1:3" x14ac:dyDescent="0.25">
      <c r="A1161" s="6">
        <v>1159</v>
      </c>
      <c r="B1161" s="7">
        <v>156.88000488281199</v>
      </c>
      <c r="C1161" s="3">
        <f t="shared" si="4"/>
        <v>-9.9578538642669575E-3</v>
      </c>
    </row>
    <row r="1162" spans="1:3" x14ac:dyDescent="0.25">
      <c r="A1162" s="6">
        <v>1160</v>
      </c>
      <c r="B1162" s="7">
        <v>161.99000549316401</v>
      </c>
      <c r="C1162" s="3">
        <f t="shared" si="4"/>
        <v>3.2053425829965919E-2</v>
      </c>
    </row>
    <row r="1163" spans="1:3" x14ac:dyDescent="0.25">
      <c r="A1163" s="6">
        <v>1161</v>
      </c>
      <c r="B1163" s="7">
        <v>163.259994506835</v>
      </c>
      <c r="C1163" s="3">
        <f t="shared" si="4"/>
        <v>7.8093495339211566E-3</v>
      </c>
    </row>
    <row r="1164" spans="1:3" x14ac:dyDescent="0.25">
      <c r="A1164" s="6">
        <v>1162</v>
      </c>
      <c r="B1164" s="7">
        <v>165.36999511718699</v>
      </c>
      <c r="C1164" s="3">
        <f t="shared" si="4"/>
        <v>1.2841369759029284E-2</v>
      </c>
    </row>
    <row r="1165" spans="1:3" x14ac:dyDescent="0.25">
      <c r="A1165" s="6">
        <v>1163</v>
      </c>
      <c r="B1165" s="7">
        <v>165.509994506835</v>
      </c>
      <c r="C1165" s="3">
        <f t="shared" si="4"/>
        <v>8.4622462761510455E-4</v>
      </c>
    </row>
    <row r="1166" spans="1:3" x14ac:dyDescent="0.25">
      <c r="A1166" s="6">
        <v>1164</v>
      </c>
      <c r="B1166" s="7">
        <v>161.66000366210901</v>
      </c>
      <c r="C1166" s="3">
        <f t="shared" si="4"/>
        <v>-2.3536195804271739E-2</v>
      </c>
    </row>
    <row r="1167" spans="1:3" x14ac:dyDescent="0.25">
      <c r="A1167" s="6">
        <v>1165</v>
      </c>
      <c r="B1167" s="7">
        <v>161.96000671386699</v>
      </c>
      <c r="C1167" s="3">
        <f t="shared" si="4"/>
        <v>1.8540456589654585E-3</v>
      </c>
    </row>
    <row r="1168" spans="1:3" x14ac:dyDescent="0.25">
      <c r="A1168" s="6">
        <v>1166</v>
      </c>
      <c r="B1168" s="7">
        <v>161.67999267578099</v>
      </c>
      <c r="C1168" s="3">
        <f t="shared" si="4"/>
        <v>-1.7304048231652474E-3</v>
      </c>
    </row>
    <row r="1169" spans="1:3" x14ac:dyDescent="0.25">
      <c r="A1169" s="6">
        <v>1167</v>
      </c>
      <c r="B1169" s="7">
        <v>158.22999572753901</v>
      </c>
      <c r="C1169" s="3">
        <f t="shared" si="4"/>
        <v>-2.1569384065347964E-2</v>
      </c>
    </row>
    <row r="1170" spans="1:3" x14ac:dyDescent="0.25">
      <c r="A1170" s="6">
        <v>1168</v>
      </c>
      <c r="B1170" s="7">
        <v>156.77000427246</v>
      </c>
      <c r="C1170" s="3">
        <f t="shared" si="4"/>
        <v>-9.2698533958200467E-3</v>
      </c>
    </row>
    <row r="1171" spans="1:3" x14ac:dyDescent="0.25">
      <c r="A1171" s="6">
        <v>1169</v>
      </c>
      <c r="B1171" s="7">
        <v>156.49000549316401</v>
      </c>
      <c r="C1171" s="3">
        <f t="shared" si="4"/>
        <v>-1.7876450560727777E-3</v>
      </c>
    </row>
    <row r="1172" spans="1:3" x14ac:dyDescent="0.25">
      <c r="A1172" s="6">
        <v>1170</v>
      </c>
      <c r="B1172" s="7">
        <v>157.600006103515</v>
      </c>
      <c r="C1172" s="3">
        <f t="shared" si="4"/>
        <v>7.0680708742526894E-3</v>
      </c>
    </row>
    <row r="1173" spans="1:3" x14ac:dyDescent="0.25">
      <c r="A1173" s="6">
        <v>1171</v>
      </c>
      <c r="B1173" s="7">
        <v>156.78999328613199</v>
      </c>
      <c r="C1173" s="3">
        <f t="shared" si="4"/>
        <v>-5.152928600073557E-3</v>
      </c>
    </row>
    <row r="1174" spans="1:3" x14ac:dyDescent="0.25">
      <c r="A1174" s="6">
        <v>1172</v>
      </c>
      <c r="B1174" s="7">
        <v>155.36000061035099</v>
      </c>
      <c r="C1174" s="3">
        <f t="shared" si="4"/>
        <v>-9.1622790799528609E-3</v>
      </c>
    </row>
    <row r="1175" spans="1:3" x14ac:dyDescent="0.25">
      <c r="A1175" s="6">
        <v>1173</v>
      </c>
      <c r="B1175" s="7">
        <v>151.58000183105401</v>
      </c>
      <c r="C1175" s="3">
        <f t="shared" si="4"/>
        <v>-2.4631458007969283E-2</v>
      </c>
    </row>
    <row r="1176" spans="1:3" x14ac:dyDescent="0.25">
      <c r="A1176" s="6">
        <v>1174</v>
      </c>
      <c r="B1176" s="7">
        <v>151.99000549316401</v>
      </c>
      <c r="C1176" s="3">
        <f t="shared" si="4"/>
        <v>2.7012148863145807E-3</v>
      </c>
    </row>
    <row r="1177" spans="1:3" x14ac:dyDescent="0.25">
      <c r="A1177" s="6">
        <v>1175</v>
      </c>
      <c r="B1177" s="7">
        <v>154.57000732421801</v>
      </c>
      <c r="C1177" s="3">
        <f t="shared" si="4"/>
        <v>1.6832350198715332E-2</v>
      </c>
    </row>
    <row r="1178" spans="1:3" x14ac:dyDescent="0.25">
      <c r="A1178" s="6">
        <v>1176</v>
      </c>
      <c r="B1178" s="7">
        <v>153.47999572753901</v>
      </c>
      <c r="C1178" s="3">
        <f t="shared" si="4"/>
        <v>-7.0768780071970658E-3</v>
      </c>
    </row>
    <row r="1179" spans="1:3" x14ac:dyDescent="0.25">
      <c r="A1179" s="6">
        <v>1177</v>
      </c>
      <c r="B1179" s="7">
        <v>156.49000549316401</v>
      </c>
      <c r="C1179" s="3">
        <f t="shared" si="4"/>
        <v>1.9421907735910279E-2</v>
      </c>
    </row>
    <row r="1180" spans="1:3" x14ac:dyDescent="0.25">
      <c r="A1180" s="6">
        <v>1178</v>
      </c>
      <c r="B1180" s="7">
        <v>157.36000061035099</v>
      </c>
      <c r="C1180" s="3">
        <f t="shared" si="4"/>
        <v>5.544032682083427E-3</v>
      </c>
    </row>
    <row r="1181" spans="1:3" x14ac:dyDescent="0.25">
      <c r="A1181" s="6">
        <v>1179</v>
      </c>
      <c r="B1181" s="7">
        <v>152.27999877929599</v>
      </c>
      <c r="C1181" s="3">
        <f t="shared" si="4"/>
        <v>-3.2815254461379964E-2</v>
      </c>
    </row>
    <row r="1182" spans="1:3" x14ac:dyDescent="0.25">
      <c r="A1182" s="6">
        <v>1180</v>
      </c>
      <c r="B1182" s="7">
        <v>148.47999572753901</v>
      </c>
      <c r="C1182" s="3">
        <f t="shared" si="4"/>
        <v>-2.5270683234882314E-2</v>
      </c>
    </row>
    <row r="1183" spans="1:3" x14ac:dyDescent="0.25">
      <c r="A1183" s="6">
        <v>1181</v>
      </c>
      <c r="B1183" s="7">
        <v>152.47000122070301</v>
      </c>
      <c r="C1183" s="3">
        <f t="shared" si="4"/>
        <v>2.6517623126767028E-2</v>
      </c>
    </row>
    <row r="1184" spans="1:3" x14ac:dyDescent="0.25">
      <c r="A1184" s="6">
        <v>1182</v>
      </c>
      <c r="B1184" s="7">
        <v>153.78999328613199</v>
      </c>
      <c r="C1184" s="3">
        <f t="shared" si="4"/>
        <v>8.620128405754034E-3</v>
      </c>
    </row>
    <row r="1185" spans="1:3" x14ac:dyDescent="0.25">
      <c r="A1185" s="6">
        <v>1183</v>
      </c>
      <c r="B1185" s="7">
        <v>148.41000366210901</v>
      </c>
      <c r="C1185" s="3">
        <f t="shared" si="4"/>
        <v>-3.5609253212406364E-2</v>
      </c>
    </row>
    <row r="1186" spans="1:3" x14ac:dyDescent="0.25">
      <c r="A1186" s="6">
        <v>1184</v>
      </c>
      <c r="B1186" s="7">
        <v>150.80000305175699</v>
      </c>
      <c r="C1186" s="3">
        <f t="shared" si="4"/>
        <v>1.5975737227622636E-2</v>
      </c>
    </row>
    <row r="1187" spans="1:3" x14ac:dyDescent="0.25">
      <c r="A1187" s="6">
        <v>1185</v>
      </c>
      <c r="B1187" s="7">
        <v>149.30000305175699</v>
      </c>
      <c r="C1187" s="3">
        <f t="shared" si="4"/>
        <v>-9.9967508253909782E-3</v>
      </c>
    </row>
    <row r="1188" spans="1:3" x14ac:dyDescent="0.25">
      <c r="A1188" s="6">
        <v>1186</v>
      </c>
      <c r="B1188" s="7">
        <v>151.72000122070301</v>
      </c>
      <c r="C1188" s="3">
        <f t="shared" si="4"/>
        <v>1.6078999880880313E-2</v>
      </c>
    </row>
    <row r="1189" spans="1:3" x14ac:dyDescent="0.25">
      <c r="A1189" s="6">
        <v>1187</v>
      </c>
      <c r="B1189" s="7">
        <v>153.49000549316401</v>
      </c>
      <c r="C1189" s="3">
        <f t="shared" si="4"/>
        <v>1.1598729247272212E-2</v>
      </c>
    </row>
    <row r="1190" spans="1:3" x14ac:dyDescent="0.25">
      <c r="A1190" s="6">
        <v>1188</v>
      </c>
      <c r="B1190" s="7">
        <v>157.94000244140599</v>
      </c>
      <c r="C1190" s="3">
        <f t="shared" si="4"/>
        <v>2.8579775413509274E-2</v>
      </c>
    </row>
    <row r="1191" spans="1:3" x14ac:dyDescent="0.25">
      <c r="A1191" s="6">
        <v>1189</v>
      </c>
      <c r="B1191" s="7">
        <v>153.22999572753901</v>
      </c>
      <c r="C1191" s="3">
        <f t="shared" si="4"/>
        <v>-3.0275196819823526E-2</v>
      </c>
    </row>
    <row r="1192" spans="1:3" x14ac:dyDescent="0.25">
      <c r="A1192" s="6">
        <v>1190</v>
      </c>
      <c r="B1192" s="7">
        <v>155.55999755859301</v>
      </c>
      <c r="C1192" s="3">
        <f t="shared" si="4"/>
        <v>1.509146088581767E-2</v>
      </c>
    </row>
    <row r="1193" spans="1:3" x14ac:dyDescent="0.25">
      <c r="A1193" s="6">
        <v>1191</v>
      </c>
      <c r="B1193" s="7">
        <v>155.88000488281199</v>
      </c>
      <c r="C1193" s="3">
        <f t="shared" si="4"/>
        <v>2.0550182014446505E-3</v>
      </c>
    </row>
    <row r="1194" spans="1:3" x14ac:dyDescent="0.25">
      <c r="A1194" s="6">
        <v>1192</v>
      </c>
      <c r="B1194" s="7">
        <v>154.47999572753901</v>
      </c>
      <c r="C1194" s="3">
        <f t="shared" si="4"/>
        <v>-9.0219013314711289E-3</v>
      </c>
    </row>
    <row r="1195" spans="1:3" x14ac:dyDescent="0.25">
      <c r="A1195" s="6">
        <v>1193</v>
      </c>
      <c r="B1195" s="7">
        <v>160.100006103515</v>
      </c>
      <c r="C1195" s="3">
        <f t="shared" si="4"/>
        <v>3.573404766260084E-2</v>
      </c>
    </row>
    <row r="1196" spans="1:3" x14ac:dyDescent="0.25">
      <c r="A1196" s="6">
        <v>1194</v>
      </c>
      <c r="B1196" s="7">
        <v>165.67999267578099</v>
      </c>
      <c r="C1196" s="3">
        <f t="shared" si="4"/>
        <v>3.4259514754498156E-2</v>
      </c>
    </row>
    <row r="1197" spans="1:3" x14ac:dyDescent="0.25">
      <c r="A1197" s="6">
        <v>1195</v>
      </c>
      <c r="B1197" s="7">
        <v>160</v>
      </c>
      <c r="C1197" s="3">
        <f t="shared" si="4"/>
        <v>-3.4884357646481248E-2</v>
      </c>
    </row>
    <row r="1198" spans="1:3" x14ac:dyDescent="0.25">
      <c r="A1198" s="6">
        <v>1196</v>
      </c>
      <c r="B1198" s="7">
        <v>157.19999694824199</v>
      </c>
      <c r="C1198" s="3">
        <f t="shared" si="4"/>
        <v>-1.7654954651939798E-2</v>
      </c>
    </row>
    <row r="1199" spans="1:3" x14ac:dyDescent="0.25">
      <c r="A1199" s="6">
        <v>1197</v>
      </c>
      <c r="B1199" s="7">
        <v>156.86999511718699</v>
      </c>
      <c r="C1199" s="3">
        <f t="shared" si="4"/>
        <v>-2.1014548402320207E-3</v>
      </c>
    </row>
    <row r="1200" spans="1:3" x14ac:dyDescent="0.25">
      <c r="A1200" s="6">
        <v>1198</v>
      </c>
      <c r="B1200" s="7">
        <v>161.509994506835</v>
      </c>
      <c r="C1200" s="3">
        <f t="shared" si="4"/>
        <v>2.9149620497466402E-2</v>
      </c>
    </row>
    <row r="1201" spans="1:3" x14ac:dyDescent="0.25">
      <c r="A1201" s="6">
        <v>1199</v>
      </c>
      <c r="B1201" s="7">
        <v>163.86999511718699</v>
      </c>
      <c r="C1201" s="3">
        <f t="shared" si="4"/>
        <v>1.4506374522141109E-2</v>
      </c>
    </row>
    <row r="1202" spans="1:3" x14ac:dyDescent="0.25">
      <c r="A1202" s="6">
        <v>1200</v>
      </c>
      <c r="B1202" s="7">
        <v>166.64999389648401</v>
      </c>
      <c r="C1202" s="3">
        <f t="shared" si="4"/>
        <v>1.6822367367726802E-2</v>
      </c>
    </row>
    <row r="1203" spans="1:3" x14ac:dyDescent="0.25">
      <c r="A1203" s="6">
        <v>1201</v>
      </c>
      <c r="B1203" s="7">
        <v>168.33999633789</v>
      </c>
      <c r="C1203" s="3">
        <f t="shared" si="4"/>
        <v>1.0089953900192771E-2</v>
      </c>
    </row>
    <row r="1204" spans="1:3" x14ac:dyDescent="0.25">
      <c r="A1204" s="6">
        <v>1202</v>
      </c>
      <c r="B1204" s="7">
        <v>165.89999389648401</v>
      </c>
      <c r="C1204" s="3">
        <f t="shared" si="4"/>
        <v>-1.4600561623115817E-2</v>
      </c>
    </row>
    <row r="1205" spans="1:3" x14ac:dyDescent="0.25">
      <c r="A1205" s="6">
        <v>1203</v>
      </c>
      <c r="B1205" s="7">
        <v>167.38999938964801</v>
      </c>
      <c r="C1205" s="3">
        <f t="shared" si="4"/>
        <v>8.9412550621748178E-3</v>
      </c>
    </row>
    <row r="1206" spans="1:3" x14ac:dyDescent="0.25">
      <c r="A1206" s="6">
        <v>1204</v>
      </c>
      <c r="B1206" s="7">
        <v>165.22999572753901</v>
      </c>
      <c r="C1206" s="3">
        <f t="shared" si="4"/>
        <v>-1.2987998663001436E-2</v>
      </c>
    </row>
    <row r="1207" spans="1:3" x14ac:dyDescent="0.25">
      <c r="A1207" s="6">
        <v>1205</v>
      </c>
      <c r="B1207" s="7">
        <v>165.99000549316401</v>
      </c>
      <c r="C1207" s="3">
        <f t="shared" si="4"/>
        <v>4.5891618662304828E-3</v>
      </c>
    </row>
    <row r="1208" spans="1:3" x14ac:dyDescent="0.25">
      <c r="A1208" s="6">
        <v>1206</v>
      </c>
      <c r="B1208" s="7">
        <v>166.77000427246</v>
      </c>
      <c r="C1208" s="3">
        <f t="shared" si="4"/>
        <v>4.6880645808931188E-3</v>
      </c>
    </row>
    <row r="1209" spans="1:3" x14ac:dyDescent="0.25">
      <c r="A1209" s="6">
        <v>1207</v>
      </c>
      <c r="B1209" s="7">
        <v>164.52999877929599</v>
      </c>
      <c r="C1209" s="3">
        <f t="shared" si="4"/>
        <v>-1.3522726273145083E-2</v>
      </c>
    </row>
    <row r="1210" spans="1:3" x14ac:dyDescent="0.25">
      <c r="A1210" s="6">
        <v>1208</v>
      </c>
      <c r="B1210" s="7">
        <v>166.22999572753901</v>
      </c>
      <c r="C1210" s="3">
        <f t="shared" si="4"/>
        <v>1.0279428866043371E-2</v>
      </c>
    </row>
    <row r="1211" spans="1:3" x14ac:dyDescent="0.25">
      <c r="A1211" s="6">
        <v>1209</v>
      </c>
      <c r="B1211" s="7">
        <v>166.05000305175699</v>
      </c>
      <c r="C1211" s="3">
        <f t="shared" si="4"/>
        <v>-1.0833796439641771E-3</v>
      </c>
    </row>
    <row r="1212" spans="1:3" x14ac:dyDescent="0.25">
      <c r="A1212" s="6">
        <v>1210</v>
      </c>
      <c r="B1212" s="7">
        <v>167.94000244140599</v>
      </c>
      <c r="C1212" s="3">
        <f t="shared" si="4"/>
        <v>1.1317821091489457E-2</v>
      </c>
    </row>
    <row r="1213" spans="1:3" x14ac:dyDescent="0.25">
      <c r="A1213" s="6">
        <v>1211</v>
      </c>
      <c r="B1213" s="7">
        <v>168.80999755859301</v>
      </c>
      <c r="C1213" s="3">
        <f t="shared" si="4"/>
        <v>5.1670203580548423E-3</v>
      </c>
    </row>
    <row r="1214" spans="1:3" x14ac:dyDescent="0.25">
      <c r="A1214" s="6">
        <v>1212</v>
      </c>
      <c r="B1214" s="7">
        <v>169.02000427246</v>
      </c>
      <c r="C1214" s="3">
        <f t="shared" si="4"/>
        <v>1.243268743330363E-3</v>
      </c>
    </row>
    <row r="1215" spans="1:3" x14ac:dyDescent="0.25">
      <c r="A1215" s="6">
        <v>1213</v>
      </c>
      <c r="B1215" s="7">
        <v>166.97000122070301</v>
      </c>
      <c r="C1215" s="3">
        <f t="shared" si="4"/>
        <v>-1.2202913522394918E-2</v>
      </c>
    </row>
    <row r="1216" spans="1:3" x14ac:dyDescent="0.25">
      <c r="A1216" s="6">
        <v>1214</v>
      </c>
      <c r="B1216" s="7">
        <v>167.74000549316401</v>
      </c>
      <c r="C1216" s="3">
        <f t="shared" si="4"/>
        <v>4.6010314325733263E-3</v>
      </c>
    </row>
    <row r="1217" spans="1:3" x14ac:dyDescent="0.25">
      <c r="A1217" s="6">
        <v>1215</v>
      </c>
      <c r="B1217" s="7">
        <v>170.19000244140599</v>
      </c>
      <c r="C1217" s="3">
        <f t="shared" si="4"/>
        <v>1.4500280047412958E-2</v>
      </c>
    </row>
    <row r="1218" spans="1:3" x14ac:dyDescent="0.25">
      <c r="A1218" s="6">
        <v>1216</v>
      </c>
      <c r="B1218" s="7">
        <v>170.58000183105401</v>
      </c>
      <c r="C1218" s="3">
        <f t="shared" si="4"/>
        <v>2.2889312734822339E-3</v>
      </c>
    </row>
    <row r="1219" spans="1:3" x14ac:dyDescent="0.25">
      <c r="A1219" s="6">
        <v>1217</v>
      </c>
      <c r="B1219" s="7">
        <v>171.13999938964801</v>
      </c>
      <c r="C1219" s="3">
        <f t="shared" si="4"/>
        <v>3.2775257982723296E-3</v>
      </c>
    </row>
    <row r="1220" spans="1:3" x14ac:dyDescent="0.25">
      <c r="A1220" s="6">
        <v>1218</v>
      </c>
      <c r="B1220" s="7">
        <v>170.44000244140599</v>
      </c>
      <c r="C1220" s="3">
        <f t="shared" si="4"/>
        <v>-4.0985884676700288E-3</v>
      </c>
    </row>
    <row r="1221" spans="1:3" x14ac:dyDescent="0.25">
      <c r="A1221" s="6">
        <v>1219</v>
      </c>
      <c r="B1221" s="7">
        <v>169.83000183105401</v>
      </c>
      <c r="C1221" s="3">
        <f t="shared" si="4"/>
        <v>-3.5853954574828883E-3</v>
      </c>
    </row>
    <row r="1222" spans="1:3" x14ac:dyDescent="0.25">
      <c r="A1222" s="6">
        <v>1220</v>
      </c>
      <c r="B1222" s="7">
        <v>170.17999267578099</v>
      </c>
      <c r="C1222" s="3">
        <f t="shared" si="4"/>
        <v>2.0587098849731721E-3</v>
      </c>
    </row>
    <row r="1223" spans="1:3" x14ac:dyDescent="0.25">
      <c r="A1223" s="6">
        <v>1221</v>
      </c>
      <c r="B1223" s="7">
        <v>170.419998168945</v>
      </c>
      <c r="C1223" s="3">
        <f t="shared" si="4"/>
        <v>1.409310272104153E-3</v>
      </c>
    </row>
    <row r="1224" spans="1:3" x14ac:dyDescent="0.25">
      <c r="A1224" s="6">
        <v>1222</v>
      </c>
      <c r="B1224" s="7">
        <v>168</v>
      </c>
      <c r="C1224" s="3">
        <f t="shared" si="4"/>
        <v>-1.4301988252184119E-2</v>
      </c>
    </row>
    <row r="1225" spans="1:3" x14ac:dyDescent="0.25">
      <c r="A1225" s="6">
        <v>1223</v>
      </c>
      <c r="B1225" s="7">
        <v>166.46000671386699</v>
      </c>
      <c r="C1225" s="3">
        <f t="shared" si="4"/>
        <v>-9.2088987520955526E-3</v>
      </c>
    </row>
    <row r="1226" spans="1:3" x14ac:dyDescent="0.25">
      <c r="A1226" s="6">
        <v>1224</v>
      </c>
      <c r="B1226" s="7">
        <v>166.14999389648401</v>
      </c>
      <c r="C1226" s="3">
        <f t="shared" si="4"/>
        <v>-1.8641225855351032E-3</v>
      </c>
    </row>
    <row r="1227" spans="1:3" x14ac:dyDescent="0.25">
      <c r="A1227" s="6">
        <v>1225</v>
      </c>
      <c r="B1227" s="7">
        <v>170.02999877929599</v>
      </c>
      <c r="C1227" s="3">
        <f t="shared" si="4"/>
        <v>2.3083926824421421E-2</v>
      </c>
    </row>
    <row r="1228" spans="1:3" x14ac:dyDescent="0.25">
      <c r="A1228" s="6">
        <v>1226</v>
      </c>
      <c r="B1228" s="7">
        <v>174.02000427246</v>
      </c>
      <c r="C1228" s="3">
        <f t="shared" si="4"/>
        <v>2.319537479937437E-2</v>
      </c>
    </row>
    <row r="1229" spans="1:3" x14ac:dyDescent="0.25">
      <c r="A1229" s="6">
        <v>1227</v>
      </c>
      <c r="B1229" s="7">
        <v>172.259994506835</v>
      </c>
      <c r="C1229" s="3">
        <f t="shared" si="4"/>
        <v>-1.0165328217198573E-2</v>
      </c>
    </row>
    <row r="1230" spans="1:3" x14ac:dyDescent="0.25">
      <c r="A1230" s="6">
        <v>1228</v>
      </c>
      <c r="B1230" s="7">
        <v>171.69000244140599</v>
      </c>
      <c r="C1230" s="3">
        <f t="shared" si="4"/>
        <v>-3.3143921632550837E-3</v>
      </c>
    </row>
    <row r="1231" spans="1:3" x14ac:dyDescent="0.25">
      <c r="A1231" s="6">
        <v>1229</v>
      </c>
      <c r="B1231" s="7">
        <v>169.57000732421801</v>
      </c>
      <c r="C1231" s="3">
        <f t="shared" si="4"/>
        <v>-1.2424675197047066E-2</v>
      </c>
    </row>
    <row r="1232" spans="1:3" x14ac:dyDescent="0.25">
      <c r="A1232" s="6">
        <v>1230</v>
      </c>
      <c r="B1232" s="7">
        <v>168.14999389648401</v>
      </c>
      <c r="C1232" s="3">
        <f t="shared" si="4"/>
        <v>-8.4094622236885429E-3</v>
      </c>
    </row>
    <row r="1233" spans="1:3" x14ac:dyDescent="0.25">
      <c r="A1233" s="6">
        <v>1231</v>
      </c>
      <c r="B1233" s="7">
        <v>167.61999511718699</v>
      </c>
      <c r="C1233" s="3">
        <f t="shared" si="4"/>
        <v>-3.1569183477278329E-3</v>
      </c>
    </row>
    <row r="1234" spans="1:3" x14ac:dyDescent="0.25">
      <c r="A1234" s="6">
        <v>1232</v>
      </c>
      <c r="B1234" s="7">
        <v>166.58000183105401</v>
      </c>
      <c r="C1234" s="3">
        <f t="shared" si="4"/>
        <v>-6.2237980412723718E-3</v>
      </c>
    </row>
    <row r="1235" spans="1:3" x14ac:dyDescent="0.25">
      <c r="A1235" s="6">
        <v>1233</v>
      </c>
      <c r="B1235" s="7">
        <v>168.21000671386699</v>
      </c>
      <c r="C1235" s="3">
        <f t="shared" si="4"/>
        <v>9.7375532180578456E-3</v>
      </c>
    </row>
    <row r="1236" spans="1:3" x14ac:dyDescent="0.25">
      <c r="A1236" s="6">
        <v>1234</v>
      </c>
      <c r="B1236" s="7">
        <v>174.28999328613199</v>
      </c>
      <c r="C1236" s="3">
        <f t="shared" si="4"/>
        <v>3.5507301295051225E-2</v>
      </c>
    </row>
    <row r="1237" spans="1:3" x14ac:dyDescent="0.25">
      <c r="A1237" s="6">
        <v>1235</v>
      </c>
      <c r="B1237" s="7">
        <v>175.16000366210901</v>
      </c>
      <c r="C1237" s="3">
        <f t="shared" si="4"/>
        <v>4.9793228280760656E-3</v>
      </c>
    </row>
    <row r="1238" spans="1:3" x14ac:dyDescent="0.25">
      <c r="A1238" s="6">
        <v>1236</v>
      </c>
      <c r="B1238" s="7">
        <v>177.100006103515</v>
      </c>
      <c r="C1238" s="3">
        <f t="shared" si="4"/>
        <v>1.1014716412032383E-2</v>
      </c>
    </row>
    <row r="1239" spans="1:3" x14ac:dyDescent="0.25">
      <c r="A1239" s="6">
        <v>1237</v>
      </c>
      <c r="B1239" s="7">
        <v>175</v>
      </c>
      <c r="C1239" s="3">
        <f t="shared" si="4"/>
        <v>-1.1928605328937853E-2</v>
      </c>
    </row>
    <row r="1240" spans="1:3" x14ac:dyDescent="0.25">
      <c r="A1240" s="6">
        <v>1238</v>
      </c>
      <c r="B1240" s="7">
        <v>174.509994506835</v>
      </c>
      <c r="C1240" s="3">
        <f t="shared" si="4"/>
        <v>-2.8039588103863896E-3</v>
      </c>
    </row>
    <row r="1241" spans="1:3" x14ac:dyDescent="0.25">
      <c r="A1241" s="6">
        <v>1239</v>
      </c>
      <c r="B1241" s="7">
        <v>178.61000061035099</v>
      </c>
      <c r="C1241" s="3">
        <f t="shared" si="4"/>
        <v>2.322264622049193E-2</v>
      </c>
    </row>
    <row r="1242" spans="1:3" x14ac:dyDescent="0.25">
      <c r="A1242" s="6">
        <v>1240</v>
      </c>
      <c r="B1242" s="7">
        <v>176.850006103515</v>
      </c>
      <c r="C1242" s="3">
        <f t="shared" si="4"/>
        <v>-9.9027111697472178E-3</v>
      </c>
    </row>
    <row r="1243" spans="1:3" x14ac:dyDescent="0.25">
      <c r="A1243" s="6">
        <v>1241</v>
      </c>
      <c r="B1243" s="7">
        <v>180.33000183105401</v>
      </c>
      <c r="C1243" s="3">
        <f t="shared" si="4"/>
        <v>1.948656570921474E-2</v>
      </c>
    </row>
    <row r="1244" spans="1:3" x14ac:dyDescent="0.25">
      <c r="A1244" s="6">
        <v>1242</v>
      </c>
      <c r="B1244" s="7">
        <v>178.36999511718699</v>
      </c>
      <c r="C1244" s="3">
        <f t="shared" si="4"/>
        <v>-1.0928498677506882E-2</v>
      </c>
    </row>
    <row r="1245" spans="1:3" x14ac:dyDescent="0.25">
      <c r="A1245" s="6">
        <v>1243</v>
      </c>
      <c r="B1245" s="7">
        <v>173.97999572753901</v>
      </c>
      <c r="C1245" s="3">
        <f t="shared" si="4"/>
        <v>-2.4919691673381983E-2</v>
      </c>
    </row>
    <row r="1246" spans="1:3" x14ac:dyDescent="0.25">
      <c r="A1246" s="6">
        <v>1244</v>
      </c>
      <c r="B1246" s="7">
        <v>173.100006103515</v>
      </c>
      <c r="C1246" s="3">
        <f t="shared" si="4"/>
        <v>-5.0708280799832278E-3</v>
      </c>
    </row>
    <row r="1247" spans="1:3" x14ac:dyDescent="0.25">
      <c r="A1247" s="6">
        <v>1245</v>
      </c>
      <c r="B1247" s="7">
        <v>171.11999511718699</v>
      </c>
      <c r="C1247" s="3">
        <f t="shared" si="4"/>
        <v>-1.1504461202503053E-2</v>
      </c>
    </row>
    <row r="1248" spans="1:3" x14ac:dyDescent="0.25">
      <c r="A1248" s="6">
        <v>1246</v>
      </c>
      <c r="B1248" s="7">
        <v>170.88999938964801</v>
      </c>
      <c r="C1248" s="3">
        <f t="shared" si="4"/>
        <v>-1.3449651525018441E-3</v>
      </c>
    </row>
    <row r="1249" spans="1:3" x14ac:dyDescent="0.25">
      <c r="A1249" s="6">
        <v>1247</v>
      </c>
      <c r="B1249" s="7">
        <v>168.009994506835</v>
      </c>
      <c r="C1249" s="3">
        <f t="shared" si="4"/>
        <v>-1.6996602341364069E-2</v>
      </c>
    </row>
    <row r="1250" spans="1:3" x14ac:dyDescent="0.25">
      <c r="A1250" s="6">
        <v>1248</v>
      </c>
      <c r="B1250" s="7">
        <v>168.99000549316401</v>
      </c>
      <c r="C1250" s="3">
        <f t="shared" si="4"/>
        <v>5.8161053347381298E-3</v>
      </c>
    </row>
    <row r="1251" spans="1:3" x14ac:dyDescent="0.25">
      <c r="A1251" s="6">
        <v>1249</v>
      </c>
      <c r="B1251" s="7">
        <v>168.25</v>
      </c>
      <c r="C1251" s="3">
        <f t="shared" si="4"/>
        <v>-4.3886055557470589E-3</v>
      </c>
    </row>
    <row r="1252" spans="1:3" x14ac:dyDescent="0.25">
      <c r="A1252" s="6">
        <v>1250</v>
      </c>
      <c r="B1252" s="7">
        <v>171.75</v>
      </c>
      <c r="C1252" s="3">
        <f t="shared" si="4"/>
        <v>2.0588962577621463E-2</v>
      </c>
    </row>
    <row r="1253" spans="1:3" x14ac:dyDescent="0.25">
      <c r="A1253" s="6">
        <v>1251</v>
      </c>
      <c r="B1253" s="7">
        <v>171.13999938964801</v>
      </c>
      <c r="C1253" s="3">
        <f t="shared" si="4"/>
        <v>-3.5579996789400314E-3</v>
      </c>
    </row>
    <row r="1254" spans="1:3" x14ac:dyDescent="0.25">
      <c r="A1254" s="6">
        <v>1252</v>
      </c>
      <c r="B1254" s="7">
        <v>168.600006103515</v>
      </c>
      <c r="C1254" s="3">
        <f t="shared" si="4"/>
        <v>-1.4952849654607758E-2</v>
      </c>
    </row>
    <row r="1255" spans="1:3" x14ac:dyDescent="0.25">
      <c r="A1255" s="6">
        <v>1253</v>
      </c>
      <c r="B1255" s="7">
        <v>171.02999877929599</v>
      </c>
      <c r="C1255" s="3">
        <f t="shared" si="4"/>
        <v>1.4309890805321385E-2</v>
      </c>
    </row>
    <row r="1256" spans="1:3" x14ac:dyDescent="0.25">
      <c r="A1256" s="6">
        <v>1254</v>
      </c>
      <c r="B1256" s="7">
        <v>174.850006103515</v>
      </c>
      <c r="C1256" s="3">
        <f t="shared" si="4"/>
        <v>2.2089525842300738E-2</v>
      </c>
    </row>
    <row r="1257" spans="1:3" x14ac:dyDescent="0.25">
      <c r="A1257" s="6">
        <v>1255</v>
      </c>
      <c r="B1257" s="7">
        <v>172.14999389648401</v>
      </c>
      <c r="C1257" s="3">
        <f t="shared" si="4"/>
        <v>-1.5562344086639451E-2</v>
      </c>
    </row>
    <row r="1258" spans="1:3" x14ac:dyDescent="0.25">
      <c r="A1258" s="6">
        <v>1256</v>
      </c>
      <c r="B1258" s="7">
        <v>172.80000305175699</v>
      </c>
      <c r="C1258" s="3">
        <f t="shared" si="4"/>
        <v>3.7687197006919548E-3</v>
      </c>
    </row>
    <row r="1259" spans="1:3" x14ac:dyDescent="0.25">
      <c r="A1259" s="6">
        <v>1257</v>
      </c>
      <c r="B1259" s="7">
        <v>172.55999755859301</v>
      </c>
      <c r="C1259" s="3">
        <f t="shared" si="4"/>
        <v>-1.389886097847848E-3</v>
      </c>
    </row>
    <row r="1260" spans="1:3" x14ac:dyDescent="0.25">
      <c r="A1260" s="6">
        <v>1258</v>
      </c>
      <c r="B1260" s="7">
        <v>169.46000671386699</v>
      </c>
      <c r="C1260" s="3">
        <f t="shared" si="4"/>
        <v>-1.8128037543236317E-2</v>
      </c>
    </row>
    <row r="1261" spans="1:3" x14ac:dyDescent="0.25">
      <c r="A1261" s="12"/>
      <c r="B1261" s="1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261"/>
  <sheetViews>
    <sheetView workbookViewId="0"/>
  </sheetViews>
  <sheetFormatPr baseColWidth="10" defaultColWidth="12.6640625" defaultRowHeight="15.75" customHeight="1" x14ac:dyDescent="0.25"/>
  <cols>
    <col min="3" max="3" width="15.88671875" customWidth="1"/>
    <col min="6" max="6" width="12.21875" customWidth="1"/>
  </cols>
  <sheetData>
    <row r="1" spans="1:6" ht="15.75" customHeight="1" x14ac:dyDescent="0.3">
      <c r="A1" s="1"/>
      <c r="B1" s="10" t="s">
        <v>11</v>
      </c>
      <c r="C1" s="10" t="s">
        <v>12</v>
      </c>
      <c r="E1" s="4" t="s">
        <v>2</v>
      </c>
      <c r="F1" s="11">
        <f>AVERAGE(C:C)</f>
        <v>4.7181428703727164E-4</v>
      </c>
    </row>
    <row r="2" spans="1:6" x14ac:dyDescent="0.25">
      <c r="A2" s="6">
        <v>0</v>
      </c>
      <c r="B2" s="7">
        <v>304.51998901367102</v>
      </c>
      <c r="E2" s="4" t="s">
        <v>3</v>
      </c>
      <c r="F2" s="11">
        <f>_xlfn.VAR.S(C:C)</f>
        <v>4.6946374652155474E-4</v>
      </c>
    </row>
    <row r="3" spans="1:6" x14ac:dyDescent="0.25">
      <c r="A3" s="6">
        <v>1</v>
      </c>
      <c r="B3" s="7">
        <v>311.33999633789</v>
      </c>
      <c r="C3" s="3">
        <f t="shared" ref="C3:C257" si="0">LN(B3/B2)</f>
        <v>2.2148820484806493E-2</v>
      </c>
      <c r="E3" s="4" t="s">
        <v>4</v>
      </c>
      <c r="F3" s="11">
        <f>SQRT(F2)</f>
        <v>2.1667112094636762E-2</v>
      </c>
    </row>
    <row r="4" spans="1:6" x14ac:dyDescent="0.25">
      <c r="A4" s="6">
        <v>2</v>
      </c>
      <c r="B4" s="7">
        <v>313.67001342773398</v>
      </c>
      <c r="C4" s="3">
        <f t="shared" si="0"/>
        <v>7.4559698165486341E-3</v>
      </c>
    </row>
    <row r="5" spans="1:6" x14ac:dyDescent="0.25">
      <c r="A5" s="6">
        <v>3</v>
      </c>
      <c r="B5" s="7">
        <v>322.16000366210898</v>
      </c>
      <c r="C5" s="3">
        <f t="shared" si="0"/>
        <v>2.6706807248721584E-2</v>
      </c>
    </row>
    <row r="6" spans="1:6" x14ac:dyDescent="0.25">
      <c r="A6" s="6">
        <v>4</v>
      </c>
      <c r="B6" s="7">
        <v>318.829986572265</v>
      </c>
      <c r="C6" s="3">
        <f t="shared" si="0"/>
        <v>-1.03903246517347E-2</v>
      </c>
    </row>
    <row r="7" spans="1:6" x14ac:dyDescent="0.25">
      <c r="A7" s="6">
        <v>5</v>
      </c>
      <c r="B7" s="7">
        <v>318.17001342773398</v>
      </c>
      <c r="C7" s="3">
        <f t="shared" si="0"/>
        <v>-2.0721299236299505E-3</v>
      </c>
    </row>
    <row r="8" spans="1:6" x14ac:dyDescent="0.25">
      <c r="A8" s="6">
        <v>6</v>
      </c>
      <c r="B8" s="7">
        <v>315.44000244140602</v>
      </c>
      <c r="C8" s="3">
        <f t="shared" si="0"/>
        <v>-8.6173760261389117E-3</v>
      </c>
    </row>
    <row r="9" spans="1:6" x14ac:dyDescent="0.25">
      <c r="A9" s="6">
        <v>7</v>
      </c>
      <c r="B9" s="7">
        <v>314.27999877929602</v>
      </c>
      <c r="C9" s="3">
        <f t="shared" si="0"/>
        <v>-3.6841928855639518E-3</v>
      </c>
    </row>
    <row r="10" spans="1:6" x14ac:dyDescent="0.25">
      <c r="A10" s="6">
        <v>8</v>
      </c>
      <c r="B10" s="7">
        <v>313.97000122070301</v>
      </c>
      <c r="C10" s="3">
        <f t="shared" si="0"/>
        <v>-9.8686059292238935E-4</v>
      </c>
    </row>
    <row r="11" spans="1:6" x14ac:dyDescent="0.25">
      <c r="A11" s="6">
        <v>9</v>
      </c>
      <c r="B11" s="7">
        <v>314.17001342773398</v>
      </c>
      <c r="C11" s="3">
        <f t="shared" si="0"/>
        <v>6.3683958711885542E-4</v>
      </c>
    </row>
    <row r="12" spans="1:6" x14ac:dyDescent="0.25">
      <c r="A12" s="6">
        <v>10</v>
      </c>
      <c r="B12" s="7">
        <v>325.85998535156199</v>
      </c>
      <c r="C12" s="3">
        <f t="shared" si="0"/>
        <v>3.6533512903955206E-2</v>
      </c>
    </row>
    <row r="13" spans="1:6" x14ac:dyDescent="0.25">
      <c r="A13" s="6">
        <v>11</v>
      </c>
      <c r="B13" s="7">
        <v>329.260009765625</v>
      </c>
      <c r="C13" s="3">
        <f t="shared" si="0"/>
        <v>1.0379945557543093E-2</v>
      </c>
    </row>
    <row r="14" spans="1:6" x14ac:dyDescent="0.25">
      <c r="A14" s="6">
        <v>12</v>
      </c>
      <c r="B14" s="7">
        <v>321.29000854492102</v>
      </c>
      <c r="C14" s="3">
        <f t="shared" si="0"/>
        <v>-2.4503573206593566E-2</v>
      </c>
    </row>
    <row r="15" spans="1:6" x14ac:dyDescent="0.25">
      <c r="A15" s="6">
        <v>13</v>
      </c>
      <c r="B15" s="7">
        <v>325.57000732421801</v>
      </c>
      <c r="C15" s="3">
        <f t="shared" si="0"/>
        <v>1.3233346115325173E-2</v>
      </c>
    </row>
    <row r="16" spans="1:6" x14ac:dyDescent="0.25">
      <c r="A16" s="6">
        <v>14</v>
      </c>
      <c r="B16" s="7">
        <v>327.36999511718699</v>
      </c>
      <c r="C16" s="3">
        <f t="shared" si="0"/>
        <v>5.5135000030868001E-3</v>
      </c>
    </row>
    <row r="17" spans="1:3" x14ac:dyDescent="0.25">
      <c r="A17" s="6">
        <v>15</v>
      </c>
      <c r="B17" s="7">
        <v>331.579986572265</v>
      </c>
      <c r="C17" s="3">
        <f t="shared" si="0"/>
        <v>1.277805252409794E-2</v>
      </c>
    </row>
    <row r="18" spans="1:3" x14ac:dyDescent="0.25">
      <c r="A18" s="6">
        <v>16</v>
      </c>
      <c r="B18" s="7">
        <v>328.95999145507801</v>
      </c>
      <c r="C18" s="3">
        <f t="shared" si="0"/>
        <v>-7.9329304639233732E-3</v>
      </c>
    </row>
    <row r="19" spans="1:3" x14ac:dyDescent="0.25">
      <c r="A19" s="6">
        <v>17</v>
      </c>
      <c r="B19" s="7">
        <v>330.329986572265</v>
      </c>
      <c r="C19" s="3">
        <f t="shared" si="0"/>
        <v>4.1559772929722428E-3</v>
      </c>
    </row>
    <row r="20" spans="1:3" x14ac:dyDescent="0.25">
      <c r="A20" s="6">
        <v>18</v>
      </c>
      <c r="B20" s="7">
        <v>338.75</v>
      </c>
      <c r="C20" s="3">
        <f t="shared" si="0"/>
        <v>2.517025804975867E-2</v>
      </c>
    </row>
    <row r="21" spans="1:3" x14ac:dyDescent="0.25">
      <c r="A21" s="6">
        <v>19</v>
      </c>
      <c r="B21" s="7">
        <v>342.20001220703102</v>
      </c>
      <c r="C21" s="3">
        <f t="shared" si="0"/>
        <v>1.0133024936393956E-2</v>
      </c>
    </row>
    <row r="22" spans="1:3" x14ac:dyDescent="0.25">
      <c r="A22" s="6">
        <v>20</v>
      </c>
      <c r="B22" s="7">
        <v>337.22000122070301</v>
      </c>
      <c r="C22" s="3">
        <f t="shared" si="0"/>
        <v>-1.4659857160569197E-2</v>
      </c>
    </row>
    <row r="23" spans="1:3" x14ac:dyDescent="0.25">
      <c r="A23" s="6">
        <v>21</v>
      </c>
      <c r="B23" s="7">
        <v>337.95001220703102</v>
      </c>
      <c r="C23" s="3">
        <f t="shared" si="0"/>
        <v>2.1624516974466986E-3</v>
      </c>
    </row>
    <row r="24" spans="1:3" x14ac:dyDescent="0.25">
      <c r="A24" s="6">
        <v>22</v>
      </c>
      <c r="B24" s="7">
        <v>340.85998535156199</v>
      </c>
      <c r="C24" s="3">
        <f t="shared" si="0"/>
        <v>8.5738011549674597E-3</v>
      </c>
    </row>
    <row r="25" spans="1:3" x14ac:dyDescent="0.25">
      <c r="A25" s="6">
        <v>23</v>
      </c>
      <c r="B25" s="7">
        <v>334.829986572265</v>
      </c>
      <c r="C25" s="3">
        <f t="shared" si="0"/>
        <v>-1.7848892589559118E-2</v>
      </c>
    </row>
    <row r="26" spans="1:3" x14ac:dyDescent="0.25">
      <c r="A26" s="6">
        <v>24</v>
      </c>
      <c r="B26" s="7">
        <v>340.04000854492102</v>
      </c>
      <c r="C26" s="3">
        <f t="shared" si="0"/>
        <v>1.5440382645731443E-2</v>
      </c>
    </row>
    <row r="27" spans="1:3" x14ac:dyDescent="0.25">
      <c r="A27" s="6">
        <v>25</v>
      </c>
      <c r="B27" s="7">
        <v>339.100006103515</v>
      </c>
      <c r="C27" s="3">
        <f t="shared" si="0"/>
        <v>-2.7682157475697631E-3</v>
      </c>
    </row>
    <row r="28" spans="1:3" x14ac:dyDescent="0.25">
      <c r="A28" s="6">
        <v>26</v>
      </c>
      <c r="B28" s="7">
        <v>333.67001342773398</v>
      </c>
      <c r="C28" s="3">
        <f t="shared" si="0"/>
        <v>-1.6142546280995047E-2</v>
      </c>
    </row>
    <row r="29" spans="1:3" x14ac:dyDescent="0.25">
      <c r="A29" s="6">
        <v>27</v>
      </c>
      <c r="B29" s="7">
        <v>326.79000854492102</v>
      </c>
      <c r="C29" s="3">
        <f t="shared" si="0"/>
        <v>-2.0834731939244542E-2</v>
      </c>
    </row>
    <row r="30" spans="1:3" x14ac:dyDescent="0.25">
      <c r="A30" s="6">
        <v>28</v>
      </c>
      <c r="B30" s="7">
        <v>331.52999877929602</v>
      </c>
      <c r="C30" s="3">
        <f t="shared" si="0"/>
        <v>1.4400510676256065E-2</v>
      </c>
    </row>
    <row r="31" spans="1:3" ht="13.2" x14ac:dyDescent="0.25">
      <c r="A31" s="6">
        <v>29</v>
      </c>
      <c r="B31" s="7">
        <v>327.79000854492102</v>
      </c>
      <c r="C31" s="3">
        <f t="shared" si="0"/>
        <v>-1.1345114080436551E-2</v>
      </c>
    </row>
    <row r="32" spans="1:3" ht="13.2" x14ac:dyDescent="0.25">
      <c r="A32" s="6">
        <v>30</v>
      </c>
      <c r="B32" s="7">
        <v>325.27999877929602</v>
      </c>
      <c r="C32" s="3">
        <f t="shared" si="0"/>
        <v>-7.6868393790749164E-3</v>
      </c>
    </row>
    <row r="33" spans="1:3" ht="13.2" x14ac:dyDescent="0.25">
      <c r="A33" s="6">
        <v>31</v>
      </c>
      <c r="B33" s="7">
        <v>327.07000732421801</v>
      </c>
      <c r="C33" s="3">
        <f t="shared" si="0"/>
        <v>5.4878915325791752E-3</v>
      </c>
    </row>
    <row r="34" spans="1:3" ht="13.2" x14ac:dyDescent="0.25">
      <c r="A34" s="6">
        <v>32</v>
      </c>
      <c r="B34" s="7">
        <v>327.22000122070301</v>
      </c>
      <c r="C34" s="3">
        <f t="shared" si="0"/>
        <v>4.5849362562082747E-4</v>
      </c>
    </row>
    <row r="35" spans="1:3" ht="13.2" x14ac:dyDescent="0.25">
      <c r="A35" s="6">
        <v>33</v>
      </c>
      <c r="B35" s="7">
        <v>338.14001464843699</v>
      </c>
      <c r="C35" s="3">
        <f t="shared" si="0"/>
        <v>3.2827322943989615E-2</v>
      </c>
    </row>
    <row r="36" spans="1:3" ht="13.2" x14ac:dyDescent="0.25">
      <c r="A36" s="6">
        <v>34</v>
      </c>
      <c r="B36" s="7">
        <v>342.79000854492102</v>
      </c>
      <c r="C36" s="3">
        <f t="shared" si="0"/>
        <v>1.365798546766007E-2</v>
      </c>
    </row>
    <row r="37" spans="1:3" ht="13.2" x14ac:dyDescent="0.25">
      <c r="A37" s="6">
        <v>35</v>
      </c>
      <c r="B37" s="7">
        <v>363.54998779296801</v>
      </c>
      <c r="C37" s="3">
        <f t="shared" si="0"/>
        <v>5.8798765821645803E-2</v>
      </c>
    </row>
    <row r="38" spans="1:3" ht="13.2" x14ac:dyDescent="0.25">
      <c r="A38" s="6">
        <v>36</v>
      </c>
      <c r="B38" s="7">
        <v>360.92001342773398</v>
      </c>
      <c r="C38" s="3">
        <f t="shared" si="0"/>
        <v>-7.2604411882698037E-3</v>
      </c>
    </row>
    <row r="39" spans="1:3" ht="13.2" x14ac:dyDescent="0.25">
      <c r="A39" s="6">
        <v>37</v>
      </c>
      <c r="B39" s="7">
        <v>349.35998535156199</v>
      </c>
      <c r="C39" s="3">
        <f t="shared" si="0"/>
        <v>-3.2553497082529137E-2</v>
      </c>
    </row>
    <row r="40" spans="1:3" ht="13.2" x14ac:dyDescent="0.25">
      <c r="A40" s="6">
        <v>38</v>
      </c>
      <c r="B40" s="7">
        <v>356.76998901367102</v>
      </c>
      <c r="C40" s="3">
        <f t="shared" si="0"/>
        <v>2.0988418411559726E-2</v>
      </c>
    </row>
    <row r="41" spans="1:3" ht="13.2" x14ac:dyDescent="0.25">
      <c r="A41" s="6">
        <v>39</v>
      </c>
      <c r="B41" s="7">
        <v>354.92001342773398</v>
      </c>
      <c r="C41" s="3">
        <f t="shared" si="0"/>
        <v>-5.1988358592486242E-3</v>
      </c>
    </row>
    <row r="42" spans="1:3" ht="13.2" x14ac:dyDescent="0.25">
      <c r="A42" s="6">
        <v>40</v>
      </c>
      <c r="B42" s="7">
        <v>353.94000244140602</v>
      </c>
      <c r="C42" s="3">
        <f t="shared" si="0"/>
        <v>-2.7650356594296484E-3</v>
      </c>
    </row>
    <row r="43" spans="1:3" ht="13.2" x14ac:dyDescent="0.25">
      <c r="A43" s="6">
        <v>41</v>
      </c>
      <c r="B43" s="7">
        <v>352.77999877929602</v>
      </c>
      <c r="C43" s="3">
        <f t="shared" si="0"/>
        <v>-3.2827844177455716E-3</v>
      </c>
    </row>
    <row r="44" spans="1:3" ht="13.2" x14ac:dyDescent="0.25">
      <c r="A44" s="6">
        <v>42</v>
      </c>
      <c r="B44" s="7">
        <v>353.16000366210898</v>
      </c>
      <c r="C44" s="3">
        <f t="shared" si="0"/>
        <v>1.0765926798383518E-3</v>
      </c>
    </row>
    <row r="45" spans="1:3" ht="13.2" x14ac:dyDescent="0.25">
      <c r="A45" s="6">
        <v>43</v>
      </c>
      <c r="B45" s="7">
        <v>357.94000244140602</v>
      </c>
      <c r="C45" s="3">
        <f t="shared" si="0"/>
        <v>1.3444159007047297E-2</v>
      </c>
    </row>
    <row r="46" spans="1:3" ht="13.2" x14ac:dyDescent="0.25">
      <c r="A46" s="6">
        <v>44</v>
      </c>
      <c r="B46" s="7">
        <v>356.14999389648398</v>
      </c>
      <c r="C46" s="3">
        <f t="shared" si="0"/>
        <v>-5.0134081230996533E-3</v>
      </c>
    </row>
    <row r="47" spans="1:3" ht="13.2" x14ac:dyDescent="0.25">
      <c r="A47" s="6">
        <v>45</v>
      </c>
      <c r="B47" s="7">
        <v>354.05999755859301</v>
      </c>
      <c r="C47" s="3">
        <f t="shared" si="0"/>
        <v>-5.8855898852044524E-3</v>
      </c>
    </row>
    <row r="48" spans="1:3" ht="13.2" x14ac:dyDescent="0.25">
      <c r="A48" s="6">
        <v>46</v>
      </c>
      <c r="B48" s="7">
        <v>354.05999755859301</v>
      </c>
      <c r="C48" s="3">
        <f t="shared" si="0"/>
        <v>0</v>
      </c>
    </row>
    <row r="49" spans="1:3" ht="13.2" x14ac:dyDescent="0.25">
      <c r="A49" s="6">
        <v>47</v>
      </c>
      <c r="B49" s="7">
        <v>360.48001098632801</v>
      </c>
      <c r="C49" s="3">
        <f t="shared" si="0"/>
        <v>1.7970123759204492E-2</v>
      </c>
    </row>
    <row r="50" spans="1:3" ht="13.2" x14ac:dyDescent="0.25">
      <c r="A50" s="6">
        <v>48</v>
      </c>
      <c r="B50" s="7">
        <v>362.25</v>
      </c>
      <c r="C50" s="3">
        <f t="shared" si="0"/>
        <v>4.8980740399160519E-3</v>
      </c>
    </row>
    <row r="51" spans="1:3" ht="13.2" x14ac:dyDescent="0.25">
      <c r="A51" s="6">
        <v>49</v>
      </c>
      <c r="B51" s="7">
        <v>355.635009765625</v>
      </c>
      <c r="C51" s="3">
        <f t="shared" si="0"/>
        <v>-1.8429629747949358E-2</v>
      </c>
    </row>
    <row r="52" spans="1:3" ht="13.2" x14ac:dyDescent="0.25">
      <c r="A52" s="6">
        <v>50</v>
      </c>
      <c r="B52" s="7">
        <v>359.55999755859301</v>
      </c>
      <c r="C52" s="3">
        <f t="shared" si="0"/>
        <v>1.0976103462371066E-2</v>
      </c>
    </row>
    <row r="53" spans="1:3" ht="13.2" x14ac:dyDescent="0.25">
      <c r="A53" s="6">
        <v>51</v>
      </c>
      <c r="B53" s="7">
        <v>363.17999267578102</v>
      </c>
      <c r="C53" s="3">
        <f t="shared" si="0"/>
        <v>1.0017504049525479E-2</v>
      </c>
    </row>
    <row r="54" spans="1:3" ht="13.2" x14ac:dyDescent="0.25">
      <c r="A54" s="6">
        <v>52</v>
      </c>
      <c r="B54" s="7">
        <v>365.95999145507801</v>
      </c>
      <c r="C54" s="3">
        <f t="shared" si="0"/>
        <v>7.6254554972620837E-3</v>
      </c>
    </row>
    <row r="55" spans="1:3" ht="13.2" x14ac:dyDescent="0.25">
      <c r="A55" s="6">
        <v>53</v>
      </c>
      <c r="B55" s="7">
        <v>372.27999877929602</v>
      </c>
      <c r="C55" s="3">
        <f t="shared" si="0"/>
        <v>1.7122241576514576E-2</v>
      </c>
    </row>
    <row r="56" spans="1:3" ht="13.2" x14ac:dyDescent="0.25">
      <c r="A56" s="6">
        <v>54</v>
      </c>
      <c r="B56" s="7">
        <v>376.54998779296801</v>
      </c>
      <c r="C56" s="3">
        <f t="shared" si="0"/>
        <v>1.1404552090754109E-2</v>
      </c>
    </row>
    <row r="57" spans="1:3" ht="13.2" x14ac:dyDescent="0.25">
      <c r="A57" s="6">
        <v>55</v>
      </c>
      <c r="B57" s="7">
        <v>376.79998779296801</v>
      </c>
      <c r="C57" s="3">
        <f t="shared" si="0"/>
        <v>6.6370217635598381E-4</v>
      </c>
    </row>
    <row r="58" spans="1:3" ht="13.2" x14ac:dyDescent="0.25">
      <c r="A58" s="6">
        <v>56</v>
      </c>
      <c r="B58" s="7">
        <v>393.25</v>
      </c>
      <c r="C58" s="3">
        <f t="shared" si="0"/>
        <v>4.2731031632761464E-2</v>
      </c>
    </row>
    <row r="59" spans="1:3" ht="13.2" x14ac:dyDescent="0.25">
      <c r="A59" s="6">
        <v>57</v>
      </c>
      <c r="B59" s="7">
        <v>384.04000854492102</v>
      </c>
      <c r="C59" s="3">
        <f t="shared" si="0"/>
        <v>-2.369880585888369E-2</v>
      </c>
    </row>
    <row r="60" spans="1:3" ht="13.2" x14ac:dyDescent="0.25">
      <c r="A60" s="6">
        <v>58</v>
      </c>
      <c r="B60" s="7">
        <v>384.29998779296801</v>
      </c>
      <c r="C60" s="3">
        <f t="shared" si="0"/>
        <v>6.767297269642897E-4</v>
      </c>
    </row>
    <row r="61" spans="1:3" ht="13.2" x14ac:dyDescent="0.25">
      <c r="A61" s="6">
        <v>59</v>
      </c>
      <c r="B61" s="7">
        <v>389.350006103515</v>
      </c>
      <c r="C61" s="3">
        <f t="shared" si="0"/>
        <v>1.3055231892692596E-2</v>
      </c>
    </row>
    <row r="62" spans="1:3" ht="13.2" x14ac:dyDescent="0.25">
      <c r="A62" s="6">
        <v>60</v>
      </c>
      <c r="B62" s="7">
        <v>383.27999877929602</v>
      </c>
      <c r="C62" s="3">
        <f t="shared" si="0"/>
        <v>-1.5712908309182004E-2</v>
      </c>
    </row>
    <row r="63" spans="1:3" ht="13.2" x14ac:dyDescent="0.25">
      <c r="A63" s="6">
        <v>61</v>
      </c>
      <c r="B63" s="7">
        <v>380.100006103515</v>
      </c>
      <c r="C63" s="3">
        <f t="shared" si="0"/>
        <v>-8.3313973371195813E-3</v>
      </c>
    </row>
    <row r="64" spans="1:3" ht="13.2" x14ac:dyDescent="0.25">
      <c r="A64" s="6">
        <v>62</v>
      </c>
      <c r="B64" s="7">
        <v>380.35998535156199</v>
      </c>
      <c r="C64" s="3">
        <f t="shared" si="0"/>
        <v>6.8374210634784989E-4</v>
      </c>
    </row>
    <row r="65" spans="1:3" ht="13.2" x14ac:dyDescent="0.25">
      <c r="A65" s="6">
        <v>63</v>
      </c>
      <c r="B65" s="7">
        <v>375.76998901367102</v>
      </c>
      <c r="C65" s="3">
        <f t="shared" si="0"/>
        <v>-1.2140909299893476E-2</v>
      </c>
    </row>
    <row r="66" spans="1:3" ht="13.2" x14ac:dyDescent="0.25">
      <c r="A66" s="6">
        <v>64</v>
      </c>
      <c r="B66" s="7">
        <v>365.69500732421801</v>
      </c>
      <c r="C66" s="3">
        <f t="shared" si="0"/>
        <v>-2.7177552178309815E-2</v>
      </c>
    </row>
    <row r="67" spans="1:3" ht="13.2" x14ac:dyDescent="0.25">
      <c r="A67" s="6">
        <v>65</v>
      </c>
      <c r="B67" s="7">
        <v>370</v>
      </c>
      <c r="C67" s="3">
        <f t="shared" si="0"/>
        <v>1.1703332957266787E-2</v>
      </c>
    </row>
    <row r="68" spans="1:3" ht="13.2" x14ac:dyDescent="0.25">
      <c r="A68" s="6">
        <v>66</v>
      </c>
      <c r="B68" s="7">
        <v>371.86999511718699</v>
      </c>
      <c r="C68" s="3">
        <f t="shared" si="0"/>
        <v>5.0413120626528049E-3</v>
      </c>
    </row>
    <row r="69" spans="1:3" ht="13.2" x14ac:dyDescent="0.25">
      <c r="A69" s="6">
        <v>67</v>
      </c>
      <c r="B69" s="7">
        <v>369.27999877929602</v>
      </c>
      <c r="C69" s="3">
        <f t="shared" si="0"/>
        <v>-6.9891571268753897E-3</v>
      </c>
    </row>
    <row r="70" spans="1:3" ht="13.2" x14ac:dyDescent="0.25">
      <c r="A70" s="6">
        <v>68</v>
      </c>
      <c r="B70" s="7">
        <v>363.14999389648398</v>
      </c>
      <c r="C70" s="3">
        <f t="shared" si="0"/>
        <v>-1.6739205329019072E-2</v>
      </c>
    </row>
    <row r="71" spans="1:3" ht="13.2" x14ac:dyDescent="0.25">
      <c r="A71" s="6">
        <v>69</v>
      </c>
      <c r="B71" s="7">
        <v>365.79998779296801</v>
      </c>
      <c r="C71" s="3">
        <f t="shared" si="0"/>
        <v>7.2707473409545391E-3</v>
      </c>
    </row>
    <row r="72" spans="1:3" ht="13.2" x14ac:dyDescent="0.25">
      <c r="A72" s="6">
        <v>70</v>
      </c>
      <c r="B72" s="7">
        <v>372.70001220703102</v>
      </c>
      <c r="C72" s="3">
        <f t="shared" si="0"/>
        <v>1.8687136652196824E-2</v>
      </c>
    </row>
    <row r="73" spans="1:3" ht="13.2" x14ac:dyDescent="0.25">
      <c r="A73" s="6">
        <v>71</v>
      </c>
      <c r="B73" s="7">
        <v>369.67001342773398</v>
      </c>
      <c r="C73" s="3">
        <f t="shared" si="0"/>
        <v>-8.1630871404557541E-3</v>
      </c>
    </row>
    <row r="74" spans="1:3" ht="13.2" x14ac:dyDescent="0.25">
      <c r="A74" s="6">
        <v>72</v>
      </c>
      <c r="B74" s="7">
        <v>366.76998901367102</v>
      </c>
      <c r="C74" s="3">
        <f t="shared" si="0"/>
        <v>-7.8758334551124465E-3</v>
      </c>
    </row>
    <row r="75" spans="1:3" ht="13.2" x14ac:dyDescent="0.25">
      <c r="A75" s="6">
        <v>73</v>
      </c>
      <c r="B75" s="7">
        <v>368.350006103515</v>
      </c>
      <c r="C75" s="3">
        <f t="shared" si="0"/>
        <v>4.2986710560899994E-3</v>
      </c>
    </row>
    <row r="76" spans="1:3" ht="13.2" x14ac:dyDescent="0.25">
      <c r="A76" s="6">
        <v>74</v>
      </c>
      <c r="B76" s="7">
        <v>381.14999389648398</v>
      </c>
      <c r="C76" s="3">
        <f t="shared" si="0"/>
        <v>3.4159392722158365E-2</v>
      </c>
    </row>
    <row r="77" spans="1:3" ht="13.2" x14ac:dyDescent="0.25">
      <c r="A77" s="6">
        <v>75</v>
      </c>
      <c r="B77" s="7">
        <v>375.07000732421801</v>
      </c>
      <c r="C77" s="3">
        <f t="shared" si="0"/>
        <v>-1.6080287676234348E-2</v>
      </c>
    </row>
    <row r="78" spans="1:3" ht="13.2" x14ac:dyDescent="0.25">
      <c r="A78" s="6">
        <v>76</v>
      </c>
      <c r="B78" s="7">
        <v>365.739990234375</v>
      </c>
      <c r="C78" s="3">
        <f t="shared" si="0"/>
        <v>-2.5190022999142647E-2</v>
      </c>
    </row>
    <row r="79" spans="1:3" ht="13.2" x14ac:dyDescent="0.25">
      <c r="A79" s="6">
        <v>77</v>
      </c>
      <c r="B79" s="7">
        <v>369.08999633789</v>
      </c>
      <c r="C79" s="3">
        <f t="shared" si="0"/>
        <v>9.1178350727068435E-3</v>
      </c>
    </row>
    <row r="80" spans="1:3" ht="13.2" x14ac:dyDescent="0.25">
      <c r="A80" s="6">
        <v>78</v>
      </c>
      <c r="B80" s="7">
        <v>369.260009765625</v>
      </c>
      <c r="C80" s="3">
        <f t="shared" si="0"/>
        <v>4.6052259588081105E-4</v>
      </c>
    </row>
    <row r="81" spans="1:3" ht="13.2" x14ac:dyDescent="0.25">
      <c r="A81" s="6">
        <v>79</v>
      </c>
      <c r="B81" s="7">
        <v>364.850006103515</v>
      </c>
      <c r="C81" s="3">
        <f t="shared" si="0"/>
        <v>-1.201470247360799E-2</v>
      </c>
    </row>
    <row r="82" spans="1:3" ht="13.2" x14ac:dyDescent="0.25">
      <c r="A82" s="6">
        <v>80</v>
      </c>
      <c r="B82" s="7">
        <v>369.67001342773398</v>
      </c>
      <c r="C82" s="3">
        <f t="shared" si="0"/>
        <v>1.3124425157261352E-2</v>
      </c>
    </row>
    <row r="83" spans="1:3" ht="13.2" x14ac:dyDescent="0.25">
      <c r="A83" s="6">
        <v>81</v>
      </c>
      <c r="B83" s="7">
        <v>368.61999511718699</v>
      </c>
      <c r="C83" s="3">
        <f t="shared" si="0"/>
        <v>-2.844462220444148E-3</v>
      </c>
    </row>
    <row r="84" spans="1:3" ht="13.2" x14ac:dyDescent="0.25">
      <c r="A84" s="6">
        <v>82</v>
      </c>
      <c r="B84" s="7">
        <v>375.04998779296801</v>
      </c>
      <c r="C84" s="3">
        <f t="shared" si="0"/>
        <v>1.7293027990619284E-2</v>
      </c>
    </row>
    <row r="85" spans="1:3" ht="13.2" x14ac:dyDescent="0.25">
      <c r="A85" s="6">
        <v>83</v>
      </c>
      <c r="B85" s="7">
        <v>354</v>
      </c>
      <c r="C85" s="3">
        <f t="shared" si="0"/>
        <v>-5.7762404734124688E-2</v>
      </c>
    </row>
    <row r="86" spans="1:3" ht="13.2" x14ac:dyDescent="0.25">
      <c r="A86" s="6">
        <v>84</v>
      </c>
      <c r="B86" s="7">
        <v>330.91000366210898</v>
      </c>
      <c r="C86" s="3">
        <f t="shared" si="0"/>
        <v>-6.7450466985602739E-2</v>
      </c>
    </row>
    <row r="87" spans="1:3" ht="13.2" x14ac:dyDescent="0.25">
      <c r="A87" s="6">
        <v>85</v>
      </c>
      <c r="B87" s="7">
        <v>334.52999877929602</v>
      </c>
      <c r="C87" s="3">
        <f t="shared" si="0"/>
        <v>1.0880111848196447E-2</v>
      </c>
    </row>
    <row r="88" spans="1:3" ht="13.2" x14ac:dyDescent="0.25">
      <c r="A88" s="6">
        <v>86</v>
      </c>
      <c r="B88" s="7">
        <v>319.86999511718699</v>
      </c>
      <c r="C88" s="3">
        <f t="shared" si="0"/>
        <v>-4.4811910009475181E-2</v>
      </c>
    </row>
    <row r="89" spans="1:3" ht="13.2" x14ac:dyDescent="0.25">
      <c r="A89" s="6">
        <v>87</v>
      </c>
      <c r="B89" s="7">
        <v>324.89001464843699</v>
      </c>
      <c r="C89" s="3">
        <f t="shared" si="0"/>
        <v>1.5572060600722073E-2</v>
      </c>
    </row>
    <row r="90" spans="1:3" ht="13.2" x14ac:dyDescent="0.25">
      <c r="A90" s="6">
        <v>88</v>
      </c>
      <c r="B90" s="7">
        <v>316.11999511718699</v>
      </c>
      <c r="C90" s="3">
        <f t="shared" si="0"/>
        <v>-2.7364835696914804E-2</v>
      </c>
    </row>
    <row r="91" spans="1:3" ht="13.2" x14ac:dyDescent="0.25">
      <c r="A91" s="6">
        <v>89</v>
      </c>
      <c r="B91" s="7">
        <v>317.33999633789</v>
      </c>
      <c r="C91" s="3">
        <f t="shared" si="0"/>
        <v>3.8518698752231339E-3</v>
      </c>
    </row>
    <row r="92" spans="1:3" ht="13.2" x14ac:dyDescent="0.25">
      <c r="A92" s="6">
        <v>90</v>
      </c>
      <c r="B92" s="7">
        <v>326.25</v>
      </c>
      <c r="C92" s="3">
        <f t="shared" si="0"/>
        <v>2.7690215870979817E-2</v>
      </c>
    </row>
    <row r="93" spans="1:3" ht="13.2" x14ac:dyDescent="0.25">
      <c r="A93" s="6">
        <v>91</v>
      </c>
      <c r="B93" s="7">
        <v>310.63000488281199</v>
      </c>
      <c r="C93" s="3">
        <f t="shared" si="0"/>
        <v>-4.9061449617020525E-2</v>
      </c>
    </row>
    <row r="94" spans="1:3" ht="13.2" x14ac:dyDescent="0.25">
      <c r="A94" s="6">
        <v>92</v>
      </c>
      <c r="B94" s="7">
        <v>310.489990234375</v>
      </c>
      <c r="C94" s="3">
        <f t="shared" si="0"/>
        <v>-4.5084573644163463E-4</v>
      </c>
    </row>
    <row r="95" spans="1:3" ht="13.2" x14ac:dyDescent="0.25">
      <c r="A95" s="6">
        <v>93</v>
      </c>
      <c r="B95" s="7">
        <v>306.80999755859301</v>
      </c>
      <c r="C95" s="3">
        <f t="shared" si="0"/>
        <v>-1.1923007754800355E-2</v>
      </c>
    </row>
    <row r="96" spans="1:3" ht="13.2" x14ac:dyDescent="0.25">
      <c r="A96" s="6">
        <v>94</v>
      </c>
      <c r="B96" s="7">
        <v>311.89999389648398</v>
      </c>
      <c r="C96" s="3">
        <f t="shared" si="0"/>
        <v>1.645394851629332E-2</v>
      </c>
    </row>
    <row r="97" spans="1:3" ht="13.2" x14ac:dyDescent="0.25">
      <c r="A97" s="6">
        <v>95</v>
      </c>
      <c r="B97" s="7">
        <v>303.760009765625</v>
      </c>
      <c r="C97" s="3">
        <f t="shared" si="0"/>
        <v>-2.6444655972240216E-2</v>
      </c>
    </row>
    <row r="98" spans="1:3" ht="13.2" x14ac:dyDescent="0.25">
      <c r="A98" s="6">
        <v>96</v>
      </c>
      <c r="B98" s="7">
        <v>284.92001342773398</v>
      </c>
      <c r="C98" s="3">
        <f t="shared" si="0"/>
        <v>-6.402946183445675E-2</v>
      </c>
    </row>
    <row r="99" spans="1:3" ht="13.2" x14ac:dyDescent="0.25">
      <c r="A99" s="6">
        <v>97</v>
      </c>
      <c r="B99" s="7">
        <v>290.41000366210898</v>
      </c>
      <c r="C99" s="3">
        <f t="shared" si="0"/>
        <v>1.9085243991365776E-2</v>
      </c>
    </row>
    <row r="100" spans="1:3" ht="13.2" x14ac:dyDescent="0.25">
      <c r="A100" s="6">
        <v>98</v>
      </c>
      <c r="B100" s="7">
        <v>260.100006103515</v>
      </c>
      <c r="C100" s="3">
        <f t="shared" si="0"/>
        <v>-0.11022753430896488</v>
      </c>
    </row>
    <row r="101" spans="1:3" ht="13.2" x14ac:dyDescent="0.25">
      <c r="A101" s="6">
        <v>99</v>
      </c>
      <c r="B101" s="7">
        <v>236.13999938964801</v>
      </c>
      <c r="C101" s="3">
        <f t="shared" si="0"/>
        <v>-9.6641349026378193E-2</v>
      </c>
    </row>
    <row r="102" spans="1:3" ht="13.2" x14ac:dyDescent="0.25">
      <c r="A102" s="6">
        <v>100</v>
      </c>
      <c r="B102" s="7">
        <v>216.36000061035099</v>
      </c>
      <c r="C102" s="3">
        <f t="shared" si="0"/>
        <v>-8.7481157070036078E-2</v>
      </c>
    </row>
    <row r="103" spans="1:3" ht="13.2" x14ac:dyDescent="0.25">
      <c r="A103" s="6">
        <v>101</v>
      </c>
      <c r="B103" s="7">
        <v>208.63000488281199</v>
      </c>
      <c r="C103" s="3">
        <f t="shared" si="0"/>
        <v>-3.6381318278271145E-2</v>
      </c>
    </row>
    <row r="104" spans="1:3" ht="13.2" x14ac:dyDescent="0.25">
      <c r="A104" s="6">
        <v>102</v>
      </c>
      <c r="B104" s="7">
        <v>210.32000732421801</v>
      </c>
      <c r="C104" s="3">
        <f t="shared" si="0"/>
        <v>8.0678436998360432E-3</v>
      </c>
    </row>
    <row r="105" spans="1:3" ht="13.2" x14ac:dyDescent="0.25">
      <c r="A105" s="6">
        <v>103</v>
      </c>
      <c r="B105" s="7">
        <v>234.39999389648401</v>
      </c>
      <c r="C105" s="3">
        <f t="shared" si="0"/>
        <v>0.10839881641817796</v>
      </c>
    </row>
    <row r="106" spans="1:3" ht="13.2" x14ac:dyDescent="0.25">
      <c r="A106" s="6">
        <v>104</v>
      </c>
      <c r="B106" s="7">
        <v>241.33999633789</v>
      </c>
      <c r="C106" s="3">
        <f t="shared" si="0"/>
        <v>2.9177680807418352E-2</v>
      </c>
    </row>
    <row r="107" spans="1:3" ht="13.2" x14ac:dyDescent="0.25">
      <c r="A107" s="6">
        <v>105</v>
      </c>
      <c r="B107" s="7">
        <v>236.69000244140599</v>
      </c>
      <c r="C107" s="3">
        <f t="shared" si="0"/>
        <v>-1.9455434099882003E-2</v>
      </c>
    </row>
    <row r="108" spans="1:3" ht="13.2" x14ac:dyDescent="0.25">
      <c r="A108" s="6">
        <v>106</v>
      </c>
      <c r="B108" s="7">
        <v>229.67999267578099</v>
      </c>
      <c r="C108" s="3">
        <f t="shared" si="0"/>
        <v>-3.0064274447492243E-2</v>
      </c>
    </row>
    <row r="109" spans="1:3" ht="13.2" x14ac:dyDescent="0.25">
      <c r="A109" s="6">
        <v>107</v>
      </c>
      <c r="B109" s="7">
        <v>231.47000122070301</v>
      </c>
      <c r="C109" s="3">
        <f t="shared" si="0"/>
        <v>7.7632768456855619E-3</v>
      </c>
    </row>
    <row r="110" spans="1:3" ht="13.2" x14ac:dyDescent="0.25">
      <c r="A110" s="6">
        <v>108</v>
      </c>
      <c r="B110" s="7">
        <v>223.36000061035099</v>
      </c>
      <c r="C110" s="3">
        <f t="shared" si="0"/>
        <v>-3.5665458463099708E-2</v>
      </c>
    </row>
    <row r="111" spans="1:3" ht="13.2" x14ac:dyDescent="0.25">
      <c r="A111" s="6">
        <v>109</v>
      </c>
      <c r="B111" s="7">
        <v>218.009994506835</v>
      </c>
      <c r="C111" s="3">
        <f t="shared" si="0"/>
        <v>-2.4243914206791135E-2</v>
      </c>
    </row>
    <row r="112" spans="1:3" ht="13.2" x14ac:dyDescent="0.25">
      <c r="A112" s="6">
        <v>110</v>
      </c>
      <c r="B112" s="7">
        <v>217.94000244140599</v>
      </c>
      <c r="C112" s="3">
        <f t="shared" si="0"/>
        <v>-3.2110134887193071E-4</v>
      </c>
    </row>
    <row r="113" spans="1:3" ht="13.2" x14ac:dyDescent="0.25">
      <c r="A113" s="6">
        <v>111</v>
      </c>
      <c r="B113" s="7">
        <v>206.17999267578099</v>
      </c>
      <c r="C113" s="3">
        <f t="shared" si="0"/>
        <v>-5.5470268606116459E-2</v>
      </c>
    </row>
    <row r="114" spans="1:3" ht="13.2" x14ac:dyDescent="0.25">
      <c r="A114" s="6">
        <v>112</v>
      </c>
      <c r="B114" s="7">
        <v>218.83999633789</v>
      </c>
      <c r="C114" s="3">
        <f t="shared" si="0"/>
        <v>5.9591314316618856E-2</v>
      </c>
    </row>
    <row r="115" spans="1:3" ht="13.2" x14ac:dyDescent="0.25">
      <c r="A115" s="6">
        <v>113</v>
      </c>
      <c r="B115" s="7">
        <v>217.74000549316401</v>
      </c>
      <c r="C115" s="3">
        <f t="shared" si="0"/>
        <v>-5.0391367803134211E-3</v>
      </c>
    </row>
    <row r="116" spans="1:3" ht="13.2" x14ac:dyDescent="0.25">
      <c r="A116" s="6">
        <v>114</v>
      </c>
      <c r="B116" s="7">
        <v>219.22999572753901</v>
      </c>
      <c r="C116" s="3">
        <f t="shared" si="0"/>
        <v>6.8196718534645527E-3</v>
      </c>
    </row>
    <row r="117" spans="1:3" ht="13.2" x14ac:dyDescent="0.25">
      <c r="A117" s="6">
        <v>115</v>
      </c>
      <c r="B117" s="7">
        <v>221.94999694824199</v>
      </c>
      <c r="C117" s="3">
        <f t="shared" si="0"/>
        <v>1.2330729995702856E-2</v>
      </c>
    </row>
    <row r="118" spans="1:3" ht="13.2" x14ac:dyDescent="0.25">
      <c r="A118" s="6">
        <v>116</v>
      </c>
      <c r="B118" s="7">
        <v>225.49000549316401</v>
      </c>
      <c r="C118" s="3">
        <f t="shared" si="0"/>
        <v>1.5823718892139623E-2</v>
      </c>
    </row>
    <row r="119" spans="1:3" ht="13.2" x14ac:dyDescent="0.25">
      <c r="A119" s="6">
        <v>117</v>
      </c>
      <c r="B119" s="7">
        <v>225.27999877929599</v>
      </c>
      <c r="C119" s="3">
        <f t="shared" si="0"/>
        <v>-9.3176887135965254E-4</v>
      </c>
    </row>
    <row r="120" spans="1:3" ht="13.2" x14ac:dyDescent="0.25">
      <c r="A120" s="6">
        <v>118</v>
      </c>
      <c r="B120" s="7">
        <v>229.77000427246</v>
      </c>
      <c r="C120" s="3">
        <f t="shared" si="0"/>
        <v>1.973475963304968E-2</v>
      </c>
    </row>
    <row r="121" spans="1:3" ht="13.2" x14ac:dyDescent="0.25">
      <c r="A121" s="6">
        <v>119</v>
      </c>
      <c r="B121" s="7">
        <v>240.13000488281199</v>
      </c>
      <c r="C121" s="3">
        <f t="shared" si="0"/>
        <v>4.4101636510139271E-2</v>
      </c>
    </row>
    <row r="122" spans="1:3" ht="13.2" x14ac:dyDescent="0.25">
      <c r="A122" s="6">
        <v>120</v>
      </c>
      <c r="B122" s="7">
        <v>237.100006103515</v>
      </c>
      <c r="C122" s="3">
        <f t="shared" si="0"/>
        <v>-1.2698444880533045E-2</v>
      </c>
    </row>
    <row r="123" spans="1:3" ht="13.2" x14ac:dyDescent="0.25">
      <c r="A123" s="6">
        <v>121</v>
      </c>
      <c r="B123" s="7">
        <v>231.32000732421801</v>
      </c>
      <c r="C123" s="3">
        <f t="shared" si="0"/>
        <v>-2.4679953860998808E-2</v>
      </c>
    </row>
    <row r="124" spans="1:3" ht="13.2" x14ac:dyDescent="0.25">
      <c r="A124" s="6">
        <v>122</v>
      </c>
      <c r="B124" s="7">
        <v>236.21000671386699</v>
      </c>
      <c r="C124" s="3">
        <f t="shared" si="0"/>
        <v>2.0919203340186408E-2</v>
      </c>
    </row>
    <row r="125" spans="1:3" ht="13.2" x14ac:dyDescent="0.25">
      <c r="A125" s="6">
        <v>123</v>
      </c>
      <c r="B125" s="7">
        <v>238.11000061035099</v>
      </c>
      <c r="C125" s="3">
        <f t="shared" si="0"/>
        <v>8.0114860412959649E-3</v>
      </c>
    </row>
    <row r="126" spans="1:3" ht="13.2" x14ac:dyDescent="0.25">
      <c r="A126" s="6">
        <v>124</v>
      </c>
      <c r="B126" s="7">
        <v>235.71000671386699</v>
      </c>
      <c r="C126" s="3">
        <f t="shared" si="0"/>
        <v>-1.0130489994779661E-2</v>
      </c>
    </row>
    <row r="127" spans="1:3" ht="13.2" x14ac:dyDescent="0.25">
      <c r="A127" s="6">
        <v>125</v>
      </c>
      <c r="B127" s="7">
        <v>239.99000549316401</v>
      </c>
      <c r="C127" s="3">
        <f t="shared" si="0"/>
        <v>1.7995014356952353E-2</v>
      </c>
    </row>
    <row r="128" spans="1:3" ht="13.2" x14ac:dyDescent="0.25">
      <c r="A128" s="6">
        <v>126</v>
      </c>
      <c r="B128" s="7">
        <v>239.69000244140599</v>
      </c>
      <c r="C128" s="3">
        <f t="shared" si="0"/>
        <v>-1.2508467558012893E-3</v>
      </c>
    </row>
    <row r="129" spans="1:3" ht="13.2" x14ac:dyDescent="0.25">
      <c r="A129" s="6">
        <v>127</v>
      </c>
      <c r="B129" s="7">
        <v>239.69999694824199</v>
      </c>
      <c r="C129" s="3">
        <f t="shared" si="0"/>
        <v>4.1696768185177295E-5</v>
      </c>
    </row>
    <row r="130" spans="1:3" ht="13.2" x14ac:dyDescent="0.25">
      <c r="A130" s="6">
        <v>128</v>
      </c>
      <c r="B130" s="7">
        <v>241.38999938964801</v>
      </c>
      <c r="C130" s="3">
        <f t="shared" si="0"/>
        <v>7.0257515474237715E-3</v>
      </c>
    </row>
    <row r="131" spans="1:3" ht="13.2" x14ac:dyDescent="0.25">
      <c r="A131" s="6">
        <v>129</v>
      </c>
      <c r="B131" s="7">
        <v>257.22000122070301</v>
      </c>
      <c r="C131" s="3">
        <f t="shared" si="0"/>
        <v>6.3517874327505747E-2</v>
      </c>
    </row>
    <row r="132" spans="1:3" ht="13.2" x14ac:dyDescent="0.25">
      <c r="A132" s="6">
        <v>130</v>
      </c>
      <c r="B132" s="7">
        <v>263.760009765625</v>
      </c>
      <c r="C132" s="3">
        <f t="shared" si="0"/>
        <v>2.5107881204442149E-2</v>
      </c>
    </row>
    <row r="133" spans="1:3" ht="13.2" x14ac:dyDescent="0.25">
      <c r="A133" s="6">
        <v>131</v>
      </c>
      <c r="B133" s="7">
        <v>267.29000854492102</v>
      </c>
      <c r="C133" s="3">
        <f t="shared" si="0"/>
        <v>1.3294607477125448E-2</v>
      </c>
    </row>
    <row r="134" spans="1:3" ht="13.2" x14ac:dyDescent="0.25">
      <c r="A134" s="6">
        <v>132</v>
      </c>
      <c r="B134" s="7">
        <v>252.600006103515</v>
      </c>
      <c r="C134" s="3">
        <f t="shared" si="0"/>
        <v>-5.6527009186105301E-2</v>
      </c>
    </row>
    <row r="135" spans="1:3" ht="13.2" x14ac:dyDescent="0.25">
      <c r="A135" s="6">
        <v>133</v>
      </c>
      <c r="B135" s="7">
        <v>250.850006103515</v>
      </c>
      <c r="C135" s="3">
        <f t="shared" si="0"/>
        <v>-6.9520588175625486E-3</v>
      </c>
    </row>
    <row r="136" spans="1:3" ht="13.2" x14ac:dyDescent="0.25">
      <c r="A136" s="6">
        <v>134</v>
      </c>
      <c r="B136" s="7">
        <v>243.38999938964801</v>
      </c>
      <c r="C136" s="3">
        <f t="shared" si="0"/>
        <v>-3.0190082694223692E-2</v>
      </c>
    </row>
    <row r="137" spans="1:3" ht="13.2" x14ac:dyDescent="0.25">
      <c r="A137" s="6">
        <v>135</v>
      </c>
      <c r="B137" s="7">
        <v>241.80000305175699</v>
      </c>
      <c r="C137" s="3">
        <f t="shared" si="0"/>
        <v>-6.5541417656826296E-3</v>
      </c>
    </row>
    <row r="138" spans="1:3" ht="13.2" x14ac:dyDescent="0.25">
      <c r="A138" s="6">
        <v>136</v>
      </c>
      <c r="B138" s="7">
        <v>238.94000244140599</v>
      </c>
      <c r="C138" s="3">
        <f t="shared" si="0"/>
        <v>-1.1898466194958273E-2</v>
      </c>
    </row>
    <row r="139" spans="1:3" ht="13.2" x14ac:dyDescent="0.25">
      <c r="A139" s="6">
        <v>137</v>
      </c>
      <c r="B139" s="7">
        <v>239.66000366210901</v>
      </c>
      <c r="C139" s="3">
        <f t="shared" si="0"/>
        <v>3.0087829280745792E-3</v>
      </c>
    </row>
    <row r="140" spans="1:3" ht="13.2" x14ac:dyDescent="0.25">
      <c r="A140" s="6">
        <v>138</v>
      </c>
      <c r="B140" s="7">
        <v>232.32000732421801</v>
      </c>
      <c r="C140" s="3">
        <f t="shared" si="0"/>
        <v>-3.1105504371953946E-2</v>
      </c>
    </row>
    <row r="141" spans="1:3" ht="13.2" x14ac:dyDescent="0.25">
      <c r="A141" s="6">
        <v>139</v>
      </c>
      <c r="B141" s="7">
        <v>250.13999938964801</v>
      </c>
      <c r="C141" s="3">
        <f t="shared" si="0"/>
        <v>7.3904995517867708E-2</v>
      </c>
    </row>
    <row r="142" spans="1:3" ht="13.2" x14ac:dyDescent="0.25">
      <c r="A142" s="6">
        <v>140</v>
      </c>
      <c r="B142" s="7">
        <v>229.75</v>
      </c>
      <c r="C142" s="3">
        <f t="shared" si="0"/>
        <v>-8.5028997444922552E-2</v>
      </c>
    </row>
    <row r="143" spans="1:3" ht="13.2" x14ac:dyDescent="0.25">
      <c r="A143" s="6">
        <v>141</v>
      </c>
      <c r="B143" s="7">
        <v>231.63999938964801</v>
      </c>
      <c r="C143" s="3">
        <f t="shared" si="0"/>
        <v>8.1926784868764924E-3</v>
      </c>
    </row>
    <row r="144" spans="1:3" ht="13.2" x14ac:dyDescent="0.25">
      <c r="A144" s="6">
        <v>142</v>
      </c>
      <c r="B144" s="7">
        <v>226.850006103515</v>
      </c>
      <c r="C144" s="3">
        <f t="shared" si="0"/>
        <v>-2.0895406707190051E-2</v>
      </c>
    </row>
    <row r="145" spans="1:3" ht="13.2" x14ac:dyDescent="0.25">
      <c r="A145" s="6">
        <v>143</v>
      </c>
      <c r="B145" s="7">
        <v>227.80999755859301</v>
      </c>
      <c r="C145" s="3">
        <f t="shared" si="0"/>
        <v>4.2229044735243157E-3</v>
      </c>
    </row>
    <row r="146" spans="1:3" ht="13.2" x14ac:dyDescent="0.25">
      <c r="A146" s="6">
        <v>144</v>
      </c>
      <c r="B146" s="7">
        <v>226.19999694824199</v>
      </c>
      <c r="C146" s="3">
        <f t="shared" si="0"/>
        <v>-7.0923872984019398E-3</v>
      </c>
    </row>
    <row r="147" spans="1:3" ht="13.2" x14ac:dyDescent="0.25">
      <c r="A147" s="6">
        <v>145</v>
      </c>
      <c r="B147" s="7">
        <v>232.33000183105401</v>
      </c>
      <c r="C147" s="3">
        <f t="shared" si="0"/>
        <v>2.673923247785509E-2</v>
      </c>
    </row>
    <row r="148" spans="1:3" ht="13.2" x14ac:dyDescent="0.25">
      <c r="A148" s="6">
        <v>146</v>
      </c>
      <c r="B148" s="7">
        <v>232.52000427246</v>
      </c>
      <c r="C148" s="3">
        <f t="shared" si="0"/>
        <v>8.1747853928092261E-4</v>
      </c>
    </row>
    <row r="149" spans="1:3" ht="13.2" x14ac:dyDescent="0.25">
      <c r="A149" s="6">
        <v>147</v>
      </c>
      <c r="B149" s="7">
        <v>235.350006103515</v>
      </c>
      <c r="C149" s="3">
        <f t="shared" si="0"/>
        <v>1.2097532573189426E-2</v>
      </c>
    </row>
    <row r="150" spans="1:3" ht="13.2" x14ac:dyDescent="0.25">
      <c r="A150" s="6">
        <v>148</v>
      </c>
      <c r="B150" s="7">
        <v>228.55000305175699</v>
      </c>
      <c r="C150" s="3">
        <f t="shared" si="0"/>
        <v>-2.931877565048846E-2</v>
      </c>
    </row>
    <row r="151" spans="1:3" ht="13.2" x14ac:dyDescent="0.25">
      <c r="A151" s="6">
        <v>149</v>
      </c>
      <c r="B151" s="7">
        <v>247.97999572753901</v>
      </c>
      <c r="C151" s="3">
        <f t="shared" si="0"/>
        <v>8.1593062392199239E-2</v>
      </c>
    </row>
    <row r="152" spans="1:3" ht="13.2" x14ac:dyDescent="0.25">
      <c r="A152" s="6">
        <v>150</v>
      </c>
      <c r="B152" s="7">
        <v>261.86999511718699</v>
      </c>
      <c r="C152" s="3">
        <f t="shared" si="0"/>
        <v>5.4500098246784173E-2</v>
      </c>
    </row>
    <row r="153" spans="1:3" ht="13.2" x14ac:dyDescent="0.25">
      <c r="A153" s="6">
        <v>151</v>
      </c>
      <c r="B153" s="7">
        <v>277.26998901367102</v>
      </c>
      <c r="C153" s="3">
        <f t="shared" si="0"/>
        <v>5.7143542296496957E-2</v>
      </c>
    </row>
    <row r="154" spans="1:3" ht="13.2" x14ac:dyDescent="0.25">
      <c r="A154" s="6">
        <v>152</v>
      </c>
      <c r="B154" s="7">
        <v>282.66000366210898</v>
      </c>
      <c r="C154" s="3">
        <f t="shared" si="0"/>
        <v>1.9253053829962195E-2</v>
      </c>
    </row>
    <row r="155" spans="1:3" ht="13.2" x14ac:dyDescent="0.25">
      <c r="A155" s="6">
        <v>153</v>
      </c>
      <c r="B155" s="7">
        <v>290.329986572265</v>
      </c>
      <c r="C155" s="3">
        <f t="shared" si="0"/>
        <v>2.6773385916437232E-2</v>
      </c>
    </row>
    <row r="156" spans="1:3" ht="13.2" x14ac:dyDescent="0.25">
      <c r="A156" s="6">
        <v>154</v>
      </c>
      <c r="B156" s="7">
        <v>299.52999877929602</v>
      </c>
      <c r="C156" s="3">
        <f t="shared" si="0"/>
        <v>3.1196414596319E-2</v>
      </c>
    </row>
    <row r="157" spans="1:3" ht="13.2" x14ac:dyDescent="0.25">
      <c r="A157" s="6">
        <v>155</v>
      </c>
      <c r="B157" s="7">
        <v>294.75</v>
      </c>
      <c r="C157" s="3">
        <f t="shared" si="0"/>
        <v>-1.6087035991160414E-2</v>
      </c>
    </row>
    <row r="158" spans="1:3" ht="13.2" x14ac:dyDescent="0.25">
      <c r="A158" s="6">
        <v>156</v>
      </c>
      <c r="B158" s="7">
        <v>274.64001464843699</v>
      </c>
      <c r="C158" s="3">
        <f t="shared" si="0"/>
        <v>-7.0666336931178769E-2</v>
      </c>
    </row>
    <row r="159" spans="1:3" ht="13.2" x14ac:dyDescent="0.25">
      <c r="A159" s="6">
        <v>157</v>
      </c>
      <c r="B159" s="7">
        <v>264.760009765625</v>
      </c>
      <c r="C159" s="3">
        <f t="shared" si="0"/>
        <v>-3.6637410350760041E-2</v>
      </c>
    </row>
    <row r="160" spans="1:3" ht="13.2" x14ac:dyDescent="0.25">
      <c r="A160" s="6">
        <v>158</v>
      </c>
      <c r="B160" s="7">
        <v>274.23001098632801</v>
      </c>
      <c r="C160" s="3">
        <f t="shared" si="0"/>
        <v>3.5143418260753151E-2</v>
      </c>
    </row>
    <row r="161" spans="1:3" ht="13.2" x14ac:dyDescent="0.25">
      <c r="A161" s="6">
        <v>159</v>
      </c>
      <c r="B161" s="7">
        <v>268</v>
      </c>
      <c r="C161" s="3">
        <f t="shared" si="0"/>
        <v>-2.2980229885438117E-2</v>
      </c>
    </row>
    <row r="162" spans="1:3" ht="13.2" x14ac:dyDescent="0.25">
      <c r="A162" s="6">
        <v>160</v>
      </c>
      <c r="B162" s="7">
        <v>273.73001098632801</v>
      </c>
      <c r="C162" s="3">
        <f t="shared" si="0"/>
        <v>2.1155278725794653E-2</v>
      </c>
    </row>
    <row r="163" spans="1:3" ht="13.2" x14ac:dyDescent="0.25">
      <c r="A163" s="6">
        <v>161</v>
      </c>
      <c r="B163" s="7">
        <v>266.33999633789</v>
      </c>
      <c r="C163" s="3">
        <f t="shared" si="0"/>
        <v>-2.736858491240864E-2</v>
      </c>
    </row>
    <row r="164" spans="1:3" ht="13.2" x14ac:dyDescent="0.25">
      <c r="A164" s="6">
        <v>162</v>
      </c>
      <c r="B164" s="7">
        <v>266.98001098632801</v>
      </c>
      <c r="C164" s="3">
        <f t="shared" si="0"/>
        <v>2.4001160537210826E-3</v>
      </c>
    </row>
    <row r="165" spans="1:3" ht="13.2" x14ac:dyDescent="0.25">
      <c r="A165" s="6">
        <v>163</v>
      </c>
      <c r="B165" s="7">
        <v>264.5</v>
      </c>
      <c r="C165" s="3">
        <f t="shared" si="0"/>
        <v>-9.332539079609712E-3</v>
      </c>
    </row>
    <row r="166" spans="1:3" ht="13.2" x14ac:dyDescent="0.25">
      <c r="A166" s="6">
        <v>164</v>
      </c>
      <c r="B166" s="7">
        <v>256.36999511718699</v>
      </c>
      <c r="C166" s="3">
        <f t="shared" si="0"/>
        <v>-3.1219556823569024E-2</v>
      </c>
    </row>
    <row r="167" spans="1:3" ht="13.2" x14ac:dyDescent="0.25">
      <c r="A167" s="6">
        <v>165</v>
      </c>
      <c r="B167" s="7">
        <v>264.05999755859301</v>
      </c>
      <c r="C167" s="3">
        <f t="shared" si="0"/>
        <v>2.9554646330617516E-2</v>
      </c>
    </row>
    <row r="168" spans="1:3" ht="13.2" x14ac:dyDescent="0.25">
      <c r="A168" s="6">
        <v>166</v>
      </c>
      <c r="B168" s="7">
        <v>259.14999389648398</v>
      </c>
      <c r="C168" s="3">
        <f t="shared" si="0"/>
        <v>-1.8769319721746003E-2</v>
      </c>
    </row>
    <row r="169" spans="1:3" ht="13.2" x14ac:dyDescent="0.25">
      <c r="A169" s="6">
        <v>167</v>
      </c>
      <c r="B169" s="7">
        <v>256.64001464843699</v>
      </c>
      <c r="C169" s="3">
        <f t="shared" si="0"/>
        <v>-9.7326393277458612E-3</v>
      </c>
    </row>
    <row r="170" spans="1:3" ht="13.2" x14ac:dyDescent="0.25">
      <c r="A170" s="6">
        <v>168</v>
      </c>
      <c r="B170" s="7">
        <v>254.99000549316401</v>
      </c>
      <c r="C170" s="3">
        <f t="shared" si="0"/>
        <v>-6.4500315100498853E-3</v>
      </c>
    </row>
    <row r="171" spans="1:3" ht="13.2" x14ac:dyDescent="0.25">
      <c r="A171" s="6">
        <v>169</v>
      </c>
      <c r="B171" s="7">
        <v>260.36999511718699</v>
      </c>
      <c r="C171" s="3">
        <f t="shared" si="0"/>
        <v>2.0879327325039634E-2</v>
      </c>
    </row>
    <row r="172" spans="1:3" ht="13.2" x14ac:dyDescent="0.25">
      <c r="A172" s="6">
        <v>170</v>
      </c>
      <c r="B172" s="7">
        <v>256.64999389648398</v>
      </c>
      <c r="C172" s="3">
        <f t="shared" si="0"/>
        <v>-1.4390412346065317E-2</v>
      </c>
    </row>
    <row r="173" spans="1:3" ht="13.2" x14ac:dyDescent="0.25">
      <c r="A173" s="6">
        <v>171</v>
      </c>
      <c r="B173" s="7">
        <v>262.100006103515</v>
      </c>
      <c r="C173" s="3">
        <f t="shared" si="0"/>
        <v>2.1012868391495819E-2</v>
      </c>
    </row>
    <row r="174" spans="1:3" ht="13.2" x14ac:dyDescent="0.25">
      <c r="A174" s="6">
        <v>172</v>
      </c>
      <c r="B174" s="7">
        <v>261.98001098632801</v>
      </c>
      <c r="C174" s="3">
        <f t="shared" si="0"/>
        <v>-4.5792671107818493E-4</v>
      </c>
    </row>
    <row r="175" spans="1:3" ht="13.2" x14ac:dyDescent="0.25">
      <c r="A175" s="6">
        <v>173</v>
      </c>
      <c r="B175" s="7">
        <v>259.38000488281199</v>
      </c>
      <c r="C175" s="3">
        <f t="shared" si="0"/>
        <v>-9.9740201727212281E-3</v>
      </c>
    </row>
    <row r="176" spans="1:3" ht="13.2" x14ac:dyDescent="0.25">
      <c r="A176" s="6">
        <v>174</v>
      </c>
      <c r="B176" s="7">
        <v>254.27000427246</v>
      </c>
      <c r="C176" s="3">
        <f t="shared" si="0"/>
        <v>-1.9897475361235595E-2</v>
      </c>
    </row>
    <row r="177" spans="1:3" ht="13.2" x14ac:dyDescent="0.25">
      <c r="A177" s="6">
        <v>175</v>
      </c>
      <c r="B177" s="7">
        <v>255.08999633789</v>
      </c>
      <c r="C177" s="3">
        <f t="shared" si="0"/>
        <v>3.2196983383660331E-3</v>
      </c>
    </row>
    <row r="178" spans="1:3" ht="13.2" x14ac:dyDescent="0.25">
      <c r="A178" s="6">
        <v>176</v>
      </c>
      <c r="B178" s="7">
        <v>251.38999938964801</v>
      </c>
      <c r="C178" s="3">
        <f t="shared" si="0"/>
        <v>-1.461089401997384E-2</v>
      </c>
    </row>
    <row r="179" spans="1:3" ht="13.2" x14ac:dyDescent="0.25">
      <c r="A179" s="6">
        <v>177</v>
      </c>
      <c r="B179" s="7">
        <v>239.94000244140599</v>
      </c>
      <c r="C179" s="3">
        <f t="shared" si="0"/>
        <v>-4.6616613427837413E-2</v>
      </c>
    </row>
    <row r="180" spans="1:3" ht="13.2" x14ac:dyDescent="0.25">
      <c r="A180" s="6">
        <v>178</v>
      </c>
      <c r="B180" s="7">
        <v>237.27000427246</v>
      </c>
      <c r="C180" s="3">
        <f t="shared" si="0"/>
        <v>-1.1190151055671935E-2</v>
      </c>
    </row>
    <row r="181" spans="1:3" ht="13.2" x14ac:dyDescent="0.25">
      <c r="A181" s="6">
        <v>179</v>
      </c>
      <c r="B181" s="7">
        <v>233.21000671386699</v>
      </c>
      <c r="C181" s="3">
        <f t="shared" si="0"/>
        <v>-1.7259387213645529E-2</v>
      </c>
    </row>
    <row r="182" spans="1:3" ht="13.2" x14ac:dyDescent="0.25">
      <c r="A182" s="6">
        <v>180</v>
      </c>
      <c r="B182" s="7">
        <v>229.96000671386699</v>
      </c>
      <c r="C182" s="3">
        <f t="shared" si="0"/>
        <v>-1.4033954041640024E-2</v>
      </c>
    </row>
    <row r="183" spans="1:3" ht="13.2" x14ac:dyDescent="0.25">
      <c r="A183" s="6">
        <v>181</v>
      </c>
      <c r="B183" s="7">
        <v>230.66000366210901</v>
      </c>
      <c r="C183" s="3">
        <f t="shared" si="0"/>
        <v>3.0393707235531271E-3</v>
      </c>
    </row>
    <row r="184" spans="1:3" ht="13.2" x14ac:dyDescent="0.25">
      <c r="A184" s="6">
        <v>182</v>
      </c>
      <c r="B184" s="7">
        <v>229.38000488281199</v>
      </c>
      <c r="C184" s="3">
        <f t="shared" si="0"/>
        <v>-5.5647424510705916E-3</v>
      </c>
    </row>
    <row r="185" spans="1:3" ht="13.2" x14ac:dyDescent="0.25">
      <c r="A185" s="6">
        <v>183</v>
      </c>
      <c r="B185" s="7">
        <v>225.419998168945</v>
      </c>
      <c r="C185" s="3">
        <f t="shared" si="0"/>
        <v>-1.7414717532302941E-2</v>
      </c>
    </row>
    <row r="186" spans="1:3" ht="13.2" x14ac:dyDescent="0.25">
      <c r="A186" s="6">
        <v>184</v>
      </c>
      <c r="B186" s="7">
        <v>223.25</v>
      </c>
      <c r="C186" s="3">
        <f t="shared" si="0"/>
        <v>-9.6731009344645236E-3</v>
      </c>
    </row>
    <row r="187" spans="1:3" ht="13.2" x14ac:dyDescent="0.25">
      <c r="A187" s="6">
        <v>185</v>
      </c>
      <c r="B187" s="7">
        <v>224.42999267578099</v>
      </c>
      <c r="C187" s="3">
        <f t="shared" si="0"/>
        <v>5.2716021610550246E-3</v>
      </c>
    </row>
    <row r="188" spans="1:3" ht="13.2" x14ac:dyDescent="0.25">
      <c r="A188" s="6">
        <v>186</v>
      </c>
      <c r="B188" s="7">
        <v>232.07000732421801</v>
      </c>
      <c r="C188" s="3">
        <f t="shared" si="0"/>
        <v>3.3475259937385975E-2</v>
      </c>
    </row>
    <row r="189" spans="1:3" ht="13.2" x14ac:dyDescent="0.25">
      <c r="A189" s="6">
        <v>187</v>
      </c>
      <c r="B189" s="7">
        <v>231.92999267578099</v>
      </c>
      <c r="C189" s="3">
        <f t="shared" si="0"/>
        <v>-6.0351143399467943E-4</v>
      </c>
    </row>
    <row r="190" spans="1:3" ht="13.2" x14ac:dyDescent="0.25">
      <c r="A190" s="6">
        <v>188</v>
      </c>
      <c r="B190" s="7">
        <v>219.86000061035099</v>
      </c>
      <c r="C190" s="3">
        <f t="shared" si="0"/>
        <v>-5.3444587494247825E-2</v>
      </c>
    </row>
    <row r="191" spans="1:3" ht="13.2" x14ac:dyDescent="0.25">
      <c r="A191" s="6">
        <v>189</v>
      </c>
      <c r="B191" s="7">
        <v>220.27999877929599</v>
      </c>
      <c r="C191" s="3">
        <f t="shared" si="0"/>
        <v>1.9084759258720346E-3</v>
      </c>
    </row>
    <row r="192" spans="1:3" ht="13.2" x14ac:dyDescent="0.25">
      <c r="A192" s="6">
        <v>190</v>
      </c>
      <c r="B192" s="7">
        <v>215</v>
      </c>
      <c r="C192" s="3">
        <f t="shared" si="0"/>
        <v>-2.4261430725016343E-2</v>
      </c>
    </row>
    <row r="193" spans="1:3" ht="13.2" x14ac:dyDescent="0.25">
      <c r="A193" s="6">
        <v>191</v>
      </c>
      <c r="B193" s="7">
        <v>217.14999389648401</v>
      </c>
      <c r="C193" s="3">
        <f t="shared" si="0"/>
        <v>9.9503027457949426E-3</v>
      </c>
    </row>
    <row r="194" spans="1:3" ht="13.2" x14ac:dyDescent="0.25">
      <c r="A194" s="6">
        <v>192</v>
      </c>
      <c r="B194" s="7">
        <v>216.24000549316401</v>
      </c>
      <c r="C194" s="3">
        <f t="shared" si="0"/>
        <v>-4.1994035021767013E-3</v>
      </c>
    </row>
    <row r="195" spans="1:3" ht="13.2" x14ac:dyDescent="0.25">
      <c r="A195" s="6">
        <v>193</v>
      </c>
      <c r="B195" s="7">
        <v>221.19999694824199</v>
      </c>
      <c r="C195" s="3">
        <f t="shared" si="0"/>
        <v>2.2678328480524205E-2</v>
      </c>
    </row>
    <row r="196" spans="1:3" ht="13.2" x14ac:dyDescent="0.25">
      <c r="A196" s="6">
        <v>194</v>
      </c>
      <c r="B196" s="7">
        <v>219.66000366210901</v>
      </c>
      <c r="C196" s="3">
        <f t="shared" si="0"/>
        <v>-6.986342819890164E-3</v>
      </c>
    </row>
    <row r="197" spans="1:3" ht="13.2" x14ac:dyDescent="0.25">
      <c r="A197" s="6">
        <v>195</v>
      </c>
      <c r="B197" s="7">
        <v>221.05999755859301</v>
      </c>
      <c r="C197" s="3">
        <f t="shared" si="0"/>
        <v>6.3532338068021379E-3</v>
      </c>
    </row>
    <row r="198" spans="1:3" ht="13.2" x14ac:dyDescent="0.25">
      <c r="A198" s="6">
        <v>196</v>
      </c>
      <c r="B198" s="7">
        <v>222.47999572753901</v>
      </c>
      <c r="C198" s="3">
        <f t="shared" si="0"/>
        <v>6.4030438831938451E-3</v>
      </c>
    </row>
    <row r="199" spans="1:3" ht="13.2" x14ac:dyDescent="0.25">
      <c r="A199" s="6">
        <v>197</v>
      </c>
      <c r="B199" s="7">
        <v>231.92999267578099</v>
      </c>
      <c r="C199" s="3">
        <f t="shared" si="0"/>
        <v>4.1598379699143699E-2</v>
      </c>
    </row>
    <row r="200" spans="1:3" ht="13.2" x14ac:dyDescent="0.25">
      <c r="A200" s="6">
        <v>198</v>
      </c>
      <c r="B200" s="7">
        <v>227.83999633789</v>
      </c>
      <c r="C200" s="3">
        <f t="shared" si="0"/>
        <v>-1.7791958270609316E-2</v>
      </c>
    </row>
    <row r="201" spans="1:3" ht="13.2" x14ac:dyDescent="0.25">
      <c r="A201" s="6">
        <v>199</v>
      </c>
      <c r="B201" s="7">
        <v>240.509994506835</v>
      </c>
      <c r="C201" s="3">
        <f t="shared" si="0"/>
        <v>5.4118033732871079E-2</v>
      </c>
    </row>
    <row r="202" spans="1:3" ht="13.2" x14ac:dyDescent="0.25">
      <c r="A202" s="6">
        <v>200</v>
      </c>
      <c r="B202" s="7">
        <v>250.57000732421801</v>
      </c>
      <c r="C202" s="3">
        <f t="shared" si="0"/>
        <v>4.0976705953197183E-2</v>
      </c>
    </row>
    <row r="203" spans="1:3" ht="13.2" x14ac:dyDescent="0.25">
      <c r="A203" s="6">
        <v>201</v>
      </c>
      <c r="B203" s="7">
        <v>241.74000549316401</v>
      </c>
      <c r="C203" s="3">
        <f t="shared" si="0"/>
        <v>-3.5875560681764472E-2</v>
      </c>
    </row>
    <row r="204" spans="1:3" ht="13.2" x14ac:dyDescent="0.25">
      <c r="A204" s="6">
        <v>202</v>
      </c>
      <c r="B204" s="7">
        <v>246.669998168945</v>
      </c>
      <c r="C204" s="3">
        <f t="shared" si="0"/>
        <v>2.0188612374467937E-2</v>
      </c>
    </row>
    <row r="205" spans="1:3" ht="13.2" x14ac:dyDescent="0.25">
      <c r="A205" s="6">
        <v>203</v>
      </c>
      <c r="B205" s="7">
        <v>255.44999694824199</v>
      </c>
      <c r="C205" s="3">
        <f t="shared" si="0"/>
        <v>3.4975280300993825E-2</v>
      </c>
    </row>
    <row r="206" spans="1:3" ht="13.2" x14ac:dyDescent="0.25">
      <c r="A206" s="6">
        <v>204</v>
      </c>
      <c r="B206" s="7">
        <v>260.51998901367102</v>
      </c>
      <c r="C206" s="3">
        <f t="shared" si="0"/>
        <v>1.9652907677219368E-2</v>
      </c>
    </row>
    <row r="207" spans="1:3" ht="13.2" x14ac:dyDescent="0.25">
      <c r="A207" s="6">
        <v>205</v>
      </c>
      <c r="B207" s="7">
        <v>257.829986572265</v>
      </c>
      <c r="C207" s="3">
        <f t="shared" si="0"/>
        <v>-1.0379190574013713E-2</v>
      </c>
    </row>
    <row r="208" spans="1:3" ht="13.2" x14ac:dyDescent="0.25">
      <c r="A208" s="6">
        <v>206</v>
      </c>
      <c r="B208" s="7">
        <v>249.350006103515</v>
      </c>
      <c r="C208" s="3">
        <f t="shared" si="0"/>
        <v>-3.3442844463582984E-2</v>
      </c>
    </row>
    <row r="209" spans="1:3" ht="13.2" x14ac:dyDescent="0.25">
      <c r="A209" s="6">
        <v>207</v>
      </c>
      <c r="B209" s="7">
        <v>248.52000427246</v>
      </c>
      <c r="C209" s="3">
        <f t="shared" si="0"/>
        <v>-3.3342140827259887E-3</v>
      </c>
    </row>
    <row r="210" spans="1:3" ht="13.2" x14ac:dyDescent="0.25">
      <c r="A210" s="6">
        <v>208</v>
      </c>
      <c r="B210" s="7">
        <v>240.33000183105401</v>
      </c>
      <c r="C210" s="3">
        <f t="shared" si="0"/>
        <v>-3.3510355873056577E-2</v>
      </c>
    </row>
    <row r="211" spans="1:3" ht="13.2" x14ac:dyDescent="0.25">
      <c r="A211" s="6">
        <v>209</v>
      </c>
      <c r="B211" s="7">
        <v>247.86999511718699</v>
      </c>
      <c r="C211" s="3">
        <f t="shared" si="0"/>
        <v>3.0891408965986463E-2</v>
      </c>
    </row>
    <row r="212" spans="1:3" ht="13.2" x14ac:dyDescent="0.25">
      <c r="A212" s="6">
        <v>210</v>
      </c>
      <c r="B212" s="7">
        <v>251.509994506835</v>
      </c>
      <c r="C212" s="3">
        <f t="shared" si="0"/>
        <v>1.4578332859961405E-2</v>
      </c>
    </row>
    <row r="213" spans="1:3" ht="13.2" x14ac:dyDescent="0.25">
      <c r="A213" s="6">
        <v>211</v>
      </c>
      <c r="B213" s="7">
        <v>244.38000488281199</v>
      </c>
      <c r="C213" s="3">
        <f t="shared" si="0"/>
        <v>-2.8758317471214982E-2</v>
      </c>
    </row>
    <row r="214" spans="1:3" ht="13.2" x14ac:dyDescent="0.25">
      <c r="A214" s="6">
        <v>212</v>
      </c>
      <c r="B214" s="7">
        <v>250.30999755859301</v>
      </c>
      <c r="C214" s="3">
        <f t="shared" si="0"/>
        <v>2.3975729074880249E-2</v>
      </c>
    </row>
    <row r="215" spans="1:3" ht="13.2" x14ac:dyDescent="0.25">
      <c r="A215" s="6">
        <v>213</v>
      </c>
      <c r="B215" s="7">
        <v>256.11999511718699</v>
      </c>
      <c r="C215" s="3">
        <f t="shared" si="0"/>
        <v>2.2945925642385765E-2</v>
      </c>
    </row>
    <row r="216" spans="1:3" ht="13.2" x14ac:dyDescent="0.25">
      <c r="A216" s="6">
        <v>214</v>
      </c>
      <c r="B216" s="7">
        <v>247.97999572753901</v>
      </c>
      <c r="C216" s="3">
        <f t="shared" si="0"/>
        <v>-3.2297985063408377E-2</v>
      </c>
    </row>
    <row r="217" spans="1:3" ht="13.2" x14ac:dyDescent="0.25">
      <c r="A217" s="6">
        <v>215</v>
      </c>
      <c r="B217" s="7">
        <v>252.97000122070301</v>
      </c>
      <c r="C217" s="3">
        <f t="shared" si="0"/>
        <v>1.9922828924448372E-2</v>
      </c>
    </row>
    <row r="218" spans="1:3" ht="13.2" x14ac:dyDescent="0.25">
      <c r="A218" s="6">
        <v>216</v>
      </c>
      <c r="B218" s="7">
        <v>244.88000488281199</v>
      </c>
      <c r="C218" s="3">
        <f t="shared" si="0"/>
        <v>-3.2502594870321456E-2</v>
      </c>
    </row>
    <row r="219" spans="1:3" ht="13.2" x14ac:dyDescent="0.25">
      <c r="A219" s="6">
        <v>217</v>
      </c>
      <c r="B219" s="7">
        <v>239.58000183105401</v>
      </c>
      <c r="C219" s="3">
        <f t="shared" si="0"/>
        <v>-2.1880916630816611E-2</v>
      </c>
    </row>
    <row r="220" spans="1:3" ht="13.2" x14ac:dyDescent="0.25">
      <c r="A220" s="6">
        <v>218</v>
      </c>
      <c r="B220" s="7">
        <v>242.69999694824199</v>
      </c>
      <c r="C220" s="3">
        <f t="shared" si="0"/>
        <v>1.2938702212405527E-2</v>
      </c>
    </row>
    <row r="221" spans="1:3" ht="13.2" x14ac:dyDescent="0.25">
      <c r="A221" s="6">
        <v>219</v>
      </c>
      <c r="B221" s="7">
        <v>247.33000183105401</v>
      </c>
      <c r="C221" s="3">
        <f t="shared" si="0"/>
        <v>1.8897384564431373E-2</v>
      </c>
    </row>
    <row r="222" spans="1:3" ht="13.2" x14ac:dyDescent="0.25">
      <c r="A222" s="6">
        <v>220</v>
      </c>
      <c r="B222" s="7">
        <v>245.89999389648401</v>
      </c>
      <c r="C222" s="3">
        <f t="shared" si="0"/>
        <v>-5.7985603217722264E-3</v>
      </c>
    </row>
    <row r="223" spans="1:3" ht="13.2" x14ac:dyDescent="0.25">
      <c r="A223" s="6">
        <v>221</v>
      </c>
      <c r="B223" s="7">
        <v>240.28999328613199</v>
      </c>
      <c r="C223" s="3">
        <f t="shared" si="0"/>
        <v>-2.3078425113551373E-2</v>
      </c>
    </row>
    <row r="224" spans="1:3" ht="13.2" x14ac:dyDescent="0.25">
      <c r="A224" s="6">
        <v>222</v>
      </c>
      <c r="B224" s="7">
        <v>240.82000732421801</v>
      </c>
      <c r="C224" s="3">
        <f t="shared" si="0"/>
        <v>2.2032975902694677E-3</v>
      </c>
    </row>
    <row r="225" spans="1:3" ht="13.2" x14ac:dyDescent="0.25">
      <c r="A225" s="6">
        <v>223</v>
      </c>
      <c r="B225" s="7">
        <v>233.13999938964801</v>
      </c>
      <c r="C225" s="3">
        <f t="shared" si="0"/>
        <v>-3.241066800401126E-2</v>
      </c>
    </row>
    <row r="226" spans="1:3" ht="13.2" x14ac:dyDescent="0.25">
      <c r="A226" s="6">
        <v>224</v>
      </c>
      <c r="B226" s="7">
        <v>245.38000488281199</v>
      </c>
      <c r="C226" s="3">
        <f t="shared" si="0"/>
        <v>5.1168920388294729E-2</v>
      </c>
    </row>
    <row r="227" spans="1:3" ht="13.2" x14ac:dyDescent="0.25">
      <c r="A227" s="6">
        <v>225</v>
      </c>
      <c r="B227" s="7">
        <v>241.44999694824199</v>
      </c>
      <c r="C227" s="3">
        <f t="shared" si="0"/>
        <v>-1.614564958176282E-2</v>
      </c>
    </row>
    <row r="228" spans="1:3" ht="13.2" x14ac:dyDescent="0.25">
      <c r="A228" s="6">
        <v>226</v>
      </c>
      <c r="B228" s="7">
        <v>241.99000549316401</v>
      </c>
      <c r="C228" s="3">
        <f t="shared" si="0"/>
        <v>2.2340260085541067E-3</v>
      </c>
    </row>
    <row r="229" spans="1:3" ht="13.2" x14ac:dyDescent="0.25">
      <c r="A229" s="6">
        <v>227</v>
      </c>
      <c r="B229" s="7">
        <v>239.77999877929599</v>
      </c>
      <c r="C229" s="3">
        <f t="shared" si="0"/>
        <v>-9.1745945002348842E-3</v>
      </c>
    </row>
    <row r="230" spans="1:3" ht="13.2" x14ac:dyDescent="0.25">
      <c r="A230" s="6">
        <v>228</v>
      </c>
      <c r="B230" s="7">
        <v>234.11999511718699</v>
      </c>
      <c r="C230" s="3">
        <f t="shared" si="0"/>
        <v>-2.388804762158107E-2</v>
      </c>
    </row>
    <row r="231" spans="1:3" ht="13.2" x14ac:dyDescent="0.25">
      <c r="A231" s="6">
        <v>229</v>
      </c>
      <c r="B231" s="7">
        <v>228.759994506835</v>
      </c>
      <c r="C231" s="3">
        <f t="shared" si="0"/>
        <v>-2.3160388532664195E-2</v>
      </c>
    </row>
    <row r="232" spans="1:3" ht="13.2" x14ac:dyDescent="0.25">
      <c r="A232" s="6">
        <v>230</v>
      </c>
      <c r="B232" s="7">
        <v>237.69000244140599</v>
      </c>
      <c r="C232" s="3">
        <f t="shared" si="0"/>
        <v>3.829391888231834E-2</v>
      </c>
    </row>
    <row r="233" spans="1:3" ht="13.2" x14ac:dyDescent="0.25">
      <c r="A233" s="6">
        <v>231</v>
      </c>
      <c r="B233" s="7">
        <v>246.009994506835</v>
      </c>
      <c r="C233" s="3">
        <f t="shared" si="0"/>
        <v>3.4404849266982673E-2</v>
      </c>
    </row>
    <row r="234" spans="1:3" ht="13.2" x14ac:dyDescent="0.25">
      <c r="A234" s="6">
        <v>232</v>
      </c>
      <c r="B234" s="7">
        <v>246.46000671386699</v>
      </c>
      <c r="C234" s="3">
        <f t="shared" si="0"/>
        <v>1.8275725675502611E-3</v>
      </c>
    </row>
    <row r="235" spans="1:3" ht="13.2" x14ac:dyDescent="0.25">
      <c r="A235" s="6">
        <v>233</v>
      </c>
      <c r="B235" s="7">
        <v>257.02999877929602</v>
      </c>
      <c r="C235" s="3">
        <f t="shared" si="0"/>
        <v>4.1993069099689417E-2</v>
      </c>
    </row>
    <row r="236" spans="1:3" ht="13.2" x14ac:dyDescent="0.25">
      <c r="A236" s="6">
        <v>234</v>
      </c>
      <c r="B236" s="7">
        <v>257.42999267578102</v>
      </c>
      <c r="C236" s="3">
        <f t="shared" si="0"/>
        <v>1.5550051849660834E-3</v>
      </c>
    </row>
    <row r="237" spans="1:3" ht="13.2" x14ac:dyDescent="0.25">
      <c r="A237" s="6">
        <v>235</v>
      </c>
      <c r="B237" s="7">
        <v>256.79000854492102</v>
      </c>
      <c r="C237" s="3">
        <f t="shared" si="0"/>
        <v>-2.4891465123016267E-3</v>
      </c>
    </row>
    <row r="238" spans="1:3" ht="13.2" x14ac:dyDescent="0.25">
      <c r="A238" s="6">
        <v>236</v>
      </c>
      <c r="B238" s="7">
        <v>241.44000244140599</v>
      </c>
      <c r="C238" s="3">
        <f t="shared" si="0"/>
        <v>-6.1637658392141512E-2</v>
      </c>
    </row>
    <row r="239" spans="1:3" ht="13.2" x14ac:dyDescent="0.25">
      <c r="A239" s="6">
        <v>237</v>
      </c>
      <c r="B239" s="7">
        <v>244.33000183105401</v>
      </c>
      <c r="C239" s="3">
        <f t="shared" si="0"/>
        <v>1.1898772923470519E-2</v>
      </c>
    </row>
    <row r="240" spans="1:3" ht="13.2" x14ac:dyDescent="0.25">
      <c r="A240" s="6">
        <v>238</v>
      </c>
      <c r="B240" s="7">
        <v>246.24000549316401</v>
      </c>
      <c r="C240" s="3">
        <f t="shared" si="0"/>
        <v>7.7869143438766136E-3</v>
      </c>
    </row>
    <row r="241" spans="1:3" ht="13.2" x14ac:dyDescent="0.25">
      <c r="A241" s="6">
        <v>239</v>
      </c>
      <c r="B241" s="7">
        <v>246.52999877929599</v>
      </c>
      <c r="C241" s="3">
        <f t="shared" si="0"/>
        <v>1.1769925811038078E-3</v>
      </c>
    </row>
    <row r="242" spans="1:3" ht="13.2" x14ac:dyDescent="0.25">
      <c r="A242" s="6">
        <v>240</v>
      </c>
      <c r="B242" s="7">
        <v>247.22000122070301</v>
      </c>
      <c r="C242" s="3">
        <f t="shared" si="0"/>
        <v>2.7949484175530887E-3</v>
      </c>
    </row>
    <row r="243" spans="1:3" ht="13.2" x14ac:dyDescent="0.25">
      <c r="A243" s="6">
        <v>241</v>
      </c>
      <c r="B243" s="7">
        <v>248.53999328613199</v>
      </c>
      <c r="C243" s="3">
        <f t="shared" si="0"/>
        <v>5.3251379672222144E-3</v>
      </c>
    </row>
    <row r="244" spans="1:3" ht="13.2" x14ac:dyDescent="0.25">
      <c r="A244" s="6">
        <v>242</v>
      </c>
      <c r="B244" s="7">
        <v>248.53999328613199</v>
      </c>
      <c r="C244" s="3">
        <f t="shared" si="0"/>
        <v>0</v>
      </c>
    </row>
    <row r="245" spans="1:3" ht="13.2" x14ac:dyDescent="0.25">
      <c r="A245" s="6">
        <v>243</v>
      </c>
      <c r="B245" s="7">
        <v>252.11000061035099</v>
      </c>
      <c r="C245" s="3">
        <f t="shared" si="0"/>
        <v>1.4261731262408907E-2</v>
      </c>
    </row>
    <row r="246" spans="1:3" ht="13.2" x14ac:dyDescent="0.25">
      <c r="A246" s="6">
        <v>244</v>
      </c>
      <c r="B246" s="7">
        <v>245.11000061035099</v>
      </c>
      <c r="C246" s="3">
        <f t="shared" si="0"/>
        <v>-2.8158410761531739E-2</v>
      </c>
    </row>
    <row r="247" spans="1:3" ht="13.2" x14ac:dyDescent="0.25">
      <c r="A247" s="6">
        <v>245</v>
      </c>
      <c r="B247" s="7">
        <v>241.11000061035099</v>
      </c>
      <c r="C247" s="3">
        <f t="shared" si="0"/>
        <v>-1.6453828441337946E-2</v>
      </c>
    </row>
    <row r="248" spans="1:3" ht="13.2" x14ac:dyDescent="0.25">
      <c r="A248" s="6">
        <v>246</v>
      </c>
      <c r="B248" s="7">
        <v>241.47999572753901</v>
      </c>
      <c r="C248" s="3">
        <f t="shared" si="0"/>
        <v>1.5333728112520348E-3</v>
      </c>
    </row>
    <row r="249" spans="1:3" ht="13.2" x14ac:dyDescent="0.25">
      <c r="A249" s="6">
        <v>247</v>
      </c>
      <c r="B249" s="7">
        <v>240.08999633789</v>
      </c>
      <c r="C249" s="3">
        <f t="shared" si="0"/>
        <v>-5.7727984414175822E-3</v>
      </c>
    </row>
    <row r="250" spans="1:3" ht="13.2" x14ac:dyDescent="0.25">
      <c r="A250" s="6">
        <v>248</v>
      </c>
      <c r="B250" s="7">
        <v>240.08999633789</v>
      </c>
      <c r="C250" s="3">
        <f t="shared" si="0"/>
        <v>0</v>
      </c>
    </row>
    <row r="251" spans="1:3" ht="13.2" x14ac:dyDescent="0.25">
      <c r="A251" s="6">
        <v>249</v>
      </c>
      <c r="B251" s="7">
        <v>246.41000366210901</v>
      </c>
      <c r="C251" s="3">
        <f t="shared" si="0"/>
        <v>2.598299231928345E-2</v>
      </c>
    </row>
    <row r="252" spans="1:3" ht="13.2" x14ac:dyDescent="0.25">
      <c r="A252" s="6">
        <v>250</v>
      </c>
      <c r="B252" s="7">
        <v>255.47999572753901</v>
      </c>
      <c r="C252" s="3">
        <f t="shared" si="0"/>
        <v>3.6147281856842323E-2</v>
      </c>
    </row>
    <row r="253" spans="1:3" ht="13.2" x14ac:dyDescent="0.25">
      <c r="A253" s="6">
        <v>251</v>
      </c>
      <c r="B253" s="7">
        <v>255.63999938964801</v>
      </c>
      <c r="C253" s="3">
        <f t="shared" si="0"/>
        <v>6.2609042441771554E-4</v>
      </c>
    </row>
    <row r="254" spans="1:3" ht="13.2" x14ac:dyDescent="0.25">
      <c r="A254" s="6">
        <v>252</v>
      </c>
      <c r="B254" s="7">
        <v>257.579986572265</v>
      </c>
      <c r="C254" s="3">
        <f t="shared" si="0"/>
        <v>7.5600969396388351E-3</v>
      </c>
    </row>
    <row r="255" spans="1:3" ht="13.2" x14ac:dyDescent="0.25">
      <c r="A255" s="6">
        <v>253</v>
      </c>
      <c r="B255" s="7">
        <v>254.5</v>
      </c>
      <c r="C255" s="3">
        <f t="shared" si="0"/>
        <v>-1.2029463343597582E-2</v>
      </c>
    </row>
    <row r="256" spans="1:3" ht="13.2" x14ac:dyDescent="0.25">
      <c r="A256" s="6">
        <v>254</v>
      </c>
      <c r="B256" s="7">
        <v>254.009994506835</v>
      </c>
      <c r="C256" s="3">
        <f t="shared" si="0"/>
        <v>-1.9272212940645349E-3</v>
      </c>
    </row>
    <row r="257" spans="1:3" ht="13.2" x14ac:dyDescent="0.25">
      <c r="A257" s="6">
        <v>255</v>
      </c>
      <c r="B257" s="7">
        <v>249.46000671386699</v>
      </c>
      <c r="C257" s="3">
        <f t="shared" si="0"/>
        <v>-1.807500608534884E-2</v>
      </c>
    </row>
    <row r="258" spans="1:3" ht="13.2" x14ac:dyDescent="0.25">
      <c r="A258" s="6">
        <v>256</v>
      </c>
      <c r="B258" s="7">
        <v>242.100006103515</v>
      </c>
      <c r="C258" s="3">
        <f t="shared" ref="C258:C512" si="1">LN(B258/B257)</f>
        <v>-2.9947719456432886E-2</v>
      </c>
    </row>
    <row r="259" spans="1:3" ht="13.2" x14ac:dyDescent="0.25">
      <c r="A259" s="6">
        <v>257</v>
      </c>
      <c r="B259" s="7">
        <v>245.02000427246</v>
      </c>
      <c r="C259" s="3">
        <f t="shared" si="1"/>
        <v>1.1988968148481998E-2</v>
      </c>
    </row>
    <row r="260" spans="1:3" ht="13.2" x14ac:dyDescent="0.25">
      <c r="A260" s="6">
        <v>258</v>
      </c>
      <c r="B260" s="7">
        <v>251.58000183105401</v>
      </c>
      <c r="C260" s="3">
        <f t="shared" si="1"/>
        <v>2.6421180385730863E-2</v>
      </c>
    </row>
    <row r="261" spans="1:3" ht="13.2" x14ac:dyDescent="0.25">
      <c r="A261" s="6">
        <v>259</v>
      </c>
      <c r="B261" s="7">
        <v>255.47999572753901</v>
      </c>
      <c r="C261" s="3">
        <f t="shared" si="1"/>
        <v>1.5383074281174348E-2</v>
      </c>
    </row>
    <row r="262" spans="1:3" ht="13.2" x14ac:dyDescent="0.25">
      <c r="A262" s="6">
        <v>260</v>
      </c>
      <c r="B262" s="7">
        <v>264.45999145507801</v>
      </c>
      <c r="C262" s="3">
        <f t="shared" si="1"/>
        <v>3.4545866847728243E-2</v>
      </c>
    </row>
    <row r="263" spans="1:3" ht="13.2" x14ac:dyDescent="0.25">
      <c r="A263" s="6">
        <v>261</v>
      </c>
      <c r="B263" s="7">
        <v>265.70001220703102</v>
      </c>
      <c r="C263" s="3">
        <f t="shared" si="1"/>
        <v>4.6779198908294232E-3</v>
      </c>
    </row>
    <row r="264" spans="1:3" ht="13.2" x14ac:dyDescent="0.25">
      <c r="A264" s="6">
        <v>262</v>
      </c>
      <c r="B264" s="7">
        <v>305.79998779296801</v>
      </c>
      <c r="C264" s="3">
        <f t="shared" si="1"/>
        <v>0.14056335486793306</v>
      </c>
    </row>
    <row r="265" spans="1:3" ht="13.2" x14ac:dyDescent="0.25">
      <c r="A265" s="6">
        <v>263</v>
      </c>
      <c r="B265" s="7">
        <v>307.29000854492102</v>
      </c>
      <c r="C265" s="3">
        <f t="shared" si="1"/>
        <v>4.8607013472946282E-3</v>
      </c>
    </row>
    <row r="266" spans="1:3" ht="13.2" x14ac:dyDescent="0.25">
      <c r="A266" s="6">
        <v>264</v>
      </c>
      <c r="B266" s="7">
        <v>308.45001220703102</v>
      </c>
      <c r="C266" s="3">
        <f t="shared" si="1"/>
        <v>3.767840307139289E-3</v>
      </c>
    </row>
    <row r="267" spans="1:3" ht="13.2" x14ac:dyDescent="0.25">
      <c r="A267" s="6">
        <v>265</v>
      </c>
      <c r="B267" s="7">
        <v>309.17001342773398</v>
      </c>
      <c r="C267" s="3">
        <f t="shared" si="1"/>
        <v>2.3315356270288243E-3</v>
      </c>
    </row>
    <row r="268" spans="1:3" ht="13.2" x14ac:dyDescent="0.25">
      <c r="A268" s="6">
        <v>266</v>
      </c>
      <c r="B268" s="7">
        <v>309.32000732421801</v>
      </c>
      <c r="C268" s="3">
        <f t="shared" si="1"/>
        <v>4.8503256121170145E-4</v>
      </c>
    </row>
    <row r="269" spans="1:3" ht="13.2" x14ac:dyDescent="0.25">
      <c r="A269" s="6">
        <v>267</v>
      </c>
      <c r="B269" s="7">
        <v>314.82000732421801</v>
      </c>
      <c r="C269" s="3">
        <f t="shared" si="1"/>
        <v>1.7624706772171071E-2</v>
      </c>
    </row>
    <row r="270" spans="1:3" ht="13.2" x14ac:dyDescent="0.25">
      <c r="A270" s="6">
        <v>268</v>
      </c>
      <c r="B270" s="7">
        <v>311.52999877929602</v>
      </c>
      <c r="C270" s="3">
        <f t="shared" si="1"/>
        <v>-1.0505432333502445E-2</v>
      </c>
    </row>
    <row r="271" spans="1:3" ht="13.2" x14ac:dyDescent="0.25">
      <c r="A271" s="6">
        <v>269</v>
      </c>
      <c r="B271" s="7">
        <v>314.17001342773398</v>
      </c>
      <c r="C271" s="3">
        <f t="shared" si="1"/>
        <v>8.4386455597361756E-3</v>
      </c>
    </row>
    <row r="272" spans="1:3" ht="13.2" x14ac:dyDescent="0.25">
      <c r="A272" s="6">
        <v>270</v>
      </c>
      <c r="B272" s="7">
        <v>310.14999389648398</v>
      </c>
      <c r="C272" s="3">
        <f t="shared" si="1"/>
        <v>-1.2878251677801439E-2</v>
      </c>
    </row>
    <row r="273" spans="1:3" ht="13.2" x14ac:dyDescent="0.25">
      <c r="A273" s="6">
        <v>271</v>
      </c>
      <c r="B273" s="7">
        <v>312.64001464843699</v>
      </c>
      <c r="C273" s="3">
        <f t="shared" si="1"/>
        <v>7.9963839685373E-3</v>
      </c>
    </row>
    <row r="274" spans="1:3" ht="13.2" x14ac:dyDescent="0.25">
      <c r="A274" s="6">
        <v>272</v>
      </c>
      <c r="B274" s="7">
        <v>314.14999389648398</v>
      </c>
      <c r="C274" s="3">
        <f t="shared" si="1"/>
        <v>4.818143711863278E-3</v>
      </c>
    </row>
    <row r="275" spans="1:3" ht="13.2" x14ac:dyDescent="0.25">
      <c r="A275" s="6">
        <v>273</v>
      </c>
      <c r="B275" s="7">
        <v>306.39001464843699</v>
      </c>
      <c r="C275" s="3">
        <f t="shared" si="1"/>
        <v>-2.5011711352396746E-2</v>
      </c>
    </row>
    <row r="276" spans="1:3" ht="13.2" x14ac:dyDescent="0.25">
      <c r="A276" s="6">
        <v>274</v>
      </c>
      <c r="B276" s="7">
        <v>310.05999755859301</v>
      </c>
      <c r="C276" s="3">
        <f t="shared" si="1"/>
        <v>1.1906971196342526E-2</v>
      </c>
    </row>
    <row r="277" spans="1:3" ht="13.2" x14ac:dyDescent="0.25">
      <c r="A277" s="6">
        <v>275</v>
      </c>
      <c r="B277" s="7">
        <v>303.260009765625</v>
      </c>
      <c r="C277" s="3">
        <f t="shared" si="1"/>
        <v>-2.2175263689287763E-2</v>
      </c>
    </row>
    <row r="278" spans="1:3" ht="13.2" x14ac:dyDescent="0.25">
      <c r="A278" s="6">
        <v>276</v>
      </c>
      <c r="B278" s="7">
        <v>300.70999145507801</v>
      </c>
      <c r="C278" s="3">
        <f t="shared" si="1"/>
        <v>-8.4442388126306049E-3</v>
      </c>
    </row>
    <row r="279" spans="1:3" ht="13.2" x14ac:dyDescent="0.25">
      <c r="A279" s="6">
        <v>277</v>
      </c>
      <c r="B279" s="7">
        <v>309.48001098632801</v>
      </c>
      <c r="C279" s="3">
        <f t="shared" si="1"/>
        <v>2.8747188418252918E-2</v>
      </c>
    </row>
    <row r="280" spans="1:3" ht="13.2" x14ac:dyDescent="0.25">
      <c r="A280" s="6">
        <v>278</v>
      </c>
      <c r="B280" s="7">
        <v>310.14001464843699</v>
      </c>
      <c r="C280" s="3">
        <f t="shared" si="1"/>
        <v>2.1303504871257547E-3</v>
      </c>
    </row>
    <row r="281" spans="1:3" ht="13.2" x14ac:dyDescent="0.25">
      <c r="A281" s="6">
        <v>279</v>
      </c>
      <c r="B281" s="7">
        <v>307.70999145507801</v>
      </c>
      <c r="C281" s="3">
        <f t="shared" si="1"/>
        <v>-7.8661024496646872E-3</v>
      </c>
    </row>
    <row r="282" spans="1:3" ht="13.2" x14ac:dyDescent="0.25">
      <c r="A282" s="6">
        <v>280</v>
      </c>
      <c r="B282" s="7">
        <v>302.60998535156199</v>
      </c>
      <c r="C282" s="3">
        <f t="shared" si="1"/>
        <v>-1.6712953890162578E-2</v>
      </c>
    </row>
    <row r="283" spans="1:3" ht="13.2" x14ac:dyDescent="0.25">
      <c r="A283" s="6">
        <v>281</v>
      </c>
      <c r="B283" s="7">
        <v>301.47000122070301</v>
      </c>
      <c r="C283" s="3">
        <f t="shared" si="1"/>
        <v>-3.774286549720516E-3</v>
      </c>
    </row>
    <row r="284" spans="1:3" ht="13.2" x14ac:dyDescent="0.25">
      <c r="A284" s="6">
        <v>282</v>
      </c>
      <c r="B284" s="7">
        <v>304.13000488281199</v>
      </c>
      <c r="C284" s="3">
        <f t="shared" si="1"/>
        <v>8.7847448537134946E-3</v>
      </c>
    </row>
    <row r="285" spans="1:3" ht="13.2" x14ac:dyDescent="0.25">
      <c r="A285" s="6">
        <v>283</v>
      </c>
      <c r="B285" s="7">
        <v>309.510009765625</v>
      </c>
      <c r="C285" s="3">
        <f t="shared" si="1"/>
        <v>1.7535175700422484E-2</v>
      </c>
    </row>
    <row r="286" spans="1:3" ht="13.2" x14ac:dyDescent="0.25">
      <c r="A286" s="6">
        <v>284</v>
      </c>
      <c r="B286" s="7">
        <v>315.76998901367102</v>
      </c>
      <c r="C286" s="3">
        <f t="shared" si="1"/>
        <v>2.002363235114784E-2</v>
      </c>
    </row>
    <row r="287" spans="1:3" ht="13.2" x14ac:dyDescent="0.25">
      <c r="A287" s="6">
        <v>285</v>
      </c>
      <c r="B287" s="7">
        <v>316.42999267578102</v>
      </c>
      <c r="C287" s="3">
        <f t="shared" si="1"/>
        <v>2.0879592565762098E-3</v>
      </c>
    </row>
    <row r="288" spans="1:3" ht="13.2" x14ac:dyDescent="0.25">
      <c r="A288" s="6">
        <v>286</v>
      </c>
      <c r="B288" s="7">
        <v>318.66000366210898</v>
      </c>
      <c r="C288" s="3">
        <f t="shared" si="1"/>
        <v>7.02269021457088E-3</v>
      </c>
    </row>
    <row r="289" spans="1:3" ht="13.2" x14ac:dyDescent="0.25">
      <c r="A289" s="6">
        <v>287</v>
      </c>
      <c r="B289" s="7">
        <v>317.79000854492102</v>
      </c>
      <c r="C289" s="3">
        <f t="shared" si="1"/>
        <v>-2.7339009894854576E-3</v>
      </c>
    </row>
    <row r="290" spans="1:3" ht="13.2" x14ac:dyDescent="0.25">
      <c r="A290" s="6">
        <v>288</v>
      </c>
      <c r="B290" s="7">
        <v>321.10998535156199</v>
      </c>
      <c r="C290" s="3">
        <f t="shared" si="1"/>
        <v>1.0392883773436097E-2</v>
      </c>
    </row>
    <row r="291" spans="1:3" ht="13.2" x14ac:dyDescent="0.25">
      <c r="A291" s="6">
        <v>289</v>
      </c>
      <c r="B291" s="7">
        <v>331.75</v>
      </c>
      <c r="C291" s="3">
        <f t="shared" si="1"/>
        <v>3.2597975273789333E-2</v>
      </c>
    </row>
    <row r="292" spans="1:3" ht="13.2" x14ac:dyDescent="0.25">
      <c r="A292" s="6">
        <v>290</v>
      </c>
      <c r="B292" s="7">
        <v>333.70001220703102</v>
      </c>
      <c r="C292" s="3">
        <f t="shared" si="1"/>
        <v>5.8607491258649193E-3</v>
      </c>
    </row>
    <row r="293" spans="1:3" ht="13.2" x14ac:dyDescent="0.25">
      <c r="A293" s="6">
        <v>291</v>
      </c>
      <c r="B293" s="7">
        <v>319.77999877929602</v>
      </c>
      <c r="C293" s="3">
        <f t="shared" si="1"/>
        <v>-4.2609166798231783E-2</v>
      </c>
    </row>
    <row r="294" spans="1:3" ht="13.2" x14ac:dyDescent="0.25">
      <c r="A294" s="6">
        <v>292</v>
      </c>
      <c r="B294" s="7">
        <v>322.260009765625</v>
      </c>
      <c r="C294" s="3">
        <f t="shared" si="1"/>
        <v>7.7254479090317933E-3</v>
      </c>
    </row>
    <row r="295" spans="1:3" ht="13.2" x14ac:dyDescent="0.25">
      <c r="A295" s="6">
        <v>293</v>
      </c>
      <c r="B295" s="7">
        <v>323.260009765625</v>
      </c>
      <c r="C295" s="3">
        <f t="shared" si="1"/>
        <v>3.0982797424959898E-3</v>
      </c>
    </row>
    <row r="296" spans="1:3" ht="13.2" x14ac:dyDescent="0.25">
      <c r="A296" s="6">
        <v>294</v>
      </c>
      <c r="B296" s="7">
        <v>319.72000122070301</v>
      </c>
      <c r="C296" s="3">
        <f t="shared" si="1"/>
        <v>-1.1011366615621798E-2</v>
      </c>
    </row>
    <row r="297" spans="1:3" ht="13.2" x14ac:dyDescent="0.25">
      <c r="A297" s="6">
        <v>295</v>
      </c>
      <c r="B297" s="7">
        <v>320.989990234375</v>
      </c>
      <c r="C297" s="3">
        <f t="shared" si="1"/>
        <v>3.9643229974750133E-3</v>
      </c>
    </row>
    <row r="298" spans="1:3" ht="13.2" x14ac:dyDescent="0.25">
      <c r="A298" s="6">
        <v>296</v>
      </c>
      <c r="B298" s="7">
        <v>329.010009765625</v>
      </c>
      <c r="C298" s="3">
        <f t="shared" si="1"/>
        <v>2.4678235548744317E-2</v>
      </c>
    </row>
    <row r="299" spans="1:3" ht="13.2" x14ac:dyDescent="0.25">
      <c r="A299" s="6">
        <v>297</v>
      </c>
      <c r="B299" s="7">
        <v>326.239990234375</v>
      </c>
      <c r="C299" s="3">
        <f t="shared" si="1"/>
        <v>-8.4548982297983927E-3</v>
      </c>
    </row>
    <row r="300" spans="1:3" ht="13.2" x14ac:dyDescent="0.25">
      <c r="A300" s="6">
        <v>298</v>
      </c>
      <c r="B300" s="7">
        <v>329.22000122070301</v>
      </c>
      <c r="C300" s="3">
        <f t="shared" si="1"/>
        <v>9.0929471145261408E-3</v>
      </c>
    </row>
    <row r="301" spans="1:3" ht="13.2" x14ac:dyDescent="0.25">
      <c r="A301" s="6">
        <v>299</v>
      </c>
      <c r="B301" s="7">
        <v>329.39999389648398</v>
      </c>
      <c r="C301" s="3">
        <f t="shared" si="1"/>
        <v>5.4657520754415579E-4</v>
      </c>
    </row>
    <row r="302" spans="1:3" ht="13.2" x14ac:dyDescent="0.25">
      <c r="A302" s="6">
        <v>300</v>
      </c>
      <c r="B302" s="7">
        <v>331.70999145507801</v>
      </c>
      <c r="C302" s="3">
        <f t="shared" si="1"/>
        <v>6.9882682478542932E-3</v>
      </c>
    </row>
    <row r="303" spans="1:3" ht="13.2" x14ac:dyDescent="0.25">
      <c r="A303" s="6">
        <v>301</v>
      </c>
      <c r="B303" s="7">
        <v>351.57000732421801</v>
      </c>
      <c r="C303" s="3">
        <f t="shared" si="1"/>
        <v>5.8147791309305634E-2</v>
      </c>
    </row>
    <row r="304" spans="1:3" ht="13.2" x14ac:dyDescent="0.25">
      <c r="A304" s="6">
        <v>302</v>
      </c>
      <c r="B304" s="7">
        <v>345.829986572265</v>
      </c>
      <c r="C304" s="3">
        <f t="shared" si="1"/>
        <v>-1.6461572762992125E-2</v>
      </c>
    </row>
    <row r="305" spans="1:3" ht="13.2" x14ac:dyDescent="0.25">
      <c r="A305" s="6">
        <v>303</v>
      </c>
      <c r="B305" s="7">
        <v>347.92999267578102</v>
      </c>
      <c r="C305" s="3">
        <f t="shared" si="1"/>
        <v>6.0540030565721797E-3</v>
      </c>
    </row>
    <row r="306" spans="1:3" ht="13.2" x14ac:dyDescent="0.25">
      <c r="A306" s="6">
        <v>304</v>
      </c>
      <c r="B306" s="7">
        <v>345.579986572265</v>
      </c>
      <c r="C306" s="3">
        <f t="shared" si="1"/>
        <v>-6.7771630357606992E-3</v>
      </c>
    </row>
    <row r="307" spans="1:3" ht="13.2" x14ac:dyDescent="0.25">
      <c r="A307" s="6">
        <v>305</v>
      </c>
      <c r="B307" s="7">
        <v>334.79998779296801</v>
      </c>
      <c r="C307" s="3">
        <f t="shared" si="1"/>
        <v>-3.1690823874675922E-2</v>
      </c>
    </row>
    <row r="308" spans="1:3" ht="13.2" x14ac:dyDescent="0.25">
      <c r="A308" s="6">
        <v>306</v>
      </c>
      <c r="B308" s="7">
        <v>333.489990234375</v>
      </c>
      <c r="C308" s="3">
        <f t="shared" si="1"/>
        <v>-3.9204515391400626E-3</v>
      </c>
    </row>
    <row r="309" spans="1:3" ht="13.2" x14ac:dyDescent="0.25">
      <c r="A309" s="6">
        <v>307</v>
      </c>
      <c r="B309" s="7">
        <v>331.72000122070301</v>
      </c>
      <c r="C309" s="3">
        <f t="shared" si="1"/>
        <v>-5.3216073525876725E-3</v>
      </c>
    </row>
    <row r="310" spans="1:3" ht="13.2" x14ac:dyDescent="0.25">
      <c r="A310" s="6">
        <v>308</v>
      </c>
      <c r="B310" s="7">
        <v>324.29998779296801</v>
      </c>
      <c r="C310" s="3">
        <f t="shared" si="1"/>
        <v>-2.2622267590822951E-2</v>
      </c>
    </row>
    <row r="311" spans="1:3" ht="13.2" x14ac:dyDescent="0.25">
      <c r="A311" s="6">
        <v>309</v>
      </c>
      <c r="B311" s="7">
        <v>327.45001220703102</v>
      </c>
      <c r="C311" s="3">
        <f t="shared" si="1"/>
        <v>9.6664332710305629E-3</v>
      </c>
    </row>
    <row r="312" spans="1:3" ht="13.2" x14ac:dyDescent="0.25">
      <c r="A312" s="6">
        <v>310</v>
      </c>
      <c r="B312" s="7">
        <v>325.19000244140602</v>
      </c>
      <c r="C312" s="3">
        <f t="shared" si="1"/>
        <v>-6.9257745421490765E-3</v>
      </c>
    </row>
    <row r="313" spans="1:3" ht="13.2" x14ac:dyDescent="0.25">
      <c r="A313" s="6">
        <v>311</v>
      </c>
      <c r="B313" s="7">
        <v>319.58999633789</v>
      </c>
      <c r="C313" s="3">
        <f t="shared" si="1"/>
        <v>-1.7370721568540914E-2</v>
      </c>
    </row>
    <row r="314" spans="1:3" ht="13.2" x14ac:dyDescent="0.25">
      <c r="A314" s="6">
        <v>312</v>
      </c>
      <c r="B314" s="7">
        <v>319.20999145507801</v>
      </c>
      <c r="C314" s="3">
        <f t="shared" si="1"/>
        <v>-1.1897461956738384E-3</v>
      </c>
    </row>
    <row r="315" spans="1:3" ht="13.2" x14ac:dyDescent="0.25">
      <c r="A315" s="6">
        <v>313</v>
      </c>
      <c r="B315" s="7">
        <v>319.17001342773398</v>
      </c>
      <c r="C315" s="3">
        <f t="shared" si="1"/>
        <v>-1.2524836959336088E-4</v>
      </c>
    </row>
    <row r="316" spans="1:3" ht="13.2" x14ac:dyDescent="0.25">
      <c r="A316" s="6">
        <v>314</v>
      </c>
      <c r="B316" s="7">
        <v>321.95999145507801</v>
      </c>
      <c r="C316" s="3">
        <f t="shared" si="1"/>
        <v>8.7033694180378117E-3</v>
      </c>
    </row>
    <row r="317" spans="1:3" ht="13.2" x14ac:dyDescent="0.25">
      <c r="A317" s="6">
        <v>315</v>
      </c>
      <c r="B317" s="7">
        <v>329.17001342773398</v>
      </c>
      <c r="C317" s="3">
        <f t="shared" si="1"/>
        <v>2.2147087745663235E-2</v>
      </c>
    </row>
    <row r="318" spans="1:3" ht="13.2" x14ac:dyDescent="0.25">
      <c r="A318" s="6">
        <v>316</v>
      </c>
      <c r="B318" s="7">
        <v>328.5</v>
      </c>
      <c r="C318" s="3">
        <f t="shared" si="1"/>
        <v>-2.0375375062089709E-3</v>
      </c>
    </row>
    <row r="319" spans="1:3" ht="13.2" x14ac:dyDescent="0.25">
      <c r="A319" s="6">
        <v>317</v>
      </c>
      <c r="B319" s="7">
        <v>324.95001220703102</v>
      </c>
      <c r="C319" s="3">
        <f t="shared" si="1"/>
        <v>-1.0865476018433235E-2</v>
      </c>
    </row>
    <row r="320" spans="1:3" ht="13.2" x14ac:dyDescent="0.25">
      <c r="A320" s="6">
        <v>318</v>
      </c>
      <c r="B320" s="7">
        <v>322.52999877929602</v>
      </c>
      <c r="C320" s="3">
        <f t="shared" si="1"/>
        <v>-7.4752105257621868E-3</v>
      </c>
    </row>
    <row r="321" spans="1:3" ht="13.2" x14ac:dyDescent="0.25">
      <c r="A321" s="6">
        <v>319</v>
      </c>
      <c r="B321" s="7">
        <v>336.29000854492102</v>
      </c>
      <c r="C321" s="3">
        <f t="shared" si="1"/>
        <v>4.1777756977693578E-2</v>
      </c>
    </row>
    <row r="322" spans="1:3" ht="13.2" x14ac:dyDescent="0.25">
      <c r="A322" s="6">
        <v>320</v>
      </c>
      <c r="B322" s="7">
        <v>335.45999145507801</v>
      </c>
      <c r="C322" s="3">
        <f t="shared" si="1"/>
        <v>-2.47120956380789E-3</v>
      </c>
    </row>
    <row r="323" spans="1:3" ht="13.2" x14ac:dyDescent="0.25">
      <c r="A323" s="6">
        <v>321</v>
      </c>
      <c r="B323" s="7">
        <v>335.80999755859301</v>
      </c>
      <c r="C323" s="3">
        <f t="shared" si="1"/>
        <v>1.0428177662096156E-3</v>
      </c>
    </row>
    <row r="324" spans="1:3" ht="13.2" x14ac:dyDescent="0.25">
      <c r="A324" s="6">
        <v>322</v>
      </c>
      <c r="B324" s="7">
        <v>342.739990234375</v>
      </c>
      <c r="C324" s="3">
        <f t="shared" si="1"/>
        <v>2.0426597179329539E-2</v>
      </c>
    </row>
    <row r="325" spans="1:3" ht="13.2" x14ac:dyDescent="0.25">
      <c r="A325" s="6">
        <v>323</v>
      </c>
      <c r="B325" s="7">
        <v>348.95001220703102</v>
      </c>
      <c r="C325" s="3">
        <f t="shared" si="1"/>
        <v>1.7956566705443301E-2</v>
      </c>
    </row>
    <row r="326" spans="1:3" ht="13.2" x14ac:dyDescent="0.25">
      <c r="A326" s="6">
        <v>324</v>
      </c>
      <c r="B326" s="7">
        <v>348.39001464843699</v>
      </c>
      <c r="C326" s="3">
        <f t="shared" si="1"/>
        <v>-1.6060964734737056E-3</v>
      </c>
    </row>
    <row r="327" spans="1:3" ht="13.2" x14ac:dyDescent="0.25">
      <c r="A327" s="6">
        <v>325</v>
      </c>
      <c r="B327" s="7">
        <v>343.42001342773398</v>
      </c>
      <c r="C327" s="3">
        <f t="shared" si="1"/>
        <v>-1.4368356986173671E-2</v>
      </c>
    </row>
    <row r="328" spans="1:3" ht="13.2" x14ac:dyDescent="0.25">
      <c r="A328" s="6">
        <v>326</v>
      </c>
      <c r="B328" s="7">
        <v>337.5</v>
      </c>
      <c r="C328" s="3">
        <f t="shared" si="1"/>
        <v>-1.7388716673106173E-2</v>
      </c>
    </row>
    <row r="329" spans="1:3" ht="13.2" x14ac:dyDescent="0.25">
      <c r="A329" s="6">
        <v>327</v>
      </c>
      <c r="B329" s="7">
        <v>339.45001220703102</v>
      </c>
      <c r="C329" s="3">
        <f t="shared" si="1"/>
        <v>5.7611863962758652E-3</v>
      </c>
    </row>
    <row r="330" spans="1:3" ht="13.2" x14ac:dyDescent="0.25">
      <c r="A330" s="6">
        <v>328</v>
      </c>
      <c r="B330" s="7">
        <v>343.66000366210898</v>
      </c>
      <c r="C330" s="3">
        <f t="shared" si="1"/>
        <v>1.2326110465936565E-2</v>
      </c>
    </row>
    <row r="331" spans="1:3" ht="13.2" x14ac:dyDescent="0.25">
      <c r="A331" s="6">
        <v>329</v>
      </c>
      <c r="B331" s="7">
        <v>347.89999389648398</v>
      </c>
      <c r="C331" s="3">
        <f t="shared" si="1"/>
        <v>1.2262257439218761E-2</v>
      </c>
    </row>
    <row r="332" spans="1:3" ht="13.2" x14ac:dyDescent="0.25">
      <c r="A332" s="6">
        <v>330</v>
      </c>
      <c r="B332" s="7">
        <v>361.25</v>
      </c>
      <c r="C332" s="3">
        <f t="shared" si="1"/>
        <v>3.7655174812626313E-2</v>
      </c>
    </row>
    <row r="333" spans="1:3" ht="13.2" x14ac:dyDescent="0.25">
      <c r="A333" s="6">
        <v>331</v>
      </c>
      <c r="B333" s="7">
        <v>353.350006103515</v>
      </c>
      <c r="C333" s="3">
        <f t="shared" si="1"/>
        <v>-2.2111155016494487E-2</v>
      </c>
    </row>
    <row r="334" spans="1:3" ht="13.2" x14ac:dyDescent="0.25">
      <c r="A334" s="6">
        <v>332</v>
      </c>
      <c r="B334" s="7">
        <v>354.85998535156199</v>
      </c>
      <c r="C334" s="3">
        <f t="shared" si="1"/>
        <v>4.2642198058002317E-3</v>
      </c>
    </row>
    <row r="335" spans="1:3" ht="13.2" x14ac:dyDescent="0.25">
      <c r="A335" s="6">
        <v>333</v>
      </c>
      <c r="B335" s="7">
        <v>352.91000366210898</v>
      </c>
      <c r="C335" s="3">
        <f t="shared" si="1"/>
        <v>-5.5102269200315978E-3</v>
      </c>
    </row>
    <row r="336" spans="1:3" ht="13.2" x14ac:dyDescent="0.25">
      <c r="A336" s="6">
        <v>334</v>
      </c>
      <c r="B336" s="7">
        <v>369.350006103515</v>
      </c>
      <c r="C336" s="3">
        <f t="shared" si="1"/>
        <v>4.553164320384747E-2</v>
      </c>
    </row>
    <row r="337" spans="1:3" ht="13.2" x14ac:dyDescent="0.25">
      <c r="A337" s="6">
        <v>335</v>
      </c>
      <c r="B337" s="7">
        <v>379.64001464843699</v>
      </c>
      <c r="C337" s="3">
        <f t="shared" si="1"/>
        <v>2.7478753347599909E-2</v>
      </c>
    </row>
    <row r="338" spans="1:3" ht="13.2" x14ac:dyDescent="0.25">
      <c r="A338" s="6">
        <v>336</v>
      </c>
      <c r="B338" s="7">
        <v>386.20999145507801</v>
      </c>
      <c r="C338" s="3">
        <f t="shared" si="1"/>
        <v>1.7157767006281251E-2</v>
      </c>
    </row>
    <row r="339" spans="1:3" ht="13.2" x14ac:dyDescent="0.25">
      <c r="A339" s="6">
        <v>337</v>
      </c>
      <c r="B339" s="7">
        <v>391.42999267578102</v>
      </c>
      <c r="C339" s="3">
        <f t="shared" si="1"/>
        <v>1.3425440390094353E-2</v>
      </c>
    </row>
    <row r="340" spans="1:3" ht="13.2" x14ac:dyDescent="0.25">
      <c r="A340" s="6">
        <v>338</v>
      </c>
      <c r="B340" s="7">
        <v>382.13000488281199</v>
      </c>
      <c r="C340" s="3">
        <f t="shared" si="1"/>
        <v>-2.4045803616877665E-2</v>
      </c>
    </row>
    <row r="341" spans="1:3" ht="13.2" x14ac:dyDescent="0.25">
      <c r="A341" s="6">
        <v>339</v>
      </c>
      <c r="B341" s="7">
        <v>385.02999877929602</v>
      </c>
      <c r="C341" s="3">
        <f t="shared" si="1"/>
        <v>7.5603725326650086E-3</v>
      </c>
    </row>
    <row r="342" spans="1:3" ht="13.2" x14ac:dyDescent="0.25">
      <c r="A342" s="6">
        <v>340</v>
      </c>
      <c r="B342" s="7">
        <v>383.60998535156199</v>
      </c>
      <c r="C342" s="3">
        <f t="shared" si="1"/>
        <v>-3.6948768540967709E-3</v>
      </c>
    </row>
    <row r="343" spans="1:3" ht="13.2" x14ac:dyDescent="0.25">
      <c r="A343" s="6">
        <v>341</v>
      </c>
      <c r="B343" s="7">
        <v>368.989990234375</v>
      </c>
      <c r="C343" s="3">
        <f t="shared" si="1"/>
        <v>-3.8856856368949907E-2</v>
      </c>
    </row>
    <row r="344" spans="1:3" ht="13.2" x14ac:dyDescent="0.25">
      <c r="A344" s="6">
        <v>342</v>
      </c>
      <c r="B344" s="7">
        <v>363.89001464843699</v>
      </c>
      <c r="C344" s="3">
        <f t="shared" si="1"/>
        <v>-1.3917852517770873E-2</v>
      </c>
    </row>
    <row r="345" spans="1:3" ht="13.2" x14ac:dyDescent="0.25">
      <c r="A345" s="6">
        <v>343</v>
      </c>
      <c r="B345" s="7">
        <v>356.83999633789</v>
      </c>
      <c r="C345" s="3">
        <f t="shared" si="1"/>
        <v>-1.9564172635736655E-2</v>
      </c>
    </row>
    <row r="346" spans="1:3" ht="13.2" x14ac:dyDescent="0.25">
      <c r="A346" s="6">
        <v>344</v>
      </c>
      <c r="B346" s="7">
        <v>355.89999389648398</v>
      </c>
      <c r="C346" s="3">
        <f t="shared" si="1"/>
        <v>-2.6377164163503375E-3</v>
      </c>
    </row>
    <row r="347" spans="1:3" ht="13.2" x14ac:dyDescent="0.25">
      <c r="A347" s="6">
        <v>345</v>
      </c>
      <c r="B347" s="7">
        <v>354.04998779296801</v>
      </c>
      <c r="C347" s="3">
        <f t="shared" si="1"/>
        <v>-5.2116637471106763E-3</v>
      </c>
    </row>
    <row r="348" spans="1:3" ht="13.2" x14ac:dyDescent="0.25">
      <c r="A348" s="6">
        <v>346</v>
      </c>
      <c r="B348" s="7">
        <v>354.75</v>
      </c>
      <c r="C348" s="3">
        <f t="shared" si="1"/>
        <v>1.9752044206409847E-3</v>
      </c>
    </row>
    <row r="349" spans="1:3" ht="13.2" x14ac:dyDescent="0.25">
      <c r="A349" s="6">
        <v>347</v>
      </c>
      <c r="B349" s="7">
        <v>364.67999267578102</v>
      </c>
      <c r="C349" s="3">
        <f t="shared" si="1"/>
        <v>2.760692059258851E-2</v>
      </c>
    </row>
    <row r="350" spans="1:3" ht="13.2" x14ac:dyDescent="0.25">
      <c r="A350" s="6">
        <v>348</v>
      </c>
      <c r="B350" s="7">
        <v>375.05999755859301</v>
      </c>
      <c r="C350" s="3">
        <f t="shared" si="1"/>
        <v>2.8065770029658321E-2</v>
      </c>
    </row>
    <row r="351" spans="1:3" ht="13.2" x14ac:dyDescent="0.25">
      <c r="A351" s="6">
        <v>349</v>
      </c>
      <c r="B351" s="7">
        <v>381.26998901367102</v>
      </c>
      <c r="C351" s="3">
        <f t="shared" si="1"/>
        <v>1.642175008460053E-2</v>
      </c>
    </row>
    <row r="352" spans="1:3" ht="13.2" x14ac:dyDescent="0.25">
      <c r="A352" s="6">
        <v>350</v>
      </c>
      <c r="B352" s="7">
        <v>390.35998535156199</v>
      </c>
      <c r="C352" s="3">
        <f t="shared" si="1"/>
        <v>2.3561596000801831E-2</v>
      </c>
    </row>
    <row r="353" spans="1:3" ht="13.2" x14ac:dyDescent="0.25">
      <c r="A353" s="6">
        <v>351</v>
      </c>
      <c r="B353" s="7">
        <v>366.350006103515</v>
      </c>
      <c r="C353" s="3">
        <f t="shared" si="1"/>
        <v>-6.3480175481489945E-2</v>
      </c>
    </row>
    <row r="354" spans="1:3" ht="13.2" x14ac:dyDescent="0.25">
      <c r="A354" s="6">
        <v>352</v>
      </c>
      <c r="B354" s="7">
        <v>368.329986572265</v>
      </c>
      <c r="C354" s="3">
        <f t="shared" si="1"/>
        <v>5.390061747007447E-3</v>
      </c>
    </row>
    <row r="355" spans="1:3" ht="13.2" x14ac:dyDescent="0.25">
      <c r="A355" s="6">
        <v>353</v>
      </c>
      <c r="B355" s="7">
        <v>356.97000122070301</v>
      </c>
      <c r="C355" s="3">
        <f t="shared" si="1"/>
        <v>-3.1327490958523385E-2</v>
      </c>
    </row>
    <row r="356" spans="1:3" ht="13.2" x14ac:dyDescent="0.25">
      <c r="A356" s="6">
        <v>354</v>
      </c>
      <c r="B356" s="7">
        <v>357.58999633789</v>
      </c>
      <c r="C356" s="3">
        <f t="shared" si="1"/>
        <v>1.7353204066553785E-3</v>
      </c>
    </row>
    <row r="357" spans="1:3" ht="13.2" x14ac:dyDescent="0.25">
      <c r="A357" s="6">
        <v>355</v>
      </c>
      <c r="B357" s="7">
        <v>344.70999145507801</v>
      </c>
      <c r="C357" s="3">
        <f t="shared" si="1"/>
        <v>-3.6683609414189598E-2</v>
      </c>
    </row>
    <row r="358" spans="1:3" ht="13.2" x14ac:dyDescent="0.25">
      <c r="A358" s="6">
        <v>356</v>
      </c>
      <c r="B358" s="7">
        <v>350.05999755859301</v>
      </c>
      <c r="C358" s="3">
        <f t="shared" si="1"/>
        <v>1.5401102341175435E-2</v>
      </c>
    </row>
    <row r="359" spans="1:3" ht="13.2" x14ac:dyDescent="0.25">
      <c r="A359" s="6">
        <v>357</v>
      </c>
      <c r="B359" s="7">
        <v>357.80999755859301</v>
      </c>
      <c r="C359" s="3">
        <f t="shared" si="1"/>
        <v>2.1897551047056991E-2</v>
      </c>
    </row>
    <row r="360" spans="1:3" ht="13.2" x14ac:dyDescent="0.25">
      <c r="A360" s="6">
        <v>358</v>
      </c>
      <c r="B360" s="7">
        <v>358.10998535156199</v>
      </c>
      <c r="C360" s="3">
        <f t="shared" si="1"/>
        <v>8.3804843470622879E-4</v>
      </c>
    </row>
    <row r="361" spans="1:3" ht="13.2" x14ac:dyDescent="0.25">
      <c r="A361" s="6">
        <v>359</v>
      </c>
      <c r="B361" s="7">
        <v>363.02999877929602</v>
      </c>
      <c r="C361" s="3">
        <f t="shared" si="1"/>
        <v>1.3645311245328123E-2</v>
      </c>
    </row>
    <row r="362" spans="1:3" ht="13.2" x14ac:dyDescent="0.25">
      <c r="A362" s="6">
        <v>360</v>
      </c>
      <c r="B362" s="7">
        <v>370.35998535156199</v>
      </c>
      <c r="C362" s="3">
        <f t="shared" si="1"/>
        <v>1.9989993912427662E-2</v>
      </c>
    </row>
    <row r="363" spans="1:3" ht="13.2" x14ac:dyDescent="0.25">
      <c r="A363" s="6">
        <v>361</v>
      </c>
      <c r="B363" s="7">
        <v>371.33999633789</v>
      </c>
      <c r="C363" s="3">
        <f t="shared" si="1"/>
        <v>2.6426090894910294E-3</v>
      </c>
    </row>
    <row r="364" spans="1:3" ht="13.2" x14ac:dyDescent="0.25">
      <c r="A364" s="6">
        <v>362</v>
      </c>
      <c r="B364" s="7">
        <v>372.989990234375</v>
      </c>
      <c r="C364" s="3">
        <f t="shared" si="1"/>
        <v>4.4335083335069088E-3</v>
      </c>
    </row>
    <row r="365" spans="1:3" ht="13.2" x14ac:dyDescent="0.25">
      <c r="A365" s="6">
        <v>363</v>
      </c>
      <c r="B365" s="7">
        <v>378.64999389648398</v>
      </c>
      <c r="C365" s="3">
        <f t="shared" si="1"/>
        <v>1.5060695989728531E-2</v>
      </c>
    </row>
    <row r="366" spans="1:3" ht="13.2" x14ac:dyDescent="0.25">
      <c r="A366" s="6">
        <v>364</v>
      </c>
      <c r="B366" s="7">
        <v>369.89999389648398</v>
      </c>
      <c r="C366" s="3">
        <f t="shared" si="1"/>
        <v>-2.3379597102722558E-2</v>
      </c>
    </row>
    <row r="367" spans="1:3" ht="13.2" x14ac:dyDescent="0.25">
      <c r="A367" s="6">
        <v>365</v>
      </c>
      <c r="B367" s="7">
        <v>355.67999267578102</v>
      </c>
      <c r="C367" s="3">
        <f t="shared" si="1"/>
        <v>-3.9201252714231735E-2</v>
      </c>
    </row>
    <row r="368" spans="1:3" ht="13.2" x14ac:dyDescent="0.25">
      <c r="A368" s="6">
        <v>366</v>
      </c>
      <c r="B368" s="7">
        <v>366.05999755859301</v>
      </c>
      <c r="C368" s="3">
        <f t="shared" si="1"/>
        <v>2.8765818098670969E-2</v>
      </c>
    </row>
    <row r="369" spans="1:3" ht="13.2" x14ac:dyDescent="0.25">
      <c r="A369" s="6">
        <v>367</v>
      </c>
      <c r="B369" s="7">
        <v>364.07000732421801</v>
      </c>
      <c r="C369" s="3">
        <f t="shared" si="1"/>
        <v>-5.4510707644950017E-3</v>
      </c>
    </row>
    <row r="370" spans="1:3" ht="13.2" x14ac:dyDescent="0.25">
      <c r="A370" s="6">
        <v>368</v>
      </c>
      <c r="B370" s="7">
        <v>360.489990234375</v>
      </c>
      <c r="C370" s="3">
        <f t="shared" si="1"/>
        <v>-9.8819869585442012E-3</v>
      </c>
    </row>
    <row r="371" spans="1:3" ht="13.2" x14ac:dyDescent="0.25">
      <c r="A371" s="6">
        <v>369</v>
      </c>
      <c r="B371" s="7">
        <v>360.73001098632801</v>
      </c>
      <c r="C371" s="3">
        <f t="shared" si="1"/>
        <v>6.6559651814393711E-4</v>
      </c>
    </row>
    <row r="372" spans="1:3" ht="13.2" x14ac:dyDescent="0.25">
      <c r="A372" s="6">
        <v>370</v>
      </c>
      <c r="B372" s="7">
        <v>351.14001464843699</v>
      </c>
      <c r="C372" s="3">
        <f t="shared" si="1"/>
        <v>-2.6944740459642014E-2</v>
      </c>
    </row>
    <row r="373" spans="1:3" ht="13.2" x14ac:dyDescent="0.25">
      <c r="A373" s="6">
        <v>371</v>
      </c>
      <c r="B373" s="7">
        <v>348.63000488281199</v>
      </c>
      <c r="C373" s="3">
        <f t="shared" si="1"/>
        <v>-7.1738441492554556E-3</v>
      </c>
    </row>
    <row r="374" spans="1:3" ht="13.2" x14ac:dyDescent="0.25">
      <c r="A374" s="6">
        <v>372</v>
      </c>
      <c r="B374" s="7">
        <v>356.17999267578102</v>
      </c>
      <c r="C374" s="3">
        <f t="shared" si="1"/>
        <v>2.142499857600207E-2</v>
      </c>
    </row>
    <row r="375" spans="1:3" ht="13.2" x14ac:dyDescent="0.25">
      <c r="A375" s="6">
        <v>373</v>
      </c>
      <c r="B375" s="7">
        <v>357.44000244140602</v>
      </c>
      <c r="C375" s="3">
        <f t="shared" si="1"/>
        <v>3.5313222264822378E-3</v>
      </c>
    </row>
    <row r="376" spans="1:3" ht="13.2" x14ac:dyDescent="0.25">
      <c r="A376" s="6">
        <v>374</v>
      </c>
      <c r="B376" s="7">
        <v>356.25</v>
      </c>
      <c r="C376" s="3">
        <f t="shared" si="1"/>
        <v>-3.3347911282296588E-3</v>
      </c>
    </row>
    <row r="377" spans="1:3" ht="13.2" x14ac:dyDescent="0.25">
      <c r="A377" s="6">
        <v>375</v>
      </c>
      <c r="B377" s="7">
        <v>345.23001098632801</v>
      </c>
      <c r="C377" s="3">
        <f t="shared" si="1"/>
        <v>-3.142183818512697E-2</v>
      </c>
    </row>
    <row r="378" spans="1:3" ht="13.2" x14ac:dyDescent="0.25">
      <c r="A378" s="6">
        <v>376</v>
      </c>
      <c r="B378" s="7">
        <v>346.51998901367102</v>
      </c>
      <c r="C378" s="3">
        <f t="shared" si="1"/>
        <v>3.7296119194586883E-3</v>
      </c>
    </row>
    <row r="379" spans="1:3" ht="13.2" x14ac:dyDescent="0.25">
      <c r="A379" s="6">
        <v>377</v>
      </c>
      <c r="B379" s="7">
        <v>345.36999511718699</v>
      </c>
      <c r="C379" s="3">
        <f t="shared" si="1"/>
        <v>-3.3242133340575177E-3</v>
      </c>
    </row>
    <row r="380" spans="1:3" ht="13.2" x14ac:dyDescent="0.25">
      <c r="A380" s="6">
        <v>378</v>
      </c>
      <c r="B380" s="7">
        <v>340.72000122070301</v>
      </c>
      <c r="C380" s="3">
        <f t="shared" si="1"/>
        <v>-1.3555262785460293E-2</v>
      </c>
    </row>
    <row r="381" spans="1:3" ht="13.2" x14ac:dyDescent="0.25">
      <c r="A381" s="6">
        <v>379</v>
      </c>
      <c r="B381" s="7">
        <v>342.60998535156199</v>
      </c>
      <c r="C381" s="3">
        <f t="shared" si="1"/>
        <v>5.5317020690217843E-3</v>
      </c>
    </row>
    <row r="382" spans="1:3" ht="13.2" x14ac:dyDescent="0.25">
      <c r="A382" s="6">
        <v>380</v>
      </c>
      <c r="B382" s="7">
        <v>350.45001220703102</v>
      </c>
      <c r="C382" s="3">
        <f t="shared" si="1"/>
        <v>2.2625346512084393E-2</v>
      </c>
    </row>
    <row r="383" spans="1:3" ht="13.2" x14ac:dyDescent="0.25">
      <c r="A383" s="6">
        <v>381</v>
      </c>
      <c r="B383" s="7">
        <v>354.63000488281199</v>
      </c>
      <c r="C383" s="3">
        <f t="shared" si="1"/>
        <v>1.1856928420365695E-2</v>
      </c>
    </row>
    <row r="384" spans="1:3" ht="13.2" x14ac:dyDescent="0.25">
      <c r="A384" s="6">
        <v>382</v>
      </c>
      <c r="B384" s="7">
        <v>358.5</v>
      </c>
      <c r="C384" s="3">
        <f t="shared" si="1"/>
        <v>1.0853653840529401E-2</v>
      </c>
    </row>
    <row r="385" spans="1:3" ht="13.2" x14ac:dyDescent="0.25">
      <c r="A385" s="6">
        <v>383</v>
      </c>
      <c r="B385" s="7">
        <v>357.57000732421801</v>
      </c>
      <c r="C385" s="3">
        <f t="shared" si="1"/>
        <v>-2.5974923936359097E-3</v>
      </c>
    </row>
    <row r="386" spans="1:3" ht="13.2" x14ac:dyDescent="0.25">
      <c r="A386" s="6">
        <v>384</v>
      </c>
      <c r="B386" s="7">
        <v>360.42001342773398</v>
      </c>
      <c r="C386" s="3">
        <f t="shared" si="1"/>
        <v>7.9388876998811118E-3</v>
      </c>
    </row>
    <row r="387" spans="1:3" ht="13.2" x14ac:dyDescent="0.25">
      <c r="A387" s="6">
        <v>385</v>
      </c>
      <c r="B387" s="7">
        <v>369.08999633789</v>
      </c>
      <c r="C387" s="3">
        <f t="shared" si="1"/>
        <v>2.3770451472269544E-2</v>
      </c>
    </row>
    <row r="388" spans="1:3" ht="13.2" x14ac:dyDescent="0.25">
      <c r="A388" s="6">
        <v>386</v>
      </c>
      <c r="B388" s="7">
        <v>367.20001220703102</v>
      </c>
      <c r="C388" s="3">
        <f t="shared" si="1"/>
        <v>-5.133814828306449E-3</v>
      </c>
    </row>
    <row r="389" spans="1:3" ht="13.2" x14ac:dyDescent="0.25">
      <c r="A389" s="6">
        <v>387</v>
      </c>
      <c r="B389" s="7">
        <v>362.52999877929602</v>
      </c>
      <c r="C389" s="3">
        <f t="shared" si="1"/>
        <v>-1.2799465865950519E-2</v>
      </c>
    </row>
    <row r="390" spans="1:3" ht="13.2" x14ac:dyDescent="0.25">
      <c r="A390" s="6">
        <v>388</v>
      </c>
      <c r="B390" s="7">
        <v>359.260009765625</v>
      </c>
      <c r="C390" s="3">
        <f t="shared" si="1"/>
        <v>-9.0608386006321238E-3</v>
      </c>
    </row>
    <row r="391" spans="1:3" ht="13.2" x14ac:dyDescent="0.25">
      <c r="A391" s="6">
        <v>389</v>
      </c>
      <c r="B391" s="7">
        <v>371.52999877929602</v>
      </c>
      <c r="C391" s="3">
        <f t="shared" si="1"/>
        <v>3.3583223789706407E-2</v>
      </c>
    </row>
    <row r="392" spans="1:3" ht="13.2" x14ac:dyDescent="0.25">
      <c r="A392" s="6">
        <v>390</v>
      </c>
      <c r="B392" s="7">
        <v>367.20001220703102</v>
      </c>
      <c r="C392" s="3">
        <f t="shared" si="1"/>
        <v>-1.1722919323123636E-2</v>
      </c>
    </row>
    <row r="393" spans="1:3" ht="13.2" x14ac:dyDescent="0.25">
      <c r="A393" s="6">
        <v>391</v>
      </c>
      <c r="B393" s="7">
        <v>365.600006103515</v>
      </c>
      <c r="C393" s="3">
        <f t="shared" si="1"/>
        <v>-4.3668357153726599E-3</v>
      </c>
    </row>
    <row r="394" spans="1:3" ht="13.2" x14ac:dyDescent="0.25">
      <c r="A394" s="6">
        <v>392</v>
      </c>
      <c r="B394" s="7">
        <v>364.32000732421801</v>
      </c>
      <c r="C394" s="3">
        <f t="shared" si="1"/>
        <v>-3.5072338552770144E-3</v>
      </c>
    </row>
    <row r="395" spans="1:3" ht="13.2" x14ac:dyDescent="0.25">
      <c r="A395" s="6">
        <v>393</v>
      </c>
      <c r="B395" s="7">
        <v>370.79000854492102</v>
      </c>
      <c r="C395" s="3">
        <f t="shared" si="1"/>
        <v>1.760326523769121E-2</v>
      </c>
    </row>
    <row r="396" spans="1:3" ht="13.2" x14ac:dyDescent="0.25">
      <c r="A396" s="6">
        <v>394</v>
      </c>
      <c r="B396" s="7">
        <v>371.30999755859301</v>
      </c>
      <c r="C396" s="3">
        <f t="shared" si="1"/>
        <v>1.4013989879978778E-3</v>
      </c>
    </row>
    <row r="397" spans="1:3" ht="13.2" x14ac:dyDescent="0.25">
      <c r="A397" s="6">
        <v>395</v>
      </c>
      <c r="B397" s="7">
        <v>370.45001220703102</v>
      </c>
      <c r="C397" s="3">
        <f t="shared" si="1"/>
        <v>-2.3187708303583124E-3</v>
      </c>
    </row>
    <row r="398" spans="1:3" ht="13.2" x14ac:dyDescent="0.25">
      <c r="A398" s="6">
        <v>396</v>
      </c>
      <c r="B398" s="7">
        <v>354.80999755859301</v>
      </c>
      <c r="C398" s="3">
        <f t="shared" si="1"/>
        <v>-4.3136087764314775E-2</v>
      </c>
    </row>
    <row r="399" spans="1:3" ht="13.2" x14ac:dyDescent="0.25">
      <c r="A399" s="6">
        <v>397</v>
      </c>
      <c r="B399" s="7">
        <v>360.20001220703102</v>
      </c>
      <c r="C399" s="3">
        <f t="shared" si="1"/>
        <v>1.5077038581197365E-2</v>
      </c>
    </row>
    <row r="400" spans="1:3" ht="13.2" x14ac:dyDescent="0.25">
      <c r="A400" s="6">
        <v>398</v>
      </c>
      <c r="B400" s="7">
        <v>350.97000122070301</v>
      </c>
      <c r="C400" s="3">
        <f t="shared" si="1"/>
        <v>-2.5958713425743685E-2</v>
      </c>
    </row>
    <row r="401" spans="1:3" ht="13.2" x14ac:dyDescent="0.25">
      <c r="A401" s="6">
        <v>399</v>
      </c>
      <c r="B401" s="7">
        <v>350.54998779296801</v>
      </c>
      <c r="C401" s="3">
        <f t="shared" si="1"/>
        <v>-1.1974383752405924E-3</v>
      </c>
    </row>
    <row r="402" spans="1:3" ht="13.2" x14ac:dyDescent="0.25">
      <c r="A402" s="6">
        <v>400</v>
      </c>
      <c r="B402" s="7">
        <v>363.27999877929602</v>
      </c>
      <c r="C402" s="3">
        <f t="shared" si="1"/>
        <v>3.5670568599003777E-2</v>
      </c>
    </row>
    <row r="403" spans="1:3" ht="13.2" x14ac:dyDescent="0.25">
      <c r="A403" s="6">
        <v>401</v>
      </c>
      <c r="B403" s="7">
        <v>361.75</v>
      </c>
      <c r="C403" s="3">
        <f t="shared" si="1"/>
        <v>-4.2205179178734249E-3</v>
      </c>
    </row>
    <row r="404" spans="1:3" ht="13.2" x14ac:dyDescent="0.25">
      <c r="A404" s="6">
        <v>402</v>
      </c>
      <c r="B404" s="7">
        <v>358.850006103515</v>
      </c>
      <c r="C404" s="3">
        <f t="shared" si="1"/>
        <v>-8.0488746269712971E-3</v>
      </c>
    </row>
    <row r="405" spans="1:3" ht="13.2" x14ac:dyDescent="0.25">
      <c r="A405" s="6">
        <v>403</v>
      </c>
      <c r="B405" s="7">
        <v>350.01998901367102</v>
      </c>
      <c r="C405" s="3">
        <f t="shared" si="1"/>
        <v>-2.4914226564328897E-2</v>
      </c>
    </row>
    <row r="406" spans="1:3" ht="13.2" x14ac:dyDescent="0.25">
      <c r="A406" s="6">
        <v>404</v>
      </c>
      <c r="B406" s="7">
        <v>350.94000244140602</v>
      </c>
      <c r="C406" s="3">
        <f t="shared" si="1"/>
        <v>2.6250113194582862E-3</v>
      </c>
    </row>
    <row r="407" spans="1:3" ht="13.2" x14ac:dyDescent="0.25">
      <c r="A407" s="6">
        <v>405</v>
      </c>
      <c r="B407" s="7">
        <v>351.85998535156199</v>
      </c>
      <c r="C407" s="3">
        <f t="shared" si="1"/>
        <v>2.618051939709137E-3</v>
      </c>
    </row>
    <row r="408" spans="1:3" ht="13.2" x14ac:dyDescent="0.25">
      <c r="A408" s="6">
        <v>406</v>
      </c>
      <c r="B408" s="7">
        <v>347.88000488281199</v>
      </c>
      <c r="C408" s="3">
        <f t="shared" si="1"/>
        <v>-1.1375720821987316E-2</v>
      </c>
    </row>
    <row r="409" spans="1:3" ht="13.2" x14ac:dyDescent="0.25">
      <c r="A409" s="6">
        <v>407</v>
      </c>
      <c r="B409" s="7">
        <v>361.17001342773398</v>
      </c>
      <c r="C409" s="3">
        <f t="shared" si="1"/>
        <v>3.7491192036002048E-2</v>
      </c>
    </row>
    <row r="410" spans="1:3" ht="13.2" x14ac:dyDescent="0.25">
      <c r="A410" s="6">
        <v>408</v>
      </c>
      <c r="B410" s="7">
        <v>366.45999145507801</v>
      </c>
      <c r="C410" s="3">
        <f t="shared" si="1"/>
        <v>1.4540552741078119E-2</v>
      </c>
    </row>
    <row r="411" spans="1:3" ht="13.2" x14ac:dyDescent="0.25">
      <c r="A411" s="6">
        <v>409</v>
      </c>
      <c r="B411" s="7">
        <v>378.55999755859301</v>
      </c>
      <c r="C411" s="3">
        <f t="shared" si="1"/>
        <v>3.248522280627425E-2</v>
      </c>
    </row>
    <row r="412" spans="1:3" ht="13.2" x14ac:dyDescent="0.25">
      <c r="A412" s="6">
        <v>410</v>
      </c>
      <c r="B412" s="7">
        <v>375.989990234375</v>
      </c>
      <c r="C412" s="3">
        <f t="shared" si="1"/>
        <v>-6.8120530223850905E-3</v>
      </c>
    </row>
    <row r="413" spans="1:3" ht="13.2" x14ac:dyDescent="0.25">
      <c r="A413" s="6">
        <v>411</v>
      </c>
      <c r="B413" s="7">
        <v>383.17999267578102</v>
      </c>
      <c r="C413" s="3">
        <f t="shared" si="1"/>
        <v>1.8942312235099686E-2</v>
      </c>
    </row>
    <row r="414" spans="1:3" ht="13.2" x14ac:dyDescent="0.25">
      <c r="A414" s="6">
        <v>412</v>
      </c>
      <c r="B414" s="7">
        <v>378</v>
      </c>
      <c r="C414" s="3">
        <f t="shared" si="1"/>
        <v>-1.3610637933954478E-2</v>
      </c>
    </row>
    <row r="415" spans="1:3" ht="13.2" x14ac:dyDescent="0.25">
      <c r="A415" s="6">
        <v>413</v>
      </c>
      <c r="B415" s="7">
        <v>376.52999877929602</v>
      </c>
      <c r="C415" s="3">
        <f t="shared" si="1"/>
        <v>-3.8964735211064979E-3</v>
      </c>
    </row>
    <row r="416" spans="1:3" ht="13.2" x14ac:dyDescent="0.25">
      <c r="A416" s="6">
        <v>414</v>
      </c>
      <c r="B416" s="7">
        <v>375.52999877929602</v>
      </c>
      <c r="C416" s="3">
        <f t="shared" si="1"/>
        <v>-2.6593638608557466E-3</v>
      </c>
    </row>
    <row r="417" spans="1:3" ht="13.2" x14ac:dyDescent="0.25">
      <c r="A417" s="6">
        <v>415</v>
      </c>
      <c r="B417" s="7">
        <v>379.91000366210898</v>
      </c>
      <c r="C417" s="3">
        <f t="shared" si="1"/>
        <v>1.1596033965433933E-2</v>
      </c>
    </row>
    <row r="418" spans="1:3" ht="13.2" x14ac:dyDescent="0.25">
      <c r="A418" s="6">
        <v>416</v>
      </c>
      <c r="B418" s="7">
        <v>362.82000732421801</v>
      </c>
      <c r="C418" s="3">
        <f t="shared" si="1"/>
        <v>-4.602752850296396E-2</v>
      </c>
    </row>
    <row r="419" spans="1:3" ht="13.2" x14ac:dyDescent="0.25">
      <c r="A419" s="6">
        <v>417</v>
      </c>
      <c r="B419" s="7">
        <v>371.13000488281199</v>
      </c>
      <c r="C419" s="3">
        <f t="shared" si="1"/>
        <v>2.2645554999362601E-2</v>
      </c>
    </row>
    <row r="420" spans="1:3" ht="13.2" x14ac:dyDescent="0.25">
      <c r="A420" s="6">
        <v>418</v>
      </c>
      <c r="B420" s="7">
        <v>376.45001220703102</v>
      </c>
      <c r="C420" s="3">
        <f t="shared" si="1"/>
        <v>1.4232850023372327E-2</v>
      </c>
    </row>
    <row r="421" spans="1:3" ht="13.2" x14ac:dyDescent="0.25">
      <c r="A421" s="6">
        <v>419</v>
      </c>
      <c r="B421" s="7">
        <v>376.739990234375</v>
      </c>
      <c r="C421" s="3">
        <f t="shared" si="1"/>
        <v>7.6999970985101201E-4</v>
      </c>
    </row>
    <row r="422" spans="1:3" ht="13.2" x14ac:dyDescent="0.25">
      <c r="A422" s="6">
        <v>420</v>
      </c>
      <c r="B422" s="7">
        <v>370.42001342773398</v>
      </c>
      <c r="C422" s="3">
        <f t="shared" si="1"/>
        <v>-1.6917735188002062E-2</v>
      </c>
    </row>
    <row r="423" spans="1:3" ht="13.2" x14ac:dyDescent="0.25">
      <c r="A423" s="6">
        <v>421</v>
      </c>
      <c r="B423" s="7">
        <v>365.33999633789</v>
      </c>
      <c r="C423" s="3">
        <f t="shared" si="1"/>
        <v>-1.3809116419982323E-2</v>
      </c>
    </row>
    <row r="424" spans="1:3" ht="13.2" x14ac:dyDescent="0.25">
      <c r="A424" s="6">
        <v>422</v>
      </c>
      <c r="B424" s="7">
        <v>367.89001464843699</v>
      </c>
      <c r="C424" s="3">
        <f t="shared" si="1"/>
        <v>6.9556034347840372E-3</v>
      </c>
    </row>
    <row r="425" spans="1:3" ht="13.2" x14ac:dyDescent="0.25">
      <c r="A425" s="6">
        <v>423</v>
      </c>
      <c r="B425" s="7">
        <v>369.83999633789</v>
      </c>
      <c r="C425" s="3">
        <f t="shared" si="1"/>
        <v>5.2864495186126861E-3</v>
      </c>
    </row>
    <row r="426" spans="1:3" ht="13.2" x14ac:dyDescent="0.25">
      <c r="A426" s="6">
        <v>424</v>
      </c>
      <c r="B426" s="7">
        <v>372.25</v>
      </c>
      <c r="C426" s="3">
        <f t="shared" si="1"/>
        <v>6.4952017860249699E-3</v>
      </c>
    </row>
    <row r="427" spans="1:3" ht="13.2" x14ac:dyDescent="0.25">
      <c r="A427" s="6">
        <v>425</v>
      </c>
      <c r="B427" s="7">
        <v>368.02999877929602</v>
      </c>
      <c r="C427" s="3">
        <f t="shared" si="1"/>
        <v>-1.1401218295633434E-2</v>
      </c>
    </row>
    <row r="428" spans="1:3" ht="13.2" x14ac:dyDescent="0.25">
      <c r="A428" s="6">
        <v>426</v>
      </c>
      <c r="B428" s="7">
        <v>369.77999877929602</v>
      </c>
      <c r="C428" s="3">
        <f t="shared" si="1"/>
        <v>4.7437776325589109E-3</v>
      </c>
    </row>
    <row r="429" spans="1:3" ht="13.2" x14ac:dyDescent="0.25">
      <c r="A429" s="6">
        <v>427</v>
      </c>
      <c r="B429" s="7">
        <v>376.92999267578102</v>
      </c>
      <c r="C429" s="3">
        <f t="shared" si="1"/>
        <v>1.9151243483153772E-2</v>
      </c>
    </row>
    <row r="430" spans="1:3" ht="13.2" x14ac:dyDescent="0.25">
      <c r="A430" s="6">
        <v>428</v>
      </c>
      <c r="B430" s="7">
        <v>373.75</v>
      </c>
      <c r="C430" s="3">
        <f t="shared" si="1"/>
        <v>-8.4723496793015721E-3</v>
      </c>
    </row>
    <row r="431" spans="1:3" ht="13.2" x14ac:dyDescent="0.25">
      <c r="A431" s="6">
        <v>429</v>
      </c>
      <c r="B431" s="7">
        <v>372.92001342773398</v>
      </c>
      <c r="C431" s="3">
        <f t="shared" si="1"/>
        <v>-2.2231692693944248E-3</v>
      </c>
    </row>
    <row r="432" spans="1:3" ht="13.2" x14ac:dyDescent="0.25">
      <c r="A432" s="6">
        <v>430</v>
      </c>
      <c r="B432" s="7">
        <v>370.45001220703102</v>
      </c>
      <c r="C432" s="3">
        <f t="shared" si="1"/>
        <v>-6.6454396209372603E-3</v>
      </c>
    </row>
    <row r="433" spans="1:3" ht="13.2" x14ac:dyDescent="0.25">
      <c r="A433" s="6">
        <v>431</v>
      </c>
      <c r="B433" s="7">
        <v>361.829986572265</v>
      </c>
      <c r="C433" s="3">
        <f t="shared" si="1"/>
        <v>-2.3544064661922114E-2</v>
      </c>
    </row>
    <row r="434" spans="1:3" ht="13.2" x14ac:dyDescent="0.25">
      <c r="A434" s="6">
        <v>432</v>
      </c>
      <c r="B434" s="7">
        <v>362.42001342773398</v>
      </c>
      <c r="C434" s="3">
        <f t="shared" si="1"/>
        <v>1.6293461815700765E-3</v>
      </c>
    </row>
    <row r="435" spans="1:3" ht="13.2" x14ac:dyDescent="0.25">
      <c r="A435" s="6">
        <v>433</v>
      </c>
      <c r="B435" s="7">
        <v>362.76998901367102</v>
      </c>
      <c r="C435" s="3">
        <f t="shared" si="1"/>
        <v>9.6519701575792046E-4</v>
      </c>
    </row>
    <row r="436" spans="1:3" ht="13.2" x14ac:dyDescent="0.25">
      <c r="A436" s="6">
        <v>434</v>
      </c>
      <c r="B436" s="7">
        <v>362.98001098632801</v>
      </c>
      <c r="C436" s="3">
        <f t="shared" si="1"/>
        <v>5.7877224531772953E-4</v>
      </c>
    </row>
    <row r="437" spans="1:3" ht="13.2" x14ac:dyDescent="0.25">
      <c r="A437" s="6">
        <v>435</v>
      </c>
      <c r="B437" s="7">
        <v>353.42999267578102</v>
      </c>
      <c r="C437" s="3">
        <f t="shared" si="1"/>
        <v>-2.6662341392402762E-2</v>
      </c>
    </row>
    <row r="438" spans="1:3" ht="13.2" x14ac:dyDescent="0.25">
      <c r="A438" s="6">
        <v>436</v>
      </c>
      <c r="B438" s="7">
        <v>355.260009765625</v>
      </c>
      <c r="C438" s="3">
        <f t="shared" si="1"/>
        <v>5.1645180575243194E-3</v>
      </c>
    </row>
    <row r="439" spans="1:3" ht="13.2" x14ac:dyDescent="0.25">
      <c r="A439" s="6">
        <v>437</v>
      </c>
      <c r="B439" s="7">
        <v>359.600006103515</v>
      </c>
      <c r="C439" s="3">
        <f t="shared" si="1"/>
        <v>1.2142376310122738E-2</v>
      </c>
    </row>
    <row r="440" spans="1:3" ht="13.2" x14ac:dyDescent="0.25">
      <c r="A440" s="6">
        <v>438</v>
      </c>
      <c r="B440" s="7">
        <v>360.76998901367102</v>
      </c>
      <c r="C440" s="3">
        <f t="shared" si="1"/>
        <v>3.2482861496982637E-3</v>
      </c>
    </row>
    <row r="441" spans="1:3" ht="13.2" x14ac:dyDescent="0.25">
      <c r="A441" s="6">
        <v>439</v>
      </c>
      <c r="B441" s="7">
        <v>361.29000854492102</v>
      </c>
      <c r="C441" s="3">
        <f t="shared" si="1"/>
        <v>1.4403778714089791E-3</v>
      </c>
    </row>
    <row r="442" spans="1:3" ht="13.2" x14ac:dyDescent="0.25">
      <c r="A442" s="6">
        <v>440</v>
      </c>
      <c r="B442" s="7">
        <v>361.85998535156199</v>
      </c>
      <c r="C442" s="3">
        <f t="shared" si="1"/>
        <v>1.576372618355922E-3</v>
      </c>
    </row>
    <row r="443" spans="1:3" ht="13.2" x14ac:dyDescent="0.25">
      <c r="A443" s="6">
        <v>441</v>
      </c>
      <c r="B443" s="7">
        <v>353.04998779296801</v>
      </c>
      <c r="C443" s="3">
        <f t="shared" si="1"/>
        <v>-2.4647700823570092E-2</v>
      </c>
    </row>
    <row r="444" spans="1:3" ht="13.2" x14ac:dyDescent="0.25">
      <c r="A444" s="6">
        <v>442</v>
      </c>
      <c r="B444" s="7">
        <v>361.29000854492102</v>
      </c>
      <c r="C444" s="3">
        <f t="shared" si="1"/>
        <v>2.3071328205214174E-2</v>
      </c>
    </row>
    <row r="445" spans="1:3" ht="13.2" x14ac:dyDescent="0.25">
      <c r="A445" s="6">
        <v>443</v>
      </c>
      <c r="B445" s="7">
        <v>362.32000732421801</v>
      </c>
      <c r="C445" s="3">
        <f t="shared" si="1"/>
        <v>2.8468358710956E-3</v>
      </c>
    </row>
    <row r="446" spans="1:3" ht="13.2" x14ac:dyDescent="0.25">
      <c r="A446" s="6">
        <v>444</v>
      </c>
      <c r="B446" s="7">
        <v>361.60998535156199</v>
      </c>
      <c r="C446" s="3">
        <f t="shared" si="1"/>
        <v>-1.9615769687874197E-3</v>
      </c>
    </row>
    <row r="447" spans="1:3" ht="13.2" x14ac:dyDescent="0.25">
      <c r="A447" s="6">
        <v>445</v>
      </c>
      <c r="B447" s="7">
        <v>361.36999511718699</v>
      </c>
      <c r="C447" s="3">
        <f t="shared" si="1"/>
        <v>-6.6389180799746679E-4</v>
      </c>
    </row>
    <row r="448" spans="1:3" ht="13.2" x14ac:dyDescent="0.25">
      <c r="A448" s="6">
        <v>446</v>
      </c>
      <c r="B448" s="7">
        <v>360.25</v>
      </c>
      <c r="C448" s="3">
        <f t="shared" si="1"/>
        <v>-3.1041158063188634E-3</v>
      </c>
    </row>
    <row r="449" spans="1:3" ht="13.2" x14ac:dyDescent="0.25">
      <c r="A449" s="6">
        <v>447</v>
      </c>
      <c r="B449" s="7">
        <v>356.64999389648398</v>
      </c>
      <c r="C449" s="3">
        <f t="shared" si="1"/>
        <v>-1.0043343269045931E-2</v>
      </c>
    </row>
    <row r="450" spans="1:3" ht="13.2" x14ac:dyDescent="0.25">
      <c r="A450" s="6">
        <v>448</v>
      </c>
      <c r="B450" s="7">
        <v>356.20001220703102</v>
      </c>
      <c r="C450" s="3">
        <f t="shared" si="1"/>
        <v>-1.2624864848647711E-3</v>
      </c>
    </row>
    <row r="451" spans="1:3" ht="13.2" x14ac:dyDescent="0.25">
      <c r="A451" s="6">
        <v>449</v>
      </c>
      <c r="B451" s="7">
        <v>355.77999877929602</v>
      </c>
      <c r="C451" s="3">
        <f t="shared" si="1"/>
        <v>-1.1798462596611377E-3</v>
      </c>
    </row>
    <row r="452" spans="1:3" ht="13.2" x14ac:dyDescent="0.25">
      <c r="A452" s="6">
        <v>450</v>
      </c>
      <c r="B452" s="7">
        <v>350.64001464843699</v>
      </c>
      <c r="C452" s="3">
        <f t="shared" si="1"/>
        <v>-1.4552460979220583E-2</v>
      </c>
    </row>
    <row r="453" spans="1:3" ht="13.2" x14ac:dyDescent="0.25">
      <c r="A453" s="6">
        <v>451</v>
      </c>
      <c r="B453" s="7">
        <v>356.22000122070301</v>
      </c>
      <c r="C453" s="3">
        <f t="shared" si="1"/>
        <v>1.578842305062338E-2</v>
      </c>
    </row>
    <row r="454" spans="1:3" ht="13.2" x14ac:dyDescent="0.25">
      <c r="A454" s="6">
        <v>452</v>
      </c>
      <c r="B454" s="7">
        <v>351.44000244140602</v>
      </c>
      <c r="C454" s="3">
        <f t="shared" si="1"/>
        <v>-1.3509514323073873E-2</v>
      </c>
    </row>
    <row r="455" spans="1:3" ht="13.2" x14ac:dyDescent="0.25">
      <c r="A455" s="6">
        <v>453</v>
      </c>
      <c r="B455" s="7">
        <v>349.58999633789</v>
      </c>
      <c r="C455" s="3">
        <f t="shared" si="1"/>
        <v>-5.2779778365495559E-3</v>
      </c>
    </row>
    <row r="456" spans="1:3" ht="13.2" x14ac:dyDescent="0.25">
      <c r="A456" s="6">
        <v>454</v>
      </c>
      <c r="B456" s="7">
        <v>348.42999267578102</v>
      </c>
      <c r="C456" s="3">
        <f t="shared" si="1"/>
        <v>-3.3237006052694354E-3</v>
      </c>
    </row>
    <row r="457" spans="1:3" ht="13.2" x14ac:dyDescent="0.25">
      <c r="A457" s="6">
        <v>455</v>
      </c>
      <c r="B457" s="7">
        <v>348.07000732421801</v>
      </c>
      <c r="C457" s="3">
        <f t="shared" si="1"/>
        <v>-1.0336981582704139E-3</v>
      </c>
    </row>
    <row r="458" spans="1:3" ht="13.2" x14ac:dyDescent="0.25">
      <c r="A458" s="6">
        <v>456</v>
      </c>
      <c r="B458" s="7">
        <v>341.98001098632801</v>
      </c>
      <c r="C458" s="3">
        <f t="shared" si="1"/>
        <v>-1.7651342068207978E-2</v>
      </c>
    </row>
    <row r="459" spans="1:3" ht="13.2" x14ac:dyDescent="0.25">
      <c r="A459" s="6">
        <v>457</v>
      </c>
      <c r="B459" s="7">
        <v>342.95999145507801</v>
      </c>
      <c r="C459" s="3">
        <f t="shared" si="1"/>
        <v>2.8615094284155521E-3</v>
      </c>
    </row>
    <row r="460" spans="1:3" ht="13.2" x14ac:dyDescent="0.25">
      <c r="A460" s="6">
        <v>458</v>
      </c>
      <c r="B460" s="7">
        <v>341.350006103515</v>
      </c>
      <c r="C460" s="3">
        <f t="shared" si="1"/>
        <v>-4.7054356296990464E-3</v>
      </c>
    </row>
    <row r="461" spans="1:3" ht="13.2" x14ac:dyDescent="0.25">
      <c r="A461" s="6">
        <v>459</v>
      </c>
      <c r="B461" s="7">
        <v>342.45001220703102</v>
      </c>
      <c r="C461" s="3">
        <f t="shared" si="1"/>
        <v>3.2173355452761909E-3</v>
      </c>
    </row>
    <row r="462" spans="1:3" ht="13.2" x14ac:dyDescent="0.25">
      <c r="A462" s="6">
        <v>460</v>
      </c>
      <c r="B462" s="7">
        <v>348.72000122070301</v>
      </c>
      <c r="C462" s="3">
        <f t="shared" si="1"/>
        <v>1.8143614140578065E-2</v>
      </c>
    </row>
    <row r="463" spans="1:3" ht="13.2" x14ac:dyDescent="0.25">
      <c r="A463" s="6">
        <v>461</v>
      </c>
      <c r="B463" s="7">
        <v>358.95001220703102</v>
      </c>
      <c r="C463" s="3">
        <f t="shared" si="1"/>
        <v>2.8913825599437792E-2</v>
      </c>
    </row>
    <row r="464" spans="1:3" ht="13.2" x14ac:dyDescent="0.25">
      <c r="A464" s="6">
        <v>462</v>
      </c>
      <c r="B464" s="7">
        <v>357.29000854492102</v>
      </c>
      <c r="C464" s="3">
        <f t="shared" si="1"/>
        <v>-4.6353361618914849E-3</v>
      </c>
    </row>
    <row r="465" spans="1:3" ht="13.2" x14ac:dyDescent="0.25">
      <c r="A465" s="6">
        <v>463</v>
      </c>
      <c r="B465" s="7">
        <v>356.95999145507801</v>
      </c>
      <c r="C465" s="3">
        <f t="shared" si="1"/>
        <v>-9.2409412202407724E-4</v>
      </c>
    </row>
    <row r="466" spans="1:3" ht="13.2" x14ac:dyDescent="0.25">
      <c r="A466" s="6">
        <v>464</v>
      </c>
      <c r="B466" s="7">
        <v>361.07000732421801</v>
      </c>
      <c r="C466" s="3">
        <f t="shared" si="1"/>
        <v>1.1448158891327184E-2</v>
      </c>
    </row>
    <row r="467" spans="1:3" ht="13.2" x14ac:dyDescent="0.25">
      <c r="A467" s="6">
        <v>465</v>
      </c>
      <c r="B467" s="7">
        <v>359.60998535156199</v>
      </c>
      <c r="C467" s="3">
        <f t="shared" si="1"/>
        <v>-4.0517954846283778E-3</v>
      </c>
    </row>
    <row r="468" spans="1:3" ht="13.2" x14ac:dyDescent="0.25">
      <c r="A468" s="6">
        <v>466</v>
      </c>
      <c r="B468" s="7">
        <v>360.42999267578102</v>
      </c>
      <c r="C468" s="3">
        <f t="shared" si="1"/>
        <v>2.2776726396994866E-3</v>
      </c>
    </row>
    <row r="469" spans="1:3" ht="13.2" x14ac:dyDescent="0.25">
      <c r="A469" s="6">
        <v>467</v>
      </c>
      <c r="B469" s="7">
        <v>366.42999267578102</v>
      </c>
      <c r="C469" s="3">
        <f t="shared" si="1"/>
        <v>1.6509744396807819E-2</v>
      </c>
    </row>
    <row r="470" spans="1:3" ht="13.2" x14ac:dyDescent="0.25">
      <c r="A470" s="6">
        <v>468</v>
      </c>
      <c r="B470" s="7">
        <v>366.350006103515</v>
      </c>
      <c r="C470" s="3">
        <f t="shared" si="1"/>
        <v>-2.1830992307907471E-4</v>
      </c>
    </row>
    <row r="471" spans="1:3" ht="13.2" x14ac:dyDescent="0.25">
      <c r="A471" s="6">
        <v>469</v>
      </c>
      <c r="B471" s="7">
        <v>365.30999755859301</v>
      </c>
      <c r="C471" s="3">
        <f t="shared" si="1"/>
        <v>-2.8428757623957367E-3</v>
      </c>
    </row>
    <row r="472" spans="1:3" ht="13.2" x14ac:dyDescent="0.25">
      <c r="A472" s="6">
        <v>470</v>
      </c>
      <c r="B472" s="7">
        <v>366.11999511718699</v>
      </c>
      <c r="C472" s="3">
        <f t="shared" si="1"/>
        <v>2.2148336760163972E-3</v>
      </c>
    </row>
    <row r="473" spans="1:3" ht="13.2" x14ac:dyDescent="0.25">
      <c r="A473" s="6">
        <v>471</v>
      </c>
      <c r="B473" s="7">
        <v>375.60998535156199</v>
      </c>
      <c r="C473" s="3">
        <f t="shared" si="1"/>
        <v>2.5590196868855487E-2</v>
      </c>
    </row>
    <row r="474" spans="1:3" ht="13.2" x14ac:dyDescent="0.25">
      <c r="A474" s="6">
        <v>472</v>
      </c>
      <c r="B474" s="7">
        <v>370.33999633789</v>
      </c>
      <c r="C474" s="3">
        <f t="shared" si="1"/>
        <v>-1.4129839327625671E-2</v>
      </c>
    </row>
    <row r="475" spans="1:3" ht="13.2" x14ac:dyDescent="0.25">
      <c r="A475" s="6">
        <v>473</v>
      </c>
      <c r="B475" s="7">
        <v>363.35998535156199</v>
      </c>
      <c r="C475" s="3">
        <f t="shared" si="1"/>
        <v>-1.9027454677757523E-2</v>
      </c>
    </row>
    <row r="476" spans="1:3" ht="13.2" x14ac:dyDescent="0.25">
      <c r="A476" s="6">
        <v>474</v>
      </c>
      <c r="B476" s="7">
        <v>364.82000732421801</v>
      </c>
      <c r="C476" s="3">
        <f t="shared" si="1"/>
        <v>4.0100632916152028E-3</v>
      </c>
    </row>
    <row r="477" spans="1:3" ht="13.2" x14ac:dyDescent="0.25">
      <c r="A477" s="6">
        <v>475</v>
      </c>
      <c r="B477" s="7">
        <v>361.77999877929602</v>
      </c>
      <c r="C477" s="3">
        <f t="shared" si="1"/>
        <v>-8.3678124356917401E-3</v>
      </c>
    </row>
    <row r="478" spans="1:3" ht="13.2" x14ac:dyDescent="0.25">
      <c r="A478" s="6">
        <v>476</v>
      </c>
      <c r="B478" s="7">
        <v>361.44000244140602</v>
      </c>
      <c r="C478" s="3">
        <f t="shared" si="1"/>
        <v>-9.4022942497008332E-4</v>
      </c>
    </row>
    <row r="479" spans="1:3" ht="13.2" x14ac:dyDescent="0.25">
      <c r="A479" s="6">
        <v>477</v>
      </c>
      <c r="B479" s="7">
        <v>358.94000244140602</v>
      </c>
      <c r="C479" s="3">
        <f t="shared" si="1"/>
        <v>-6.9408090715167717E-3</v>
      </c>
    </row>
    <row r="480" spans="1:3" ht="13.2" x14ac:dyDescent="0.25">
      <c r="A480" s="6">
        <v>478</v>
      </c>
      <c r="B480" s="7">
        <v>369.73001098632801</v>
      </c>
      <c r="C480" s="3">
        <f t="shared" si="1"/>
        <v>2.9617788837822366E-2</v>
      </c>
    </row>
    <row r="481" spans="1:3" ht="13.2" x14ac:dyDescent="0.25">
      <c r="A481" s="6">
        <v>479</v>
      </c>
      <c r="B481" s="7">
        <v>357.47000122070301</v>
      </c>
      <c r="C481" s="3">
        <f t="shared" si="1"/>
        <v>-3.3721593296828285E-2</v>
      </c>
    </row>
    <row r="482" spans="1:3" ht="13.2" x14ac:dyDescent="0.25">
      <c r="A482" s="6">
        <v>480</v>
      </c>
      <c r="B482" s="7">
        <v>361.30999755859301</v>
      </c>
      <c r="C482" s="3">
        <f t="shared" si="1"/>
        <v>1.068486289969575E-2</v>
      </c>
    </row>
    <row r="483" spans="1:3" ht="13.2" x14ac:dyDescent="0.25">
      <c r="A483" s="6">
        <v>481</v>
      </c>
      <c r="B483" s="7">
        <v>365.75</v>
      </c>
      <c r="C483" s="3">
        <f t="shared" si="1"/>
        <v>1.2213731056702851E-2</v>
      </c>
    </row>
    <row r="484" spans="1:3" ht="13.2" x14ac:dyDescent="0.25">
      <c r="A484" s="6">
        <v>482</v>
      </c>
      <c r="B484" s="7">
        <v>375.95001220703102</v>
      </c>
      <c r="C484" s="3">
        <f t="shared" si="1"/>
        <v>2.7506148393627514E-2</v>
      </c>
    </row>
    <row r="485" spans="1:3" ht="13.2" x14ac:dyDescent="0.25">
      <c r="A485" s="6">
        <v>483</v>
      </c>
      <c r="B485" s="7">
        <v>382.04000854492102</v>
      </c>
      <c r="C485" s="3">
        <f t="shared" si="1"/>
        <v>1.6069149239236594E-2</v>
      </c>
    </row>
    <row r="486" spans="1:3" ht="13.2" x14ac:dyDescent="0.25">
      <c r="A486" s="6">
        <v>484</v>
      </c>
      <c r="B486" s="7">
        <v>383.52999877929602</v>
      </c>
      <c r="C486" s="3">
        <f t="shared" si="1"/>
        <v>3.892503889727666E-3</v>
      </c>
    </row>
    <row r="487" spans="1:3" ht="13.2" x14ac:dyDescent="0.25">
      <c r="A487" s="6">
        <v>485</v>
      </c>
      <c r="B487" s="7">
        <v>379.75</v>
      </c>
      <c r="C487" s="3">
        <f t="shared" si="1"/>
        <v>-9.9046999469431622E-3</v>
      </c>
    </row>
    <row r="488" spans="1:3" ht="13.2" x14ac:dyDescent="0.25">
      <c r="A488" s="6">
        <v>486</v>
      </c>
      <c r="B488" s="7">
        <v>374.760009765625</v>
      </c>
      <c r="C488" s="3">
        <f t="shared" si="1"/>
        <v>-1.3227294334551089E-2</v>
      </c>
    </row>
    <row r="489" spans="1:3" ht="13.2" x14ac:dyDescent="0.25">
      <c r="A489" s="6">
        <v>487</v>
      </c>
      <c r="B489" s="7">
        <v>385.76998901367102</v>
      </c>
      <c r="C489" s="3">
        <f t="shared" si="1"/>
        <v>2.8955461330164193E-2</v>
      </c>
    </row>
    <row r="490" spans="1:3" ht="13.2" x14ac:dyDescent="0.25">
      <c r="A490" s="6">
        <v>488</v>
      </c>
      <c r="B490" s="7">
        <v>385.39999389648398</v>
      </c>
      <c r="C490" s="3">
        <f t="shared" si="1"/>
        <v>-9.5956832806401578E-4</v>
      </c>
    </row>
    <row r="491" spans="1:3" ht="13.2" x14ac:dyDescent="0.25">
      <c r="A491" s="6">
        <v>489</v>
      </c>
      <c r="B491" s="7">
        <v>385.66000366210898</v>
      </c>
      <c r="C491" s="3">
        <f t="shared" si="1"/>
        <v>6.7442164372055974E-4</v>
      </c>
    </row>
    <row r="492" spans="1:3" ht="13.2" x14ac:dyDescent="0.25">
      <c r="A492" s="6">
        <v>490</v>
      </c>
      <c r="B492" s="7">
        <v>391.79000854492102</v>
      </c>
      <c r="C492" s="3">
        <f t="shared" si="1"/>
        <v>1.576984198138107E-2</v>
      </c>
    </row>
    <row r="493" spans="1:3" ht="13.2" x14ac:dyDescent="0.25">
      <c r="A493" s="6">
        <v>491</v>
      </c>
      <c r="B493" s="7">
        <v>391.100006103515</v>
      </c>
      <c r="C493" s="3">
        <f t="shared" si="1"/>
        <v>-1.7627064010433146E-3</v>
      </c>
    </row>
    <row r="494" spans="1:3" ht="13.2" x14ac:dyDescent="0.25">
      <c r="A494" s="6">
        <v>492</v>
      </c>
      <c r="B494" s="7">
        <v>389.92001342773398</v>
      </c>
      <c r="C494" s="3">
        <f t="shared" si="1"/>
        <v>-3.0216730534430979E-3</v>
      </c>
    </row>
    <row r="495" spans="1:3" ht="13.2" x14ac:dyDescent="0.25">
      <c r="A495" s="6">
        <v>493</v>
      </c>
      <c r="B495" s="7">
        <v>398.19000244140602</v>
      </c>
      <c r="C495" s="3">
        <f t="shared" si="1"/>
        <v>2.0987660123432981E-2</v>
      </c>
    </row>
    <row r="496" spans="1:3" ht="13.2" x14ac:dyDescent="0.25">
      <c r="A496" s="6">
        <v>494</v>
      </c>
      <c r="B496" s="7">
        <v>400.89999389648398</v>
      </c>
      <c r="C496" s="3">
        <f t="shared" si="1"/>
        <v>6.7827199864466644E-3</v>
      </c>
    </row>
    <row r="497" spans="1:3" ht="13.2" x14ac:dyDescent="0.25">
      <c r="A497" s="6">
        <v>495</v>
      </c>
      <c r="B497" s="7">
        <v>400.26998901367102</v>
      </c>
      <c r="C497" s="3">
        <f t="shared" si="1"/>
        <v>-1.5727124732764176E-3</v>
      </c>
    </row>
    <row r="498" spans="1:3" ht="13.2" x14ac:dyDescent="0.25">
      <c r="A498" s="6">
        <v>496</v>
      </c>
      <c r="B498" s="7">
        <v>391.94000244140602</v>
      </c>
      <c r="C498" s="3">
        <f t="shared" si="1"/>
        <v>-2.1030518870711782E-2</v>
      </c>
    </row>
    <row r="499" spans="1:3" ht="13.2" x14ac:dyDescent="0.25">
      <c r="A499" s="6">
        <v>497</v>
      </c>
      <c r="B499" s="7">
        <v>400.16000366210898</v>
      </c>
      <c r="C499" s="3">
        <f t="shared" si="1"/>
        <v>2.0755703200982651E-2</v>
      </c>
    </row>
    <row r="500" spans="1:3" ht="13.2" x14ac:dyDescent="0.25">
      <c r="A500" s="6">
        <v>498</v>
      </c>
      <c r="B500" s="7">
        <v>404.02999877929602</v>
      </c>
      <c r="C500" s="3">
        <f t="shared" si="1"/>
        <v>9.6246533277056165E-3</v>
      </c>
    </row>
    <row r="501" spans="1:3" ht="13.2" x14ac:dyDescent="0.25">
      <c r="A501" s="6">
        <v>499</v>
      </c>
      <c r="B501" s="7">
        <v>405.77999877929602</v>
      </c>
      <c r="C501" s="3">
        <f t="shared" si="1"/>
        <v>4.3220081979871462E-3</v>
      </c>
    </row>
    <row r="502" spans="1:3" ht="13.2" x14ac:dyDescent="0.25">
      <c r="A502" s="6">
        <v>500</v>
      </c>
      <c r="B502" s="7">
        <v>406.89001464843699</v>
      </c>
      <c r="C502" s="3">
        <f t="shared" si="1"/>
        <v>2.7317768370947399E-3</v>
      </c>
    </row>
    <row r="503" spans="1:3" ht="13.2" x14ac:dyDescent="0.25">
      <c r="A503" s="6">
        <v>501</v>
      </c>
      <c r="B503" s="7">
        <v>408.79000854492102</v>
      </c>
      <c r="C503" s="3">
        <f t="shared" si="1"/>
        <v>4.6586830100202965E-3</v>
      </c>
    </row>
    <row r="504" spans="1:3" ht="13.2" x14ac:dyDescent="0.25">
      <c r="A504" s="6">
        <v>502</v>
      </c>
      <c r="B504" s="7">
        <v>412.42999267578102</v>
      </c>
      <c r="C504" s="3">
        <f t="shared" si="1"/>
        <v>8.8648789924541949E-3</v>
      </c>
    </row>
    <row r="505" spans="1:3" ht="13.2" x14ac:dyDescent="0.25">
      <c r="A505" s="6">
        <v>503</v>
      </c>
      <c r="B505" s="7">
        <v>405.69000244140602</v>
      </c>
      <c r="C505" s="3">
        <f t="shared" si="1"/>
        <v>-1.6477149474894284E-2</v>
      </c>
    </row>
    <row r="506" spans="1:3" ht="13.2" x14ac:dyDescent="0.25">
      <c r="A506" s="6">
        <v>504</v>
      </c>
      <c r="B506" s="7">
        <v>397.48001098632801</v>
      </c>
      <c r="C506" s="3">
        <f t="shared" si="1"/>
        <v>-2.0444681168174418E-2</v>
      </c>
    </row>
    <row r="507" spans="1:3" ht="13.2" x14ac:dyDescent="0.25">
      <c r="A507" s="6">
        <v>505</v>
      </c>
      <c r="B507" s="7">
        <v>393.32000732421801</v>
      </c>
      <c r="C507" s="3">
        <f t="shared" si="1"/>
        <v>-1.0521097469634118E-2</v>
      </c>
    </row>
    <row r="508" spans="1:3" ht="13.2" x14ac:dyDescent="0.25">
      <c r="A508" s="6">
        <v>506</v>
      </c>
      <c r="B508" s="7">
        <v>399.89999389648398</v>
      </c>
      <c r="C508" s="3">
        <f t="shared" si="1"/>
        <v>1.6590952056687133E-2</v>
      </c>
    </row>
    <row r="509" spans="1:3" ht="13.2" x14ac:dyDescent="0.25">
      <c r="A509" s="6">
        <v>507</v>
      </c>
      <c r="B509" s="7">
        <v>405.489990234375</v>
      </c>
      <c r="C509" s="3">
        <f t="shared" si="1"/>
        <v>1.3881687665245238E-2</v>
      </c>
    </row>
    <row r="510" spans="1:3" ht="13.2" x14ac:dyDescent="0.25">
      <c r="A510" s="6">
        <v>508</v>
      </c>
      <c r="B510" s="7">
        <v>415.19000244140602</v>
      </c>
      <c r="C510" s="3">
        <f t="shared" si="1"/>
        <v>2.3640064408017743E-2</v>
      </c>
    </row>
    <row r="511" spans="1:3" ht="13.2" x14ac:dyDescent="0.25">
      <c r="A511" s="6">
        <v>509</v>
      </c>
      <c r="B511" s="7">
        <v>416.02999877929602</v>
      </c>
      <c r="C511" s="3">
        <f t="shared" si="1"/>
        <v>2.0211174480865503E-3</v>
      </c>
    </row>
    <row r="512" spans="1:3" ht="13.2" x14ac:dyDescent="0.25">
      <c r="A512" s="6">
        <v>510</v>
      </c>
      <c r="B512" s="7">
        <v>422.75</v>
      </c>
      <c r="C512" s="3">
        <f t="shared" si="1"/>
        <v>1.6023617667173251E-2</v>
      </c>
    </row>
    <row r="513" spans="1:3" ht="13.2" x14ac:dyDescent="0.25">
      <c r="A513" s="6">
        <v>511</v>
      </c>
      <c r="B513" s="7">
        <v>422.35998535156199</v>
      </c>
      <c r="C513" s="3">
        <f t="shared" ref="C513:C767" si="2">LN(B513/B512)</f>
        <v>-9.2299152272822189E-4</v>
      </c>
    </row>
    <row r="514" spans="1:3" ht="13.2" x14ac:dyDescent="0.25">
      <c r="A514" s="6">
        <v>512</v>
      </c>
      <c r="B514" s="7">
        <v>425.27999877929602</v>
      </c>
      <c r="C514" s="3">
        <f t="shared" si="2"/>
        <v>6.8897763985654508E-3</v>
      </c>
    </row>
    <row r="515" spans="1:3" ht="13.2" x14ac:dyDescent="0.25">
      <c r="A515" s="6">
        <v>513</v>
      </c>
      <c r="B515" s="7">
        <v>422.26998901367102</v>
      </c>
      <c r="C515" s="3">
        <f t="shared" si="2"/>
        <v>-7.1028788007130124E-3</v>
      </c>
    </row>
    <row r="516" spans="1:3" ht="13.2" x14ac:dyDescent="0.25">
      <c r="A516" s="6">
        <v>514</v>
      </c>
      <c r="B516" s="7">
        <v>427.04000854492102</v>
      </c>
      <c r="C516" s="3">
        <f t="shared" si="2"/>
        <v>1.1232811812050245E-2</v>
      </c>
    </row>
    <row r="517" spans="1:3" ht="13.2" x14ac:dyDescent="0.25">
      <c r="A517" s="6">
        <v>515</v>
      </c>
      <c r="B517" s="7">
        <v>427.54000854492102</v>
      </c>
      <c r="C517" s="3">
        <f t="shared" si="2"/>
        <v>1.1701655715197145E-3</v>
      </c>
    </row>
    <row r="518" spans="1:3" ht="13.2" x14ac:dyDescent="0.25">
      <c r="A518" s="6">
        <v>516</v>
      </c>
      <c r="B518" s="7">
        <v>426.58999633789</v>
      </c>
      <c r="C518" s="3">
        <f t="shared" si="2"/>
        <v>-2.224515222176452E-3</v>
      </c>
    </row>
    <row r="519" spans="1:3" ht="13.2" x14ac:dyDescent="0.25">
      <c r="A519" s="6">
        <v>517</v>
      </c>
      <c r="B519" s="7">
        <v>423.83999633789</v>
      </c>
      <c r="C519" s="3">
        <f t="shared" si="2"/>
        <v>-6.4673391317601452E-3</v>
      </c>
    </row>
    <row r="520" spans="1:3" ht="13.2" x14ac:dyDescent="0.25">
      <c r="A520" s="6">
        <v>518</v>
      </c>
      <c r="B520" s="7">
        <v>413.45999145507801</v>
      </c>
      <c r="C520" s="3">
        <f t="shared" si="2"/>
        <v>-2.4795262953140763E-2</v>
      </c>
    </row>
    <row r="521" spans="1:3" ht="13.2" x14ac:dyDescent="0.25">
      <c r="A521" s="6">
        <v>519</v>
      </c>
      <c r="B521" s="7">
        <v>413.67999267578102</v>
      </c>
      <c r="C521" s="3">
        <f t="shared" si="2"/>
        <v>5.3195645262424645E-4</v>
      </c>
    </row>
    <row r="522" spans="1:3" ht="13.2" x14ac:dyDescent="0.25">
      <c r="A522" s="6">
        <v>520</v>
      </c>
      <c r="B522" s="7">
        <v>407.44000244140602</v>
      </c>
      <c r="C522" s="3">
        <f t="shared" si="2"/>
        <v>-1.5199021814518779E-2</v>
      </c>
    </row>
    <row r="523" spans="1:3" ht="13.2" x14ac:dyDescent="0.25">
      <c r="A523" s="6">
        <v>521</v>
      </c>
      <c r="B523" s="7">
        <v>411.38000488281199</v>
      </c>
      <c r="C523" s="3">
        <f t="shared" si="2"/>
        <v>9.623684850952231E-3</v>
      </c>
    </row>
    <row r="524" spans="1:3" ht="13.2" x14ac:dyDescent="0.25">
      <c r="A524" s="6">
        <v>522</v>
      </c>
      <c r="B524" s="7">
        <v>412.17001342773398</v>
      </c>
      <c r="C524" s="3">
        <f t="shared" si="2"/>
        <v>1.9185447627467285E-3</v>
      </c>
    </row>
    <row r="525" spans="1:3" ht="13.2" x14ac:dyDescent="0.25">
      <c r="A525" s="6">
        <v>523</v>
      </c>
      <c r="B525" s="7">
        <v>410.829986572265</v>
      </c>
      <c r="C525" s="3">
        <f t="shared" si="2"/>
        <v>-3.256447240962202E-3</v>
      </c>
    </row>
    <row r="526" spans="1:3" ht="13.2" x14ac:dyDescent="0.25">
      <c r="A526" s="6">
        <v>524</v>
      </c>
      <c r="B526" s="7">
        <v>411.63000488281199</v>
      </c>
      <c r="C526" s="3">
        <f t="shared" si="2"/>
        <v>1.9454285221830519E-3</v>
      </c>
    </row>
    <row r="527" spans="1:3" ht="13.2" x14ac:dyDescent="0.25">
      <c r="A527" s="6">
        <v>525</v>
      </c>
      <c r="B527" s="7">
        <v>411.100006103515</v>
      </c>
      <c r="C527" s="3">
        <f t="shared" si="2"/>
        <v>-1.2883907127099925E-3</v>
      </c>
    </row>
    <row r="528" spans="1:3" ht="13.2" x14ac:dyDescent="0.25">
      <c r="A528" s="6">
        <v>526</v>
      </c>
      <c r="B528" s="7">
        <v>391.45999145507801</v>
      </c>
      <c r="C528" s="3">
        <f t="shared" si="2"/>
        <v>-4.8953191504584166E-2</v>
      </c>
    </row>
    <row r="529" spans="1:3" ht="13.2" x14ac:dyDescent="0.25">
      <c r="A529" s="6">
        <v>527</v>
      </c>
      <c r="B529" s="7">
        <v>392.14999389648398</v>
      </c>
      <c r="C529" s="3">
        <f t="shared" si="2"/>
        <v>1.7610868483995624E-3</v>
      </c>
    </row>
    <row r="530" spans="1:3" ht="13.2" x14ac:dyDescent="0.25">
      <c r="A530" s="6">
        <v>528</v>
      </c>
      <c r="B530" s="7">
        <v>392.829986572265</v>
      </c>
      <c r="C530" s="3">
        <f t="shared" si="2"/>
        <v>1.7325100328374075E-3</v>
      </c>
    </row>
    <row r="531" spans="1:3" ht="13.2" x14ac:dyDescent="0.25">
      <c r="A531" s="6">
        <v>529</v>
      </c>
      <c r="B531" s="7">
        <v>406.95999145507801</v>
      </c>
      <c r="C531" s="3">
        <f t="shared" si="2"/>
        <v>3.5337965390276921E-2</v>
      </c>
    </row>
    <row r="532" spans="1:3" ht="13.2" x14ac:dyDescent="0.25">
      <c r="A532" s="6">
        <v>530</v>
      </c>
      <c r="B532" s="7">
        <v>411.29998779296801</v>
      </c>
      <c r="C532" s="3">
        <f t="shared" si="2"/>
        <v>1.0607966039682285E-2</v>
      </c>
    </row>
    <row r="533" spans="1:3" ht="13.2" x14ac:dyDescent="0.25">
      <c r="A533" s="6">
        <v>531</v>
      </c>
      <c r="B533" s="7">
        <v>416.94000244140602</v>
      </c>
      <c r="C533" s="3">
        <f t="shared" si="2"/>
        <v>1.3619486852590403E-2</v>
      </c>
    </row>
    <row r="534" spans="1:3" ht="13.2" x14ac:dyDescent="0.25">
      <c r="A534" s="6">
        <v>532</v>
      </c>
      <c r="B534" s="7">
        <v>417.38000488281199</v>
      </c>
      <c r="C534" s="3">
        <f t="shared" si="2"/>
        <v>1.0547571155808937E-3</v>
      </c>
    </row>
    <row r="535" spans="1:3" ht="13.2" x14ac:dyDescent="0.25">
      <c r="A535" s="6">
        <v>533</v>
      </c>
      <c r="B535" s="7">
        <v>418.89999389648398</v>
      </c>
      <c r="C535" s="3">
        <f t="shared" si="2"/>
        <v>3.6351238572426905E-3</v>
      </c>
    </row>
    <row r="536" spans="1:3" ht="13.2" x14ac:dyDescent="0.25">
      <c r="A536" s="6">
        <v>534</v>
      </c>
      <c r="B536" s="7">
        <v>417.02999877929602</v>
      </c>
      <c r="C536" s="3">
        <f t="shared" si="2"/>
        <v>-4.4740546526737621E-3</v>
      </c>
    </row>
    <row r="537" spans="1:3" ht="13.2" x14ac:dyDescent="0.25">
      <c r="A537" s="6">
        <v>535</v>
      </c>
      <c r="B537" s="7">
        <v>417.92999267578102</v>
      </c>
      <c r="C537" s="3">
        <f t="shared" si="2"/>
        <v>2.1557781312793812E-3</v>
      </c>
    </row>
    <row r="538" spans="1:3" ht="13.2" x14ac:dyDescent="0.25">
      <c r="A538" s="6">
        <v>536</v>
      </c>
      <c r="B538" s="7">
        <v>414.60998535156199</v>
      </c>
      <c r="C538" s="3">
        <f t="shared" si="2"/>
        <v>-7.9756528477100772E-3</v>
      </c>
    </row>
    <row r="539" spans="1:3" ht="13.2" x14ac:dyDescent="0.25">
      <c r="A539" s="6">
        <v>537</v>
      </c>
      <c r="B539" s="7">
        <v>407.02999877929602</v>
      </c>
      <c r="C539" s="3">
        <f t="shared" si="2"/>
        <v>-1.8451394212743794E-2</v>
      </c>
    </row>
    <row r="540" spans="1:3" ht="13.2" x14ac:dyDescent="0.25">
      <c r="A540" s="6">
        <v>538</v>
      </c>
      <c r="B540" s="7">
        <v>408.88000488281199</v>
      </c>
      <c r="C540" s="3">
        <f t="shared" si="2"/>
        <v>4.5348366011438599E-3</v>
      </c>
    </row>
    <row r="541" spans="1:3" ht="13.2" x14ac:dyDescent="0.25">
      <c r="A541" s="6">
        <v>539</v>
      </c>
      <c r="B541" s="7">
        <v>408.26998901367102</v>
      </c>
      <c r="C541" s="3">
        <f t="shared" si="2"/>
        <v>-1.4930330710769769E-3</v>
      </c>
    </row>
    <row r="542" spans="1:3" ht="13.2" x14ac:dyDescent="0.25">
      <c r="A542" s="6">
        <v>540</v>
      </c>
      <c r="B542" s="7">
        <v>402.30999755859301</v>
      </c>
      <c r="C542" s="3">
        <f t="shared" si="2"/>
        <v>-1.4705763680690917E-2</v>
      </c>
    </row>
    <row r="543" spans="1:3" ht="13.2" x14ac:dyDescent="0.25">
      <c r="A543" s="6">
        <v>541</v>
      </c>
      <c r="B543" s="7">
        <v>407.850006103515</v>
      </c>
      <c r="C543" s="3">
        <f t="shared" si="2"/>
        <v>1.3676545061511322E-2</v>
      </c>
    </row>
    <row r="544" spans="1:3" ht="13.2" x14ac:dyDescent="0.25">
      <c r="A544" s="6">
        <v>542</v>
      </c>
      <c r="B544" s="7">
        <v>398.39999389648398</v>
      </c>
      <c r="C544" s="3">
        <f t="shared" si="2"/>
        <v>-2.3442964321314094E-2</v>
      </c>
    </row>
    <row r="545" spans="1:3" ht="13.2" x14ac:dyDescent="0.25">
      <c r="A545" s="6">
        <v>543</v>
      </c>
      <c r="B545" s="7">
        <v>405.11999511718699</v>
      </c>
      <c r="C545" s="3">
        <f t="shared" si="2"/>
        <v>1.6726797072626608E-2</v>
      </c>
    </row>
    <row r="546" spans="1:3" ht="13.2" x14ac:dyDescent="0.25">
      <c r="A546" s="6">
        <v>544</v>
      </c>
      <c r="B546" s="7">
        <v>409.04998779296801</v>
      </c>
      <c r="C546" s="3">
        <f t="shared" si="2"/>
        <v>9.6540606543116109E-3</v>
      </c>
    </row>
    <row r="547" spans="1:3" ht="13.2" x14ac:dyDescent="0.25">
      <c r="A547" s="6">
        <v>545</v>
      </c>
      <c r="B547" s="7">
        <v>411.20001220703102</v>
      </c>
      <c r="C547" s="3">
        <f t="shared" si="2"/>
        <v>5.2423757100033613E-3</v>
      </c>
    </row>
    <row r="548" spans="1:3" ht="13.2" x14ac:dyDescent="0.25">
      <c r="A548" s="6">
        <v>546</v>
      </c>
      <c r="B548" s="7">
        <v>408.95001220703102</v>
      </c>
      <c r="C548" s="3">
        <f t="shared" si="2"/>
        <v>-5.4868147966410045E-3</v>
      </c>
    </row>
    <row r="549" spans="1:3" ht="13.2" x14ac:dyDescent="0.25">
      <c r="A549" s="6">
        <v>547</v>
      </c>
      <c r="B549" s="7">
        <v>419.739990234375</v>
      </c>
      <c r="C549" s="3">
        <f t="shared" si="2"/>
        <v>2.6042519672710835E-2</v>
      </c>
    </row>
    <row r="550" spans="1:3" ht="13.2" x14ac:dyDescent="0.25">
      <c r="A550" s="6">
        <v>548</v>
      </c>
      <c r="B550" s="7">
        <v>418.17999267578102</v>
      </c>
      <c r="C550" s="3">
        <f t="shared" si="2"/>
        <v>-3.7235043746200306E-3</v>
      </c>
    </row>
    <row r="551" spans="1:3" ht="13.2" x14ac:dyDescent="0.25">
      <c r="A551" s="6">
        <v>549</v>
      </c>
      <c r="B551" s="7">
        <v>416.22000122070301</v>
      </c>
      <c r="C551" s="3">
        <f t="shared" si="2"/>
        <v>-4.6979747706678825E-3</v>
      </c>
    </row>
    <row r="552" spans="1:3" ht="13.2" x14ac:dyDescent="0.25">
      <c r="A552" s="6">
        <v>550</v>
      </c>
      <c r="B552" s="7">
        <v>420.42999267578102</v>
      </c>
      <c r="C552" s="3">
        <f t="shared" si="2"/>
        <v>1.0064010086815369E-2</v>
      </c>
    </row>
    <row r="553" spans="1:3" ht="13.2" x14ac:dyDescent="0.25">
      <c r="A553" s="6">
        <v>551</v>
      </c>
      <c r="B553" s="7">
        <v>422.760009765625</v>
      </c>
      <c r="C553" s="3">
        <f t="shared" si="2"/>
        <v>5.5266855959248476E-3</v>
      </c>
    </row>
    <row r="554" spans="1:3" ht="13.2" x14ac:dyDescent="0.25">
      <c r="A554" s="6">
        <v>552</v>
      </c>
      <c r="B554" s="7">
        <v>422.14001464843699</v>
      </c>
      <c r="C554" s="3">
        <f t="shared" si="2"/>
        <v>-1.4676179679414003E-3</v>
      </c>
    </row>
    <row r="555" spans="1:3" ht="13.2" x14ac:dyDescent="0.25">
      <c r="A555" s="6">
        <v>553</v>
      </c>
      <c r="B555" s="7">
        <v>423.77999877929602</v>
      </c>
      <c r="C555" s="3">
        <f t="shared" si="2"/>
        <v>3.8774024954773001E-3</v>
      </c>
    </row>
    <row r="556" spans="1:3" ht="13.2" x14ac:dyDescent="0.25">
      <c r="A556" s="6">
        <v>554</v>
      </c>
      <c r="B556" s="7">
        <v>426.69000244140602</v>
      </c>
      <c r="C556" s="3">
        <f t="shared" si="2"/>
        <v>6.8433102036062196E-3</v>
      </c>
    </row>
    <row r="557" spans="1:3" ht="13.2" x14ac:dyDescent="0.25">
      <c r="A557" s="6">
        <v>555</v>
      </c>
      <c r="B557" s="7">
        <v>434.54000854492102</v>
      </c>
      <c r="C557" s="3">
        <f t="shared" si="2"/>
        <v>1.8230259999407153E-2</v>
      </c>
    </row>
    <row r="558" spans="1:3" ht="13.2" x14ac:dyDescent="0.25">
      <c r="A558" s="6">
        <v>556</v>
      </c>
      <c r="B558" s="7">
        <v>429.95001220703102</v>
      </c>
      <c r="C558" s="3">
        <f t="shared" si="2"/>
        <v>-1.0619068722735157E-2</v>
      </c>
    </row>
    <row r="559" spans="1:3" ht="13.2" x14ac:dyDescent="0.25">
      <c r="A559" s="6">
        <v>557</v>
      </c>
      <c r="B559" s="7">
        <v>433.26998901367102</v>
      </c>
      <c r="C559" s="3">
        <f t="shared" si="2"/>
        <v>7.6921136484264119E-3</v>
      </c>
    </row>
    <row r="560" spans="1:3" ht="13.2" x14ac:dyDescent="0.25">
      <c r="A560" s="6">
        <v>558</v>
      </c>
      <c r="B560" s="7">
        <v>424.32000732421801</v>
      </c>
      <c r="C560" s="3">
        <f t="shared" si="2"/>
        <v>-2.0873160078562502E-2</v>
      </c>
    </row>
    <row r="561" spans="1:3" ht="13.2" x14ac:dyDescent="0.25">
      <c r="A561" s="6">
        <v>559</v>
      </c>
      <c r="B561" s="7">
        <v>426.57000732421801</v>
      </c>
      <c r="C561" s="3">
        <f t="shared" si="2"/>
        <v>5.2885924279039162E-3</v>
      </c>
    </row>
    <row r="562" spans="1:3" ht="13.2" x14ac:dyDescent="0.25">
      <c r="A562" s="6">
        <v>560</v>
      </c>
      <c r="B562" s="7">
        <v>429.19000244140602</v>
      </c>
      <c r="C562" s="3">
        <f t="shared" si="2"/>
        <v>6.1232197658686507E-3</v>
      </c>
    </row>
    <row r="563" spans="1:3" ht="13.2" x14ac:dyDescent="0.25">
      <c r="A563" s="6">
        <v>561</v>
      </c>
      <c r="B563" s="7">
        <v>437.79000854492102</v>
      </c>
      <c r="C563" s="3">
        <f t="shared" si="2"/>
        <v>1.9839645853786822E-2</v>
      </c>
    </row>
    <row r="564" spans="1:3" ht="13.2" x14ac:dyDescent="0.25">
      <c r="A564" s="6">
        <v>562</v>
      </c>
      <c r="B564" s="7">
        <v>427.33999633789</v>
      </c>
      <c r="C564" s="3">
        <f t="shared" si="2"/>
        <v>-2.4159422120778418E-2</v>
      </c>
    </row>
    <row r="565" spans="1:3" ht="13.2" x14ac:dyDescent="0.25">
      <c r="A565" s="6">
        <v>563</v>
      </c>
      <c r="B565" s="7">
        <v>425.17999267578102</v>
      </c>
      <c r="C565" s="3">
        <f t="shared" si="2"/>
        <v>-5.0673492985403275E-3</v>
      </c>
    </row>
    <row r="566" spans="1:3" ht="13.2" x14ac:dyDescent="0.25">
      <c r="A566" s="6">
        <v>564</v>
      </c>
      <c r="B566" s="7">
        <v>407.63000488281199</v>
      </c>
      <c r="C566" s="3">
        <f t="shared" si="2"/>
        <v>-4.215267925794209E-2</v>
      </c>
    </row>
    <row r="567" spans="1:3" ht="13.2" x14ac:dyDescent="0.25">
      <c r="A567" s="6">
        <v>565</v>
      </c>
      <c r="B567" s="7">
        <v>407.95999145507801</v>
      </c>
      <c r="C567" s="3">
        <f t="shared" si="2"/>
        <v>8.0919724801431297E-4</v>
      </c>
    </row>
    <row r="568" spans="1:3" ht="13.2" x14ac:dyDescent="0.25">
      <c r="A568" s="6">
        <v>566</v>
      </c>
      <c r="B568" s="7">
        <v>404.67001342773398</v>
      </c>
      <c r="C568" s="3">
        <f t="shared" si="2"/>
        <v>-8.0971561051941636E-3</v>
      </c>
    </row>
    <row r="569" spans="1:3" ht="13.2" x14ac:dyDescent="0.25">
      <c r="A569" s="6">
        <v>567</v>
      </c>
      <c r="B569" s="7">
        <v>399.26998901367102</v>
      </c>
      <c r="C569" s="3">
        <f t="shared" si="2"/>
        <v>-1.343410108109842E-2</v>
      </c>
    </row>
    <row r="570" spans="1:3" ht="13.2" x14ac:dyDescent="0.25">
      <c r="A570" s="6">
        <v>568</v>
      </c>
      <c r="B570" s="7">
        <v>401.88000488281199</v>
      </c>
      <c r="C570" s="3">
        <f t="shared" si="2"/>
        <v>6.5156964935039466E-3</v>
      </c>
    </row>
    <row r="571" spans="1:3" ht="13.2" x14ac:dyDescent="0.25">
      <c r="A571" s="6">
        <v>569</v>
      </c>
      <c r="B571" s="7">
        <v>402.64999389648398</v>
      </c>
      <c r="C571" s="3">
        <f t="shared" si="2"/>
        <v>1.9141343391490203E-3</v>
      </c>
    </row>
    <row r="572" spans="1:3" ht="13.2" x14ac:dyDescent="0.25">
      <c r="A572" s="6">
        <v>570</v>
      </c>
      <c r="B572" s="7">
        <v>399.94000244140602</v>
      </c>
      <c r="C572" s="3">
        <f t="shared" si="2"/>
        <v>-6.7531411219003681E-3</v>
      </c>
    </row>
    <row r="573" spans="1:3" ht="13.2" x14ac:dyDescent="0.25">
      <c r="A573" s="6">
        <v>571</v>
      </c>
      <c r="B573" s="7">
        <v>409.10998535156199</v>
      </c>
      <c r="C573" s="3">
        <f t="shared" si="2"/>
        <v>2.2669490770942106E-2</v>
      </c>
    </row>
    <row r="574" spans="1:3" ht="13.2" x14ac:dyDescent="0.25">
      <c r="A574" s="6">
        <v>572</v>
      </c>
      <c r="B574" s="7">
        <v>417.67001342773398</v>
      </c>
      <c r="C574" s="3">
        <f t="shared" si="2"/>
        <v>2.0707646458997815E-2</v>
      </c>
    </row>
    <row r="575" spans="1:3" ht="13.2" x14ac:dyDescent="0.25">
      <c r="A575" s="6">
        <v>573</v>
      </c>
      <c r="B575" s="7">
        <v>420.350006103515</v>
      </c>
      <c r="C575" s="3">
        <f t="shared" si="2"/>
        <v>6.3960329101568226E-3</v>
      </c>
    </row>
    <row r="576" spans="1:3" ht="13.2" x14ac:dyDescent="0.25">
      <c r="A576" s="6">
        <v>574</v>
      </c>
      <c r="B576" s="7">
        <v>426.489990234375</v>
      </c>
      <c r="C576" s="3">
        <f t="shared" si="2"/>
        <v>1.4501184998956385E-2</v>
      </c>
    </row>
    <row r="577" spans="1:3" ht="13.2" x14ac:dyDescent="0.25">
      <c r="A577" s="6">
        <v>575</v>
      </c>
      <c r="B577" s="7">
        <v>423.42999267578102</v>
      </c>
      <c r="C577" s="3">
        <f t="shared" si="2"/>
        <v>-7.2007032235593699E-3</v>
      </c>
    </row>
    <row r="578" spans="1:3" ht="13.2" x14ac:dyDescent="0.25">
      <c r="A578" s="6">
        <v>576</v>
      </c>
      <c r="B578" s="7">
        <v>425.13000488281199</v>
      </c>
      <c r="C578" s="3">
        <f t="shared" si="2"/>
        <v>4.0068221135636959E-3</v>
      </c>
    </row>
    <row r="579" spans="1:3" ht="13.2" x14ac:dyDescent="0.25">
      <c r="A579" s="6">
        <v>577</v>
      </c>
      <c r="B579" s="7">
        <v>441.329986572265</v>
      </c>
      <c r="C579" s="3">
        <f t="shared" si="2"/>
        <v>3.7397848514273531E-2</v>
      </c>
    </row>
    <row r="580" spans="1:3" ht="13.2" x14ac:dyDescent="0.25">
      <c r="A580" s="6">
        <v>578</v>
      </c>
      <c r="B580" s="7">
        <v>450.76998901367102</v>
      </c>
      <c r="C580" s="3">
        <f t="shared" si="2"/>
        <v>2.1164342715727938E-2</v>
      </c>
    </row>
    <row r="581" spans="1:3" ht="13.2" x14ac:dyDescent="0.25">
      <c r="A581" s="6">
        <v>579</v>
      </c>
      <c r="B581" s="7">
        <v>453.48001098632801</v>
      </c>
      <c r="C581" s="3">
        <f t="shared" si="2"/>
        <v>5.9939841557602944E-3</v>
      </c>
    </row>
    <row r="582" spans="1:3" ht="13.2" x14ac:dyDescent="0.25">
      <c r="A582" s="6">
        <v>580</v>
      </c>
      <c r="B582" s="7">
        <v>450.20999145507801</v>
      </c>
      <c r="C582" s="3">
        <f t="shared" si="2"/>
        <v>-7.2370697799571922E-3</v>
      </c>
    </row>
    <row r="583" spans="1:3" ht="13.2" x14ac:dyDescent="0.25">
      <c r="A583" s="6">
        <v>581</v>
      </c>
      <c r="B583" s="7">
        <v>448.94000244140602</v>
      </c>
      <c r="C583" s="3">
        <f t="shared" si="2"/>
        <v>-2.824867634593537E-3</v>
      </c>
    </row>
    <row r="584" spans="1:3" ht="13.2" x14ac:dyDescent="0.25">
      <c r="A584" s="6">
        <v>582</v>
      </c>
      <c r="B584" s="7">
        <v>451.97000122070301</v>
      </c>
      <c r="C584" s="3">
        <f t="shared" si="2"/>
        <v>6.7265546874115279E-3</v>
      </c>
    </row>
    <row r="585" spans="1:3" ht="13.2" x14ac:dyDescent="0.25">
      <c r="A585" s="6">
        <v>583</v>
      </c>
      <c r="B585" s="7">
        <v>453.70999145507801</v>
      </c>
      <c r="C585" s="3">
        <f t="shared" si="2"/>
        <v>3.8423999408601652E-3</v>
      </c>
    </row>
    <row r="586" spans="1:3" ht="13.2" x14ac:dyDescent="0.25">
      <c r="A586" s="6">
        <v>584</v>
      </c>
      <c r="B586" s="7">
        <v>451.5</v>
      </c>
      <c r="C586" s="3">
        <f t="shared" si="2"/>
        <v>-4.8828357327874907E-3</v>
      </c>
    </row>
    <row r="587" spans="1:3" ht="13.2" x14ac:dyDescent="0.25">
      <c r="A587" s="6">
        <v>585</v>
      </c>
      <c r="B587" s="7">
        <v>446.42999267578102</v>
      </c>
      <c r="C587" s="3">
        <f t="shared" si="2"/>
        <v>-1.1292776153169645E-2</v>
      </c>
    </row>
    <row r="588" spans="1:3" ht="13.2" x14ac:dyDescent="0.25">
      <c r="A588" s="6">
        <v>586</v>
      </c>
      <c r="B588" s="7">
        <v>449.58999633789</v>
      </c>
      <c r="C588" s="3">
        <f t="shared" si="2"/>
        <v>7.0534514899279156E-3</v>
      </c>
    </row>
    <row r="589" spans="1:3" ht="13.2" x14ac:dyDescent="0.25">
      <c r="A589" s="6">
        <v>587</v>
      </c>
      <c r="B589" s="7">
        <v>445.73001098632801</v>
      </c>
      <c r="C589" s="3">
        <f t="shared" si="2"/>
        <v>-8.6226360088762395E-3</v>
      </c>
    </row>
    <row r="590" spans="1:3" ht="13.2" x14ac:dyDescent="0.25">
      <c r="A590" s="6">
        <v>588</v>
      </c>
      <c r="B590" s="7">
        <v>430.10998535156199</v>
      </c>
      <c r="C590" s="3">
        <f t="shared" si="2"/>
        <v>-3.5672456316058934E-2</v>
      </c>
    </row>
    <row r="591" spans="1:3" ht="13.2" x14ac:dyDescent="0.25">
      <c r="A591" s="6">
        <v>589</v>
      </c>
      <c r="B591" s="7">
        <v>425.27999877929602</v>
      </c>
      <c r="C591" s="3">
        <f t="shared" si="2"/>
        <v>-1.1293183214336167E-2</v>
      </c>
    </row>
    <row r="592" spans="1:3" ht="13.2" x14ac:dyDescent="0.25">
      <c r="A592" s="6">
        <v>590</v>
      </c>
      <c r="B592" s="7">
        <v>433.32000732421801</v>
      </c>
      <c r="C592" s="3">
        <f t="shared" si="2"/>
        <v>1.8728729325401317E-2</v>
      </c>
    </row>
    <row r="593" spans="1:3" ht="13.2" x14ac:dyDescent="0.25">
      <c r="A593" s="6">
        <v>591</v>
      </c>
      <c r="B593" s="7">
        <v>442.91000366210898</v>
      </c>
      <c r="C593" s="3">
        <f t="shared" si="2"/>
        <v>2.1890095422775108E-2</v>
      </c>
    </row>
    <row r="594" spans="1:3" ht="13.2" x14ac:dyDescent="0.25">
      <c r="A594" s="6">
        <v>592</v>
      </c>
      <c r="B594" s="7">
        <v>430.97000122070301</v>
      </c>
      <c r="C594" s="3">
        <f t="shared" si="2"/>
        <v>-2.7328112457526348E-2</v>
      </c>
    </row>
    <row r="595" spans="1:3" ht="13.2" x14ac:dyDescent="0.25">
      <c r="A595" s="6">
        <v>593</v>
      </c>
      <c r="B595" s="7">
        <v>443.64999389648398</v>
      </c>
      <c r="C595" s="3">
        <f t="shared" si="2"/>
        <v>2.8997464578667052E-2</v>
      </c>
    </row>
    <row r="596" spans="1:3" ht="13.2" x14ac:dyDescent="0.25">
      <c r="A596" s="6">
        <v>594</v>
      </c>
      <c r="B596" s="7">
        <v>435.63000488281199</v>
      </c>
      <c r="C596" s="3">
        <f t="shared" si="2"/>
        <v>-1.8242679104466392E-2</v>
      </c>
    </row>
    <row r="597" spans="1:3" ht="13.2" x14ac:dyDescent="0.25">
      <c r="A597" s="6">
        <v>595</v>
      </c>
      <c r="B597" s="7">
        <v>423.25</v>
      </c>
      <c r="C597" s="3">
        <f t="shared" si="2"/>
        <v>-2.8830249406132994E-2</v>
      </c>
    </row>
    <row r="598" spans="1:3" ht="13.2" x14ac:dyDescent="0.25">
      <c r="A598" s="6">
        <v>596</v>
      </c>
      <c r="B598" s="7">
        <v>399.510009765625</v>
      </c>
      <c r="C598" s="3">
        <f t="shared" si="2"/>
        <v>-5.7724200387075382E-2</v>
      </c>
    </row>
    <row r="599" spans="1:3" ht="13.2" x14ac:dyDescent="0.25">
      <c r="A599" s="6">
        <v>597</v>
      </c>
      <c r="B599" s="7">
        <v>395.100006103515</v>
      </c>
      <c r="C599" s="3">
        <f t="shared" si="2"/>
        <v>-1.1099907760798654E-2</v>
      </c>
    </row>
    <row r="600" spans="1:3" ht="13.2" x14ac:dyDescent="0.25">
      <c r="A600" s="6">
        <v>598</v>
      </c>
      <c r="B600" s="7">
        <v>403.97000122070301</v>
      </c>
      <c r="C600" s="3">
        <f t="shared" si="2"/>
        <v>2.2201707934584213E-2</v>
      </c>
    </row>
    <row r="601" spans="1:3" ht="13.2" x14ac:dyDescent="0.25">
      <c r="A601" s="6">
        <v>599</v>
      </c>
      <c r="B601" s="7">
        <v>398.760009765625</v>
      </c>
      <c r="C601" s="3">
        <f t="shared" si="2"/>
        <v>-1.2980864155470518E-2</v>
      </c>
    </row>
    <row r="602" spans="1:3" ht="13.2" x14ac:dyDescent="0.25">
      <c r="A602" s="6">
        <v>600</v>
      </c>
      <c r="B602" s="7">
        <v>400.67999267578102</v>
      </c>
      <c r="C602" s="3">
        <f t="shared" si="2"/>
        <v>4.8033288196066802E-3</v>
      </c>
    </row>
    <row r="603" spans="1:3" ht="13.2" x14ac:dyDescent="0.25">
      <c r="A603" s="6">
        <v>601</v>
      </c>
      <c r="B603" s="7">
        <v>401.72000122070301</v>
      </c>
      <c r="C603" s="3">
        <f t="shared" si="2"/>
        <v>2.5922460997385025E-3</v>
      </c>
    </row>
    <row r="604" spans="1:3" ht="13.2" x14ac:dyDescent="0.25">
      <c r="A604" s="6">
        <v>602</v>
      </c>
      <c r="B604" s="7">
        <v>408.98001098632801</v>
      </c>
      <c r="C604" s="3">
        <f t="shared" si="2"/>
        <v>1.7910950390590083E-2</v>
      </c>
    </row>
    <row r="605" spans="1:3" ht="13.2" x14ac:dyDescent="0.25">
      <c r="A605" s="6">
        <v>603</v>
      </c>
      <c r="B605" s="7">
        <v>408.010009765625</v>
      </c>
      <c r="C605" s="3">
        <f t="shared" si="2"/>
        <v>-2.3745741119280245E-3</v>
      </c>
    </row>
    <row r="606" spans="1:3" ht="13.2" x14ac:dyDescent="0.25">
      <c r="A606" s="6">
        <v>604</v>
      </c>
      <c r="B606" s="7">
        <v>409.579986572265</v>
      </c>
      <c r="C606" s="3">
        <f t="shared" si="2"/>
        <v>3.8405037815175541E-3</v>
      </c>
    </row>
    <row r="607" spans="1:3" ht="13.2" x14ac:dyDescent="0.25">
      <c r="A607" s="6">
        <v>605</v>
      </c>
      <c r="B607" s="7">
        <v>423.14999389648398</v>
      </c>
      <c r="C607" s="3">
        <f t="shared" si="2"/>
        <v>3.2594500068105131E-2</v>
      </c>
    </row>
    <row r="608" spans="1:3" ht="13.2" x14ac:dyDescent="0.25">
      <c r="A608" s="6">
        <v>606</v>
      </c>
      <c r="B608" s="7">
        <v>431.17001342773398</v>
      </c>
      <c r="C608" s="3">
        <f t="shared" si="2"/>
        <v>1.8775763341032401E-2</v>
      </c>
    </row>
    <row r="609" spans="1:3" ht="13.2" x14ac:dyDescent="0.25">
      <c r="A609" s="6">
        <v>607</v>
      </c>
      <c r="B609" s="7">
        <v>425.829986572265</v>
      </c>
      <c r="C609" s="3">
        <f t="shared" si="2"/>
        <v>-1.2462300975772419E-2</v>
      </c>
    </row>
    <row r="610" spans="1:3" ht="13.2" x14ac:dyDescent="0.25">
      <c r="A610" s="6">
        <v>608</v>
      </c>
      <c r="B610" s="7">
        <v>432.14001464843699</v>
      </c>
      <c r="C610" s="3">
        <f t="shared" si="2"/>
        <v>1.4709469657583277E-2</v>
      </c>
    </row>
    <row r="611" spans="1:3" ht="13.2" x14ac:dyDescent="0.25">
      <c r="A611" s="6">
        <v>609</v>
      </c>
      <c r="B611" s="7">
        <v>433.510009765625</v>
      </c>
      <c r="C611" s="3">
        <f t="shared" si="2"/>
        <v>3.1652428171990259E-3</v>
      </c>
    </row>
    <row r="612" spans="1:3" ht="13.2" x14ac:dyDescent="0.25">
      <c r="A612" s="6">
        <v>610</v>
      </c>
      <c r="B612" s="7">
        <v>437.33999633789</v>
      </c>
      <c r="C612" s="3">
        <f t="shared" si="2"/>
        <v>8.7960297164208293E-3</v>
      </c>
    </row>
    <row r="613" spans="1:3" ht="13.2" x14ac:dyDescent="0.25">
      <c r="A613" s="6">
        <v>611</v>
      </c>
      <c r="B613" s="7">
        <v>432.89001464843699</v>
      </c>
      <c r="C613" s="3">
        <f t="shared" si="2"/>
        <v>-1.0227228251847421E-2</v>
      </c>
    </row>
    <row r="614" spans="1:3" ht="13.2" x14ac:dyDescent="0.25">
      <c r="A614" s="6">
        <v>612</v>
      </c>
      <c r="B614" s="7">
        <v>429.39999389648398</v>
      </c>
      <c r="C614" s="3">
        <f t="shared" si="2"/>
        <v>-8.094816766105916E-3</v>
      </c>
    </row>
    <row r="615" spans="1:3" ht="13.2" x14ac:dyDescent="0.25">
      <c r="A615" s="6">
        <v>613</v>
      </c>
      <c r="B615" s="7">
        <v>443.92999267578102</v>
      </c>
      <c r="C615" s="3">
        <f t="shared" si="2"/>
        <v>3.3278004616078646E-2</v>
      </c>
    </row>
    <row r="616" spans="1:3" ht="13.2" x14ac:dyDescent="0.25">
      <c r="A616" s="6">
        <v>614</v>
      </c>
      <c r="B616" s="7">
        <v>450.04998779296801</v>
      </c>
      <c r="C616" s="3">
        <f t="shared" si="2"/>
        <v>1.3691784732667613E-2</v>
      </c>
    </row>
    <row r="617" spans="1:3" ht="13.2" x14ac:dyDescent="0.25">
      <c r="A617" s="6">
        <v>615</v>
      </c>
      <c r="B617" s="7">
        <v>442.08999633789</v>
      </c>
      <c r="C617" s="3">
        <f t="shared" si="2"/>
        <v>-1.7845187603519608E-2</v>
      </c>
    </row>
    <row r="618" spans="1:3" ht="13.2" x14ac:dyDescent="0.25">
      <c r="A618" s="6">
        <v>616</v>
      </c>
      <c r="B618" s="7">
        <v>434.54000854492102</v>
      </c>
      <c r="C618" s="3">
        <f t="shared" si="2"/>
        <v>-1.7225453004464319E-2</v>
      </c>
    </row>
    <row r="619" spans="1:3" ht="13.2" x14ac:dyDescent="0.25">
      <c r="A619" s="6">
        <v>617</v>
      </c>
      <c r="B619" s="7">
        <v>422.13000488281199</v>
      </c>
      <c r="C619" s="3">
        <f t="shared" si="2"/>
        <v>-2.8974684936030757E-2</v>
      </c>
    </row>
    <row r="620" spans="1:3" ht="13.2" x14ac:dyDescent="0.25">
      <c r="A620" s="6">
        <v>618</v>
      </c>
      <c r="B620" s="7">
        <v>416.010009765625</v>
      </c>
      <c r="C620" s="3">
        <f t="shared" si="2"/>
        <v>-1.4604013126977046E-2</v>
      </c>
    </row>
    <row r="621" spans="1:3" ht="13.2" x14ac:dyDescent="0.25">
      <c r="A621" s="6">
        <v>619</v>
      </c>
      <c r="B621" s="7">
        <v>406.22000122070301</v>
      </c>
      <c r="C621" s="3">
        <f t="shared" si="2"/>
        <v>-2.3814434140009139E-2</v>
      </c>
    </row>
    <row r="622" spans="1:3" ht="13.2" x14ac:dyDescent="0.25">
      <c r="A622" s="6">
        <v>620</v>
      </c>
      <c r="B622" s="7">
        <v>405.19000244140602</v>
      </c>
      <c r="C622" s="3">
        <f t="shared" si="2"/>
        <v>-2.5387888438199255E-3</v>
      </c>
    </row>
    <row r="623" spans="1:3" ht="13.2" x14ac:dyDescent="0.25">
      <c r="A623" s="6">
        <v>621</v>
      </c>
      <c r="B623" s="7">
        <v>408.75</v>
      </c>
      <c r="C623" s="3">
        <f t="shared" si="2"/>
        <v>8.7476232869142401E-3</v>
      </c>
    </row>
    <row r="624" spans="1:3" ht="13.2" x14ac:dyDescent="0.25">
      <c r="A624" s="6">
        <v>622</v>
      </c>
      <c r="B624" s="7">
        <v>415.01998901367102</v>
      </c>
      <c r="C624" s="3">
        <f t="shared" si="2"/>
        <v>1.5222963157278753E-2</v>
      </c>
    </row>
    <row r="625" spans="1:3" ht="13.2" x14ac:dyDescent="0.25">
      <c r="A625" s="6">
        <v>623</v>
      </c>
      <c r="B625" s="7">
        <v>411.489990234375</v>
      </c>
      <c r="C625" s="3">
        <f t="shared" si="2"/>
        <v>-8.5419906158241878E-3</v>
      </c>
    </row>
    <row r="626" spans="1:3" ht="13.2" x14ac:dyDescent="0.25">
      <c r="A626" s="6">
        <v>624</v>
      </c>
      <c r="B626" s="7">
        <v>416.989990234375</v>
      </c>
      <c r="C626" s="3">
        <f t="shared" si="2"/>
        <v>1.3277522523664785E-2</v>
      </c>
    </row>
    <row r="627" spans="1:3" ht="13.2" x14ac:dyDescent="0.25">
      <c r="A627" s="6">
        <v>625</v>
      </c>
      <c r="B627" s="7">
        <v>413.260009765625</v>
      </c>
      <c r="C627" s="3">
        <f t="shared" si="2"/>
        <v>-8.9852588104195712E-3</v>
      </c>
    </row>
    <row r="628" spans="1:3" ht="13.2" x14ac:dyDescent="0.25">
      <c r="A628" s="6">
        <v>626</v>
      </c>
      <c r="B628" s="7">
        <v>415.350006103515</v>
      </c>
      <c r="C628" s="3">
        <f t="shared" si="2"/>
        <v>5.0445945137892901E-3</v>
      </c>
    </row>
    <row r="629" spans="1:3" ht="13.2" x14ac:dyDescent="0.25">
      <c r="A629" s="6">
        <v>627</v>
      </c>
      <c r="B629" s="7">
        <v>415.829986572265</v>
      </c>
      <c r="C629" s="3">
        <f t="shared" si="2"/>
        <v>1.1549376220133729E-3</v>
      </c>
    </row>
    <row r="630" spans="1:3" ht="13.2" x14ac:dyDescent="0.25">
      <c r="A630" s="6">
        <v>628</v>
      </c>
      <c r="B630" s="7">
        <v>409.91000366210898</v>
      </c>
      <c r="C630" s="3">
        <f t="shared" si="2"/>
        <v>-1.4338858261128247E-2</v>
      </c>
    </row>
    <row r="631" spans="1:3" ht="13.2" x14ac:dyDescent="0.25">
      <c r="A631" s="6">
        <v>629</v>
      </c>
      <c r="B631" s="7">
        <v>426.67999267578102</v>
      </c>
      <c r="C631" s="3">
        <f t="shared" si="2"/>
        <v>4.0096668250842737E-2</v>
      </c>
    </row>
    <row r="632" spans="1:3" ht="13.2" x14ac:dyDescent="0.25">
      <c r="A632" s="6">
        <v>630</v>
      </c>
      <c r="B632" s="7">
        <v>434.5</v>
      </c>
      <c r="C632" s="3">
        <f t="shared" si="2"/>
        <v>1.816164411376664E-2</v>
      </c>
    </row>
    <row r="633" spans="1:3" ht="13.2" x14ac:dyDescent="0.25">
      <c r="A633" s="6">
        <v>631</v>
      </c>
      <c r="B633" s="7">
        <v>450.20001220703102</v>
      </c>
      <c r="C633" s="3">
        <f t="shared" si="2"/>
        <v>3.5496010881869343E-2</v>
      </c>
    </row>
    <row r="634" spans="1:3" ht="13.2" x14ac:dyDescent="0.25">
      <c r="A634" s="6">
        <v>632</v>
      </c>
      <c r="B634" s="7">
        <v>445.36999511718699</v>
      </c>
      <c r="C634" s="3">
        <f t="shared" si="2"/>
        <v>-1.0786569182358511E-2</v>
      </c>
    </row>
    <row r="635" spans="1:3" ht="13.2" x14ac:dyDescent="0.25">
      <c r="A635" s="6">
        <v>633</v>
      </c>
      <c r="B635" s="7">
        <v>442</v>
      </c>
      <c r="C635" s="3">
        <f t="shared" si="2"/>
        <v>-7.5955043272595514E-3</v>
      </c>
    </row>
    <row r="636" spans="1:3" ht="13.2" x14ac:dyDescent="0.25">
      <c r="A636" s="6">
        <v>634</v>
      </c>
      <c r="B636" s="7">
        <v>431.97000122070301</v>
      </c>
      <c r="C636" s="3">
        <f t="shared" si="2"/>
        <v>-2.2953737863511701E-2</v>
      </c>
    </row>
    <row r="637" spans="1:3" ht="13.2" x14ac:dyDescent="0.25">
      <c r="A637" s="6">
        <v>635</v>
      </c>
      <c r="B637" s="7">
        <v>432.01998901367102</v>
      </c>
      <c r="C637" s="3">
        <f t="shared" si="2"/>
        <v>1.1571382443952005E-4</v>
      </c>
    </row>
    <row r="638" spans="1:3" ht="13.2" x14ac:dyDescent="0.25">
      <c r="A638" s="6">
        <v>636</v>
      </c>
      <c r="B638" s="7">
        <v>424.25</v>
      </c>
      <c r="C638" s="3">
        <f t="shared" si="2"/>
        <v>-1.8148953924290369E-2</v>
      </c>
    </row>
    <row r="639" spans="1:3" ht="13.2" x14ac:dyDescent="0.25">
      <c r="A639" s="6">
        <v>637</v>
      </c>
      <c r="B639" s="7">
        <v>419</v>
      </c>
      <c r="C639" s="3">
        <f t="shared" si="2"/>
        <v>-1.2451984192197956E-2</v>
      </c>
    </row>
    <row r="640" spans="1:3" ht="13.2" x14ac:dyDescent="0.25">
      <c r="A640" s="6">
        <v>638</v>
      </c>
      <c r="B640" s="7">
        <v>415</v>
      </c>
      <c r="C640" s="3">
        <f t="shared" si="2"/>
        <v>-9.5923996914394089E-3</v>
      </c>
    </row>
    <row r="641" spans="1:3" ht="13.2" x14ac:dyDescent="0.25">
      <c r="A641" s="6">
        <v>639</v>
      </c>
      <c r="B641" s="7">
        <v>415.29998779296801</v>
      </c>
      <c r="C641" s="3">
        <f t="shared" si="2"/>
        <v>7.2260101272234283E-4</v>
      </c>
    </row>
    <row r="642" spans="1:3" ht="13.2" x14ac:dyDescent="0.25">
      <c r="A642" s="6">
        <v>640</v>
      </c>
      <c r="B642" s="7">
        <v>415</v>
      </c>
      <c r="C642" s="3">
        <f t="shared" si="2"/>
        <v>-7.2260101272232104E-4</v>
      </c>
    </row>
    <row r="643" spans="1:3" ht="13.2" x14ac:dyDescent="0.25">
      <c r="A643" s="6">
        <v>641</v>
      </c>
      <c r="B643" s="7">
        <v>420.04998779296801</v>
      </c>
      <c r="C643" s="3">
        <f t="shared" si="2"/>
        <v>1.2095202519255123E-2</v>
      </c>
    </row>
    <row r="644" spans="1:3" ht="13.2" x14ac:dyDescent="0.25">
      <c r="A644" s="6">
        <v>642</v>
      </c>
      <c r="B644" s="7">
        <v>420.77999877929602</v>
      </c>
      <c r="C644" s="3">
        <f t="shared" si="2"/>
        <v>1.7364061258702246E-3</v>
      </c>
    </row>
    <row r="645" spans="1:3" ht="13.2" x14ac:dyDescent="0.25">
      <c r="A645" s="6">
        <v>643</v>
      </c>
      <c r="B645" s="7">
        <v>433.55999755859301</v>
      </c>
      <c r="C645" s="3">
        <f t="shared" si="2"/>
        <v>2.9920060440654806E-2</v>
      </c>
    </row>
    <row r="646" spans="1:3" ht="13.2" x14ac:dyDescent="0.25">
      <c r="A646" s="6">
        <v>644</v>
      </c>
      <c r="B646" s="7">
        <v>448.70001220703102</v>
      </c>
      <c r="C646" s="3">
        <f t="shared" si="2"/>
        <v>3.4324350870787571E-2</v>
      </c>
    </row>
    <row r="647" spans="1:3" ht="13.2" x14ac:dyDescent="0.25">
      <c r="A647" s="6">
        <v>645</v>
      </c>
      <c r="B647" s="7">
        <v>428.350006103515</v>
      </c>
      <c r="C647" s="3">
        <f t="shared" si="2"/>
        <v>-4.6413907528316263E-2</v>
      </c>
    </row>
    <row r="648" spans="1:3" ht="13.2" x14ac:dyDescent="0.25">
      <c r="A648" s="6">
        <v>646</v>
      </c>
      <c r="B648" s="7">
        <v>431.02999877929602</v>
      </c>
      <c r="C648" s="3">
        <f t="shared" si="2"/>
        <v>6.237057758825681E-3</v>
      </c>
    </row>
    <row r="649" spans="1:3" ht="13.2" x14ac:dyDescent="0.25">
      <c r="A649" s="6">
        <v>647</v>
      </c>
      <c r="B649" s="7">
        <v>426.72000122070301</v>
      </c>
      <c r="C649" s="3">
        <f t="shared" si="2"/>
        <v>-1.0049627123406134E-2</v>
      </c>
    </row>
    <row r="650" spans="1:3" ht="13.2" x14ac:dyDescent="0.25">
      <c r="A650" s="6">
        <v>648</v>
      </c>
      <c r="B650" s="7">
        <v>427.92001342773398</v>
      </c>
      <c r="C650" s="3">
        <f t="shared" si="2"/>
        <v>2.8082303077005067E-3</v>
      </c>
    </row>
    <row r="651" spans="1:3" ht="13.2" x14ac:dyDescent="0.25">
      <c r="A651" s="6">
        <v>649</v>
      </c>
      <c r="B651" s="7">
        <v>420.760009765625</v>
      </c>
      <c r="C651" s="3">
        <f t="shared" si="2"/>
        <v>-1.6873670521506557E-2</v>
      </c>
    </row>
    <row r="652" spans="1:3" ht="13.2" x14ac:dyDescent="0.25">
      <c r="A652" s="6">
        <v>650</v>
      </c>
      <c r="B652" s="7">
        <v>423.38000488281199</v>
      </c>
      <c r="C652" s="3">
        <f t="shared" si="2"/>
        <v>6.2075093818010933E-3</v>
      </c>
    </row>
    <row r="653" spans="1:3" ht="13.2" x14ac:dyDescent="0.25">
      <c r="A653" s="6">
        <v>651</v>
      </c>
      <c r="B653" s="7">
        <v>432.72000122070301</v>
      </c>
      <c r="C653" s="3">
        <f t="shared" si="2"/>
        <v>2.1820737921806985E-2</v>
      </c>
    </row>
    <row r="654" spans="1:3" ht="13.2" x14ac:dyDescent="0.25">
      <c r="A654" s="6">
        <v>652</v>
      </c>
      <c r="B654" s="7">
        <v>448.22000122070301</v>
      </c>
      <c r="C654" s="3">
        <f t="shared" si="2"/>
        <v>3.519331564671712E-2</v>
      </c>
    </row>
    <row r="655" spans="1:3" ht="13.2" x14ac:dyDescent="0.25">
      <c r="A655" s="6">
        <v>653</v>
      </c>
      <c r="B655" s="7">
        <v>433.510009765625</v>
      </c>
      <c r="C655" s="3">
        <f t="shared" si="2"/>
        <v>-3.3369299498732054E-2</v>
      </c>
    </row>
    <row r="656" spans="1:3" ht="13.2" x14ac:dyDescent="0.25">
      <c r="A656" s="6">
        <v>654</v>
      </c>
      <c r="B656" s="7">
        <v>429.95001220703102</v>
      </c>
      <c r="C656" s="3">
        <f t="shared" si="2"/>
        <v>-8.2459352835055084E-3</v>
      </c>
    </row>
    <row r="657" spans="1:3" ht="13.2" x14ac:dyDescent="0.25">
      <c r="A657" s="6">
        <v>655</v>
      </c>
      <c r="B657" s="7">
        <v>429.10998535156199</v>
      </c>
      <c r="C657" s="3">
        <f t="shared" si="2"/>
        <v>-1.9556890685057285E-3</v>
      </c>
    </row>
    <row r="658" spans="1:3" ht="13.2" x14ac:dyDescent="0.25">
      <c r="A658" s="6">
        <v>656</v>
      </c>
      <c r="B658" s="7">
        <v>431.239990234375</v>
      </c>
      <c r="C658" s="3">
        <f t="shared" si="2"/>
        <v>4.951494845319304E-3</v>
      </c>
    </row>
    <row r="659" spans="1:3" ht="13.2" x14ac:dyDescent="0.25">
      <c r="A659" s="6">
        <v>657</v>
      </c>
      <c r="B659" s="7">
        <v>427.45999145507801</v>
      </c>
      <c r="C659" s="3">
        <f t="shared" si="2"/>
        <v>-8.8040602677919525E-3</v>
      </c>
    </row>
    <row r="660" spans="1:3" ht="13.2" x14ac:dyDescent="0.25">
      <c r="A660" s="6">
        <v>658</v>
      </c>
      <c r="B660" s="7">
        <v>424.32000732421801</v>
      </c>
      <c r="C660" s="3">
        <f t="shared" si="2"/>
        <v>-7.3727919391576927E-3</v>
      </c>
    </row>
    <row r="661" spans="1:3" ht="13.2" x14ac:dyDescent="0.25">
      <c r="A661" s="6">
        <v>659</v>
      </c>
      <c r="B661" s="7">
        <v>422.100006103515</v>
      </c>
      <c r="C661" s="3">
        <f t="shared" si="2"/>
        <v>-5.2456375701825913E-3</v>
      </c>
    </row>
    <row r="662" spans="1:3" ht="13.2" x14ac:dyDescent="0.25">
      <c r="A662" s="6">
        <v>660</v>
      </c>
      <c r="B662" s="7">
        <v>419.32000732421801</v>
      </c>
      <c r="C662" s="3">
        <f t="shared" si="2"/>
        <v>-6.6078981970663607E-3</v>
      </c>
    </row>
    <row r="663" spans="1:3" ht="13.2" x14ac:dyDescent="0.25">
      <c r="A663" s="6">
        <v>661</v>
      </c>
      <c r="B663" s="7">
        <v>421.23001098632801</v>
      </c>
      <c r="C663" s="3">
        <f t="shared" si="2"/>
        <v>4.5446598249365457E-3</v>
      </c>
    </row>
    <row r="664" spans="1:3" ht="13.2" x14ac:dyDescent="0.25">
      <c r="A664" s="6">
        <v>662</v>
      </c>
      <c r="B664" s="7">
        <v>414.82000732421801</v>
      </c>
      <c r="C664" s="3">
        <f t="shared" si="2"/>
        <v>-1.5334320019093827E-2</v>
      </c>
    </row>
    <row r="665" spans="1:3" ht="13.2" x14ac:dyDescent="0.25">
      <c r="A665" s="6">
        <v>663</v>
      </c>
      <c r="B665" s="7">
        <v>416.19000244140602</v>
      </c>
      <c r="C665" s="3">
        <f t="shared" si="2"/>
        <v>3.297183769720441E-3</v>
      </c>
    </row>
    <row r="666" spans="1:3" ht="13.2" x14ac:dyDescent="0.25">
      <c r="A666" s="6">
        <v>664</v>
      </c>
      <c r="B666" s="7">
        <v>421.39001464843699</v>
      </c>
      <c r="C666" s="3">
        <f t="shared" si="2"/>
        <v>1.2416912801471116E-2</v>
      </c>
    </row>
    <row r="667" spans="1:3" ht="13.2" x14ac:dyDescent="0.25">
      <c r="A667" s="6">
        <v>665</v>
      </c>
      <c r="B667" s="7">
        <v>430.85998535156199</v>
      </c>
      <c r="C667" s="3">
        <f t="shared" si="2"/>
        <v>2.2224371923841801E-2</v>
      </c>
    </row>
    <row r="668" spans="1:3" ht="13.2" x14ac:dyDescent="0.25">
      <c r="A668" s="6">
        <v>666</v>
      </c>
      <c r="B668" s="7">
        <v>414.92999267578102</v>
      </c>
      <c r="C668" s="3">
        <f t="shared" si="2"/>
        <v>-3.7673363699113685E-2</v>
      </c>
    </row>
    <row r="669" spans="1:3" ht="13.2" x14ac:dyDescent="0.25">
      <c r="A669" s="6">
        <v>667</v>
      </c>
      <c r="B669" s="7">
        <v>416.20001220703102</v>
      </c>
      <c r="C669" s="3">
        <f t="shared" si="2"/>
        <v>3.0561296362289995E-3</v>
      </c>
    </row>
    <row r="670" spans="1:3" ht="13.2" x14ac:dyDescent="0.25">
      <c r="A670" s="6">
        <v>668</v>
      </c>
      <c r="B670" s="7">
        <v>417.32000732421801</v>
      </c>
      <c r="C670" s="3">
        <f t="shared" si="2"/>
        <v>2.6873878611149513E-3</v>
      </c>
    </row>
    <row r="671" spans="1:3" ht="13.2" x14ac:dyDescent="0.25">
      <c r="A671" s="6">
        <v>669</v>
      </c>
      <c r="B671" s="7">
        <v>415.579986572265</v>
      </c>
      <c r="C671" s="3">
        <f t="shared" si="2"/>
        <v>-4.1782285894695088E-3</v>
      </c>
    </row>
    <row r="672" spans="1:3" ht="13.2" x14ac:dyDescent="0.25">
      <c r="A672" s="6">
        <v>670</v>
      </c>
      <c r="B672" s="7">
        <v>407.27999877929602</v>
      </c>
      <c r="C672" s="3">
        <f t="shared" si="2"/>
        <v>-2.0174195964033019E-2</v>
      </c>
    </row>
    <row r="673" spans="1:3" ht="13.2" x14ac:dyDescent="0.25">
      <c r="A673" s="6">
        <v>671</v>
      </c>
      <c r="B673" s="7">
        <v>412.13000488281199</v>
      </c>
      <c r="C673" s="3">
        <f t="shared" si="2"/>
        <v>1.1837938810608826E-2</v>
      </c>
    </row>
    <row r="674" spans="1:3" ht="13.2" x14ac:dyDescent="0.25">
      <c r="A674" s="6">
        <v>672</v>
      </c>
      <c r="B674" s="7">
        <v>421.20001220703102</v>
      </c>
      <c r="C674" s="3">
        <f t="shared" si="2"/>
        <v>2.176896383389643E-2</v>
      </c>
    </row>
    <row r="675" spans="1:3" ht="13.2" x14ac:dyDescent="0.25">
      <c r="A675" s="6">
        <v>673</v>
      </c>
      <c r="B675" s="7">
        <v>419.19000244140602</v>
      </c>
      <c r="C675" s="3">
        <f t="shared" si="2"/>
        <v>-4.7835256568052112E-3</v>
      </c>
    </row>
    <row r="676" spans="1:3" ht="13.2" x14ac:dyDescent="0.25">
      <c r="A676" s="6">
        <v>674</v>
      </c>
      <c r="B676" s="7">
        <v>417.91000366210898</v>
      </c>
      <c r="C676" s="3">
        <f t="shared" si="2"/>
        <v>-3.0581764844273746E-3</v>
      </c>
    </row>
    <row r="677" spans="1:3" ht="13.2" x14ac:dyDescent="0.25">
      <c r="A677" s="6">
        <v>675</v>
      </c>
      <c r="B677" s="7">
        <v>410.51998901367102</v>
      </c>
      <c r="C677" s="3">
        <f t="shared" si="2"/>
        <v>-1.7841485084611579E-2</v>
      </c>
    </row>
    <row r="678" spans="1:3" ht="13.2" x14ac:dyDescent="0.25">
      <c r="A678" s="6">
        <v>676</v>
      </c>
      <c r="B678" s="7">
        <v>395.23001098632801</v>
      </c>
      <c r="C678" s="3">
        <f t="shared" si="2"/>
        <v>-3.7956720294430583E-2</v>
      </c>
    </row>
    <row r="679" spans="1:3" ht="13.2" x14ac:dyDescent="0.25">
      <c r="A679" s="6">
        <v>677</v>
      </c>
      <c r="B679" s="7">
        <v>398.85998535156199</v>
      </c>
      <c r="C679" s="3">
        <f t="shared" si="2"/>
        <v>9.1425396782110532E-3</v>
      </c>
    </row>
    <row r="680" spans="1:3" ht="13.2" x14ac:dyDescent="0.25">
      <c r="A680" s="6">
        <v>678</v>
      </c>
      <c r="B680" s="7">
        <v>399.33999633789</v>
      </c>
      <c r="C680" s="3">
        <f t="shared" si="2"/>
        <v>1.2027337890340114E-3</v>
      </c>
    </row>
    <row r="681" spans="1:3" ht="13.2" x14ac:dyDescent="0.25">
      <c r="A681" s="6">
        <v>679</v>
      </c>
      <c r="B681" s="7">
        <v>393.83999633789</v>
      </c>
      <c r="C681" s="3">
        <f t="shared" si="2"/>
        <v>-1.386844903687163E-2</v>
      </c>
    </row>
    <row r="682" spans="1:3" ht="13.2" x14ac:dyDescent="0.25">
      <c r="A682" s="6">
        <v>680</v>
      </c>
      <c r="B682" s="7">
        <v>402.42001342773398</v>
      </c>
      <c r="C682" s="3">
        <f t="shared" si="2"/>
        <v>2.1551626555688517E-2</v>
      </c>
    </row>
    <row r="683" spans="1:3" ht="13.2" x14ac:dyDescent="0.25">
      <c r="A683" s="6">
        <v>681</v>
      </c>
      <c r="B683" s="7">
        <v>395.45999145507801</v>
      </c>
      <c r="C683" s="3">
        <f t="shared" si="2"/>
        <v>-1.7446730022029525E-2</v>
      </c>
    </row>
    <row r="684" spans="1:3" ht="13.2" x14ac:dyDescent="0.25">
      <c r="A684" s="6">
        <v>682</v>
      </c>
      <c r="B684" s="7">
        <v>395.100006103515</v>
      </c>
      <c r="C684" s="3">
        <f t="shared" si="2"/>
        <v>-9.1070981976191048E-4</v>
      </c>
    </row>
    <row r="685" spans="1:3" ht="13.2" x14ac:dyDescent="0.25">
      <c r="A685" s="6">
        <v>683</v>
      </c>
      <c r="B685" s="7">
        <v>390.97000122070301</v>
      </c>
      <c r="C685" s="3">
        <f t="shared" si="2"/>
        <v>-1.0508079044090266E-2</v>
      </c>
    </row>
    <row r="686" spans="1:3" ht="13.2" x14ac:dyDescent="0.25">
      <c r="A686" s="6">
        <v>684</v>
      </c>
      <c r="B686" s="7">
        <v>385.350006103515</v>
      </c>
      <c r="C686" s="3">
        <f t="shared" si="2"/>
        <v>-1.4478805758391628E-2</v>
      </c>
    </row>
    <row r="687" spans="1:3" ht="13.2" x14ac:dyDescent="0.25">
      <c r="A687" s="6">
        <v>685</v>
      </c>
      <c r="B687" s="7">
        <v>384.48001098632801</v>
      </c>
      <c r="C687" s="3">
        <f t="shared" si="2"/>
        <v>-2.2602275002194805E-3</v>
      </c>
    </row>
    <row r="688" spans="1:3" ht="13.2" x14ac:dyDescent="0.25">
      <c r="A688" s="6">
        <v>686</v>
      </c>
      <c r="B688" s="7">
        <v>384.70999145507801</v>
      </c>
      <c r="C688" s="3">
        <f t="shared" si="2"/>
        <v>5.9798092765928144E-4</v>
      </c>
    </row>
    <row r="689" spans="1:3" ht="13.2" x14ac:dyDescent="0.25">
      <c r="A689" s="6">
        <v>687</v>
      </c>
      <c r="B689" s="7">
        <v>384.39001464843699</v>
      </c>
      <c r="C689" s="3">
        <f t="shared" si="2"/>
        <v>-8.3208119246722676E-4</v>
      </c>
    </row>
    <row r="690" spans="1:3" ht="13.2" x14ac:dyDescent="0.25">
      <c r="A690" s="6">
        <v>688</v>
      </c>
      <c r="B690" s="7">
        <v>387.70999145507801</v>
      </c>
      <c r="C690" s="3">
        <f t="shared" si="2"/>
        <v>8.5999151459419231E-3</v>
      </c>
    </row>
    <row r="691" spans="1:3" ht="13.2" x14ac:dyDescent="0.25">
      <c r="A691" s="6">
        <v>689</v>
      </c>
      <c r="B691" s="7">
        <v>391.44000244140602</v>
      </c>
      <c r="C691" s="3">
        <f t="shared" si="2"/>
        <v>9.5746377740513772E-3</v>
      </c>
    </row>
    <row r="692" spans="1:3" ht="13.2" x14ac:dyDescent="0.25">
      <c r="A692" s="6">
        <v>690</v>
      </c>
      <c r="B692" s="7">
        <v>386.76998901367102</v>
      </c>
      <c r="C692" s="3">
        <f t="shared" si="2"/>
        <v>-1.2002080514189505E-2</v>
      </c>
    </row>
    <row r="693" spans="1:3" ht="13.2" x14ac:dyDescent="0.25">
      <c r="A693" s="6">
        <v>691</v>
      </c>
      <c r="B693" s="7">
        <v>384.489990234375</v>
      </c>
      <c r="C693" s="3">
        <f t="shared" si="2"/>
        <v>-5.9124172974213641E-3</v>
      </c>
    </row>
    <row r="694" spans="1:3" ht="13.2" x14ac:dyDescent="0.25">
      <c r="A694" s="6">
        <v>692</v>
      </c>
      <c r="B694" s="7">
        <v>381.51998901367102</v>
      </c>
      <c r="C694" s="3">
        <f t="shared" si="2"/>
        <v>-7.7545102124825507E-3</v>
      </c>
    </row>
    <row r="695" spans="1:3" ht="13.2" x14ac:dyDescent="0.25">
      <c r="A695" s="6">
        <v>693</v>
      </c>
      <c r="B695" s="7">
        <v>382.739990234375</v>
      </c>
      <c r="C695" s="3">
        <f t="shared" si="2"/>
        <v>3.1926367731210368E-3</v>
      </c>
    </row>
    <row r="696" spans="1:3" ht="13.2" x14ac:dyDescent="0.25">
      <c r="A696" s="6">
        <v>694</v>
      </c>
      <c r="B696" s="7">
        <v>379.760009765625</v>
      </c>
      <c r="C696" s="3">
        <f t="shared" si="2"/>
        <v>-7.8163820085656727E-3</v>
      </c>
    </row>
    <row r="697" spans="1:3" ht="13.2" x14ac:dyDescent="0.25">
      <c r="A697" s="6">
        <v>695</v>
      </c>
      <c r="B697" s="7">
        <v>380.45999145507801</v>
      </c>
      <c r="C697" s="3">
        <f t="shared" si="2"/>
        <v>1.8415245222293006E-3</v>
      </c>
    </row>
    <row r="698" spans="1:3" ht="13.2" x14ac:dyDescent="0.25">
      <c r="A698" s="6">
        <v>696</v>
      </c>
      <c r="B698" s="7">
        <v>384.76998901367102</v>
      </c>
      <c r="C698" s="3">
        <f t="shared" si="2"/>
        <v>1.126470014082568E-2</v>
      </c>
    </row>
    <row r="699" spans="1:3" ht="13.2" x14ac:dyDescent="0.25">
      <c r="A699" s="6">
        <v>697</v>
      </c>
      <c r="B699" s="7">
        <v>384</v>
      </c>
      <c r="C699" s="3">
        <f t="shared" si="2"/>
        <v>-2.0031720336448127E-3</v>
      </c>
    </row>
    <row r="700" spans="1:3" ht="13.2" x14ac:dyDescent="0.25">
      <c r="A700" s="6">
        <v>698</v>
      </c>
      <c r="B700" s="7">
        <v>387.29998779296801</v>
      </c>
      <c r="C700" s="3">
        <f t="shared" si="2"/>
        <v>8.5570024146936156E-3</v>
      </c>
    </row>
    <row r="701" spans="1:3" ht="13.2" x14ac:dyDescent="0.25">
      <c r="A701" s="6">
        <v>699</v>
      </c>
      <c r="B701" s="7">
        <v>395.72000122070301</v>
      </c>
      <c r="C701" s="3">
        <f t="shared" si="2"/>
        <v>2.1507338537365923E-2</v>
      </c>
    </row>
    <row r="702" spans="1:3" ht="13.2" x14ac:dyDescent="0.25">
      <c r="A702" s="6">
        <v>700</v>
      </c>
      <c r="B702" s="7">
        <v>396.39999389648398</v>
      </c>
      <c r="C702" s="3">
        <f t="shared" si="2"/>
        <v>1.7168935186801903E-3</v>
      </c>
    </row>
    <row r="703" spans="1:3" ht="13.2" x14ac:dyDescent="0.25">
      <c r="A703" s="6">
        <v>701</v>
      </c>
      <c r="B703" s="7">
        <v>401.39999389648398</v>
      </c>
      <c r="C703" s="3">
        <f t="shared" si="2"/>
        <v>1.2534634098200596E-2</v>
      </c>
    </row>
    <row r="704" spans="1:3" ht="13.2" x14ac:dyDescent="0.25">
      <c r="A704" s="6">
        <v>702</v>
      </c>
      <c r="B704" s="7">
        <v>406.80999755859301</v>
      </c>
      <c r="C704" s="3">
        <f t="shared" si="2"/>
        <v>1.3387818818486375E-2</v>
      </c>
    </row>
    <row r="705" spans="1:3" ht="13.2" x14ac:dyDescent="0.25">
      <c r="A705" s="6">
        <v>703</v>
      </c>
      <c r="B705" s="7">
        <v>413.17999267578102</v>
      </c>
      <c r="C705" s="3">
        <f t="shared" si="2"/>
        <v>1.5537075661868526E-2</v>
      </c>
    </row>
    <row r="706" spans="1:3" ht="13.2" x14ac:dyDescent="0.25">
      <c r="A706" s="6">
        <v>704</v>
      </c>
      <c r="B706" s="7">
        <v>414.30999755859301</v>
      </c>
      <c r="C706" s="3">
        <f t="shared" si="2"/>
        <v>2.7311643610538933E-3</v>
      </c>
    </row>
    <row r="707" spans="1:3" ht="13.2" x14ac:dyDescent="0.25">
      <c r="A707" s="6">
        <v>705</v>
      </c>
      <c r="B707" s="7">
        <v>417.579986572265</v>
      </c>
      <c r="C707" s="3">
        <f t="shared" si="2"/>
        <v>7.8616305470752476E-3</v>
      </c>
    </row>
    <row r="708" spans="1:3" ht="13.2" x14ac:dyDescent="0.25">
      <c r="A708" s="6">
        <v>706</v>
      </c>
      <c r="B708" s="7">
        <v>428.54000854492102</v>
      </c>
      <c r="C708" s="3">
        <f t="shared" si="2"/>
        <v>2.5907991967039828E-2</v>
      </c>
    </row>
    <row r="709" spans="1:3" ht="13.2" x14ac:dyDescent="0.25">
      <c r="A709" s="6">
        <v>707</v>
      </c>
      <c r="B709" s="7">
        <v>427.47000122070301</v>
      </c>
      <c r="C709" s="3">
        <f t="shared" si="2"/>
        <v>-2.4999891807377401E-3</v>
      </c>
    </row>
    <row r="710" spans="1:3" ht="13.2" x14ac:dyDescent="0.25">
      <c r="A710" s="6">
        <v>708</v>
      </c>
      <c r="B710" s="7">
        <v>436.76998901367102</v>
      </c>
      <c r="C710" s="3">
        <f t="shared" si="2"/>
        <v>2.1522602268311177E-2</v>
      </c>
    </row>
    <row r="711" spans="1:3" ht="13.2" x14ac:dyDescent="0.25">
      <c r="A711" s="6">
        <v>709</v>
      </c>
      <c r="B711" s="7">
        <v>440.95999145507801</v>
      </c>
      <c r="C711" s="3">
        <f t="shared" si="2"/>
        <v>9.5474334074766593E-3</v>
      </c>
    </row>
    <row r="712" spans="1:3" ht="13.2" x14ac:dyDescent="0.25">
      <c r="A712" s="6">
        <v>710</v>
      </c>
      <c r="B712" s="7">
        <v>445.89001464843699</v>
      </c>
      <c r="C712" s="3">
        <f t="shared" si="2"/>
        <v>1.1118168673803538E-2</v>
      </c>
    </row>
    <row r="713" spans="1:3" ht="13.2" x14ac:dyDescent="0.25">
      <c r="A713" s="6">
        <v>711</v>
      </c>
      <c r="B713" s="7">
        <v>449.14999389648398</v>
      </c>
      <c r="C713" s="3">
        <f t="shared" si="2"/>
        <v>7.284576405134021E-3</v>
      </c>
    </row>
    <row r="714" spans="1:3" ht="13.2" x14ac:dyDescent="0.25">
      <c r="A714" s="6">
        <v>712</v>
      </c>
      <c r="B714" s="7">
        <v>440.760009765625</v>
      </c>
      <c r="C714" s="3">
        <f t="shared" si="2"/>
        <v>-1.8856362310270221E-2</v>
      </c>
    </row>
    <row r="715" spans="1:3" ht="13.2" x14ac:dyDescent="0.25">
      <c r="A715" s="6">
        <v>713</v>
      </c>
      <c r="B715" s="7">
        <v>432.35998535156199</v>
      </c>
      <c r="C715" s="3">
        <f t="shared" si="2"/>
        <v>-1.9241991108094467E-2</v>
      </c>
    </row>
    <row r="716" spans="1:3" ht="13.2" x14ac:dyDescent="0.25">
      <c r="A716" s="6">
        <v>714</v>
      </c>
      <c r="B716" s="7">
        <v>434.19000244140602</v>
      </c>
      <c r="C716" s="3">
        <f t="shared" si="2"/>
        <v>4.2236912727069368E-3</v>
      </c>
    </row>
    <row r="717" spans="1:3" ht="13.2" x14ac:dyDescent="0.25">
      <c r="A717" s="6">
        <v>715</v>
      </c>
      <c r="B717" s="7">
        <v>430.02999877929602</v>
      </c>
      <c r="C717" s="3">
        <f t="shared" si="2"/>
        <v>-9.6272610833353332E-3</v>
      </c>
    </row>
    <row r="718" spans="1:3" ht="13.2" x14ac:dyDescent="0.25">
      <c r="A718" s="6">
        <v>716</v>
      </c>
      <c r="B718" s="7">
        <v>439.45999145507801</v>
      </c>
      <c r="C718" s="3">
        <f t="shared" si="2"/>
        <v>2.1691710167794635E-2</v>
      </c>
    </row>
    <row r="719" spans="1:3" ht="13.2" x14ac:dyDescent="0.25">
      <c r="A719" s="6">
        <v>717</v>
      </c>
      <c r="B719" s="7">
        <v>447.22000122070301</v>
      </c>
      <c r="C719" s="3">
        <f t="shared" si="2"/>
        <v>1.7503965264555388E-2</v>
      </c>
    </row>
    <row r="720" spans="1:3" ht="13.2" x14ac:dyDescent="0.25">
      <c r="A720" s="6">
        <v>718</v>
      </c>
      <c r="B720" s="7">
        <v>435.47000122070301</v>
      </c>
      <c r="C720" s="3">
        <f t="shared" si="2"/>
        <v>-2.6624735904108725E-2</v>
      </c>
    </row>
    <row r="721" spans="1:3" ht="13.2" x14ac:dyDescent="0.25">
      <c r="A721" s="6">
        <v>719</v>
      </c>
      <c r="B721" s="7">
        <v>428.54000854492102</v>
      </c>
      <c r="C721" s="3">
        <f t="shared" si="2"/>
        <v>-1.6041807873235944E-2</v>
      </c>
    </row>
    <row r="722" spans="1:3" ht="13.2" x14ac:dyDescent="0.25">
      <c r="A722" s="6">
        <v>720</v>
      </c>
      <c r="B722" s="7">
        <v>426.70999145507801</v>
      </c>
      <c r="C722" s="3">
        <f t="shared" si="2"/>
        <v>-4.2794969488865473E-3</v>
      </c>
    </row>
    <row r="723" spans="1:3" ht="13.2" x14ac:dyDescent="0.25">
      <c r="A723" s="6">
        <v>721</v>
      </c>
      <c r="B723" s="7">
        <v>423.760009765625</v>
      </c>
      <c r="C723" s="3">
        <f t="shared" si="2"/>
        <v>-6.9373252818544402E-3</v>
      </c>
    </row>
    <row r="724" spans="1:3" ht="13.2" x14ac:dyDescent="0.25">
      <c r="A724" s="6">
        <v>722</v>
      </c>
      <c r="B724" s="7">
        <v>426.70001220703102</v>
      </c>
      <c r="C724" s="3">
        <f t="shared" si="2"/>
        <v>6.9139385204979985E-3</v>
      </c>
    </row>
    <row r="725" spans="1:3" ht="13.2" x14ac:dyDescent="0.25">
      <c r="A725" s="6">
        <v>723</v>
      </c>
      <c r="B725" s="7">
        <v>433.30999755859301</v>
      </c>
      <c r="C725" s="3">
        <f t="shared" si="2"/>
        <v>1.5372182741648774E-2</v>
      </c>
    </row>
    <row r="726" spans="1:3" ht="13.2" x14ac:dyDescent="0.25">
      <c r="A726" s="6">
        <v>724</v>
      </c>
      <c r="B726" s="7">
        <v>424.760009765625</v>
      </c>
      <c r="C726" s="3">
        <f t="shared" si="2"/>
        <v>-1.9929075017027759E-2</v>
      </c>
    </row>
    <row r="727" spans="1:3" ht="13.2" x14ac:dyDescent="0.25">
      <c r="A727" s="6">
        <v>725</v>
      </c>
      <c r="B727" s="7">
        <v>429.51998901367102</v>
      </c>
      <c r="C727" s="3">
        <f t="shared" si="2"/>
        <v>1.114395400959034E-2</v>
      </c>
    </row>
    <row r="728" spans="1:3" ht="13.2" x14ac:dyDescent="0.25">
      <c r="A728" s="6">
        <v>726</v>
      </c>
      <c r="B728" s="7">
        <v>430.92001342773398</v>
      </c>
      <c r="C728" s="3">
        <f t="shared" si="2"/>
        <v>3.2542086504512863E-3</v>
      </c>
    </row>
    <row r="729" spans="1:3" ht="13.2" x14ac:dyDescent="0.25">
      <c r="A729" s="6">
        <v>727</v>
      </c>
      <c r="B729" s="7">
        <v>439.89999389648398</v>
      </c>
      <c r="C729" s="3">
        <f t="shared" si="2"/>
        <v>2.0624925293282803E-2</v>
      </c>
    </row>
    <row r="730" spans="1:3" ht="13.2" x14ac:dyDescent="0.25">
      <c r="A730" s="6">
        <v>728</v>
      </c>
      <c r="B730" s="7">
        <v>442.239990234375</v>
      </c>
      <c r="C730" s="3">
        <f t="shared" si="2"/>
        <v>5.3052845771730684E-3</v>
      </c>
    </row>
    <row r="731" spans="1:3" ht="13.2" x14ac:dyDescent="0.25">
      <c r="A731" s="6">
        <v>729</v>
      </c>
      <c r="B731" s="7">
        <v>436.41000366210898</v>
      </c>
      <c r="C731" s="3">
        <f t="shared" si="2"/>
        <v>-1.3270522212144498E-2</v>
      </c>
    </row>
    <row r="732" spans="1:3" ht="13.2" x14ac:dyDescent="0.25">
      <c r="A732" s="6">
        <v>730</v>
      </c>
      <c r="B732" s="7">
        <v>434.75</v>
      </c>
      <c r="C732" s="3">
        <f t="shared" si="2"/>
        <v>-3.8110236105293053E-3</v>
      </c>
    </row>
    <row r="733" spans="1:3" ht="13.2" x14ac:dyDescent="0.25">
      <c r="A733" s="6">
        <v>731</v>
      </c>
      <c r="B733" s="7">
        <v>431.54000854492102</v>
      </c>
      <c r="C733" s="3">
        <f t="shared" si="2"/>
        <v>-7.4109273221593525E-3</v>
      </c>
    </row>
    <row r="734" spans="1:3" ht="13.2" x14ac:dyDescent="0.25">
      <c r="A734" s="6">
        <v>732</v>
      </c>
      <c r="B734" s="7">
        <v>433.14001464843699</v>
      </c>
      <c r="C734" s="3">
        <f t="shared" si="2"/>
        <v>3.7008092860650269E-3</v>
      </c>
    </row>
    <row r="735" spans="1:3" ht="13.2" x14ac:dyDescent="0.25">
      <c r="A735" s="6">
        <v>733</v>
      </c>
      <c r="B735" s="7">
        <v>431.66000366210898</v>
      </c>
      <c r="C735" s="3">
        <f t="shared" si="2"/>
        <v>-3.4227853836925194E-3</v>
      </c>
    </row>
    <row r="736" spans="1:3" ht="13.2" x14ac:dyDescent="0.25">
      <c r="A736" s="6">
        <v>734</v>
      </c>
      <c r="B736" s="7">
        <v>426.64999389648398</v>
      </c>
      <c r="C736" s="3">
        <f t="shared" si="2"/>
        <v>-1.1674259137686304E-2</v>
      </c>
    </row>
    <row r="737" spans="1:3" ht="13.2" x14ac:dyDescent="0.25">
      <c r="A737" s="6">
        <v>735</v>
      </c>
      <c r="B737" s="7">
        <v>419.92001342773398</v>
      </c>
      <c r="C737" s="3">
        <f t="shared" si="2"/>
        <v>-1.5899741755989447E-2</v>
      </c>
    </row>
    <row r="738" spans="1:3" ht="13.2" x14ac:dyDescent="0.25">
      <c r="A738" s="6">
        <v>736</v>
      </c>
      <c r="B738" s="7">
        <v>405.75</v>
      </c>
      <c r="C738" s="3">
        <f t="shared" si="2"/>
        <v>-3.4327042526229257E-2</v>
      </c>
    </row>
    <row r="739" spans="1:3" ht="13.2" x14ac:dyDescent="0.25">
      <c r="A739" s="6">
        <v>737</v>
      </c>
      <c r="B739" s="7">
        <v>394.510009765625</v>
      </c>
      <c r="C739" s="3">
        <f t="shared" si="2"/>
        <v>-2.8092693133773525E-2</v>
      </c>
    </row>
    <row r="740" spans="1:3" ht="13.2" x14ac:dyDescent="0.25">
      <c r="A740" s="6">
        <v>738</v>
      </c>
      <c r="B740" s="7">
        <v>407.97000122070301</v>
      </c>
      <c r="C740" s="3">
        <f t="shared" si="2"/>
        <v>3.3549132020189276E-2</v>
      </c>
    </row>
    <row r="741" spans="1:3" ht="13.2" x14ac:dyDescent="0.25">
      <c r="A741" s="6">
        <v>739</v>
      </c>
      <c r="B741" s="7">
        <v>405.79000854492102</v>
      </c>
      <c r="C741" s="3">
        <f t="shared" si="2"/>
        <v>-5.3578398166664928E-3</v>
      </c>
    </row>
    <row r="742" spans="1:3" ht="13.2" x14ac:dyDescent="0.25">
      <c r="A742" s="6">
        <v>740</v>
      </c>
      <c r="B742" s="7">
        <v>401.10998535156199</v>
      </c>
      <c r="C742" s="3">
        <f t="shared" si="2"/>
        <v>-1.1600138080435222E-2</v>
      </c>
    </row>
    <row r="743" spans="1:3" ht="13.2" x14ac:dyDescent="0.25">
      <c r="A743" s="6">
        <v>741</v>
      </c>
      <c r="B743" s="7">
        <v>396</v>
      </c>
      <c r="C743" s="3">
        <f t="shared" si="2"/>
        <v>-1.2821456129534087E-2</v>
      </c>
    </row>
    <row r="744" spans="1:3" ht="13.2" x14ac:dyDescent="0.25">
      <c r="A744" s="6">
        <v>742</v>
      </c>
      <c r="B744" s="7">
        <v>409.91000366210898</v>
      </c>
      <c r="C744" s="3">
        <f t="shared" si="2"/>
        <v>3.4523421086356969E-2</v>
      </c>
    </row>
    <row r="745" spans="1:3" ht="13.2" x14ac:dyDescent="0.25">
      <c r="A745" s="6">
        <v>743</v>
      </c>
      <c r="B745" s="7">
        <v>417.70999145507801</v>
      </c>
      <c r="C745" s="3">
        <f t="shared" si="2"/>
        <v>1.88497590463748E-2</v>
      </c>
    </row>
    <row r="746" spans="1:3" ht="13.2" x14ac:dyDescent="0.25">
      <c r="A746" s="6">
        <v>744</v>
      </c>
      <c r="B746" s="7">
        <v>415.72000122070301</v>
      </c>
      <c r="C746" s="3">
        <f t="shared" si="2"/>
        <v>-4.7754317306326231E-3</v>
      </c>
    </row>
    <row r="747" spans="1:3" ht="13.2" x14ac:dyDescent="0.25">
      <c r="A747" s="6">
        <v>745</v>
      </c>
      <c r="B747" s="7">
        <v>420.67999267578102</v>
      </c>
      <c r="C747" s="3">
        <f t="shared" si="2"/>
        <v>1.1860472584819712E-2</v>
      </c>
    </row>
    <row r="748" spans="1:3" ht="13.2" x14ac:dyDescent="0.25">
      <c r="A748" s="6">
        <v>746</v>
      </c>
      <c r="B748" s="7">
        <v>416.67001342773398</v>
      </c>
      <c r="C748" s="3">
        <f t="shared" si="2"/>
        <v>-9.5778584188587462E-3</v>
      </c>
    </row>
    <row r="749" spans="1:3" ht="13.2" x14ac:dyDescent="0.25">
      <c r="A749" s="6">
        <v>747</v>
      </c>
      <c r="B749" s="7">
        <v>413.36999511718699</v>
      </c>
      <c r="C749" s="3">
        <f t="shared" si="2"/>
        <v>-7.9515099608285858E-3</v>
      </c>
    </row>
    <row r="750" spans="1:3" ht="13.2" x14ac:dyDescent="0.25">
      <c r="A750" s="6">
        <v>748</v>
      </c>
      <c r="B750" s="7">
        <v>409.64999389648398</v>
      </c>
      <c r="C750" s="3">
        <f t="shared" si="2"/>
        <v>-9.0399421732318148E-3</v>
      </c>
    </row>
    <row r="751" spans="1:3" ht="13.2" x14ac:dyDescent="0.25">
      <c r="A751" s="6">
        <v>749</v>
      </c>
      <c r="B751" s="7">
        <v>412.510009765625</v>
      </c>
      <c r="C751" s="3">
        <f t="shared" si="2"/>
        <v>6.9573498903233565E-3</v>
      </c>
    </row>
    <row r="752" spans="1:3" ht="13.2" x14ac:dyDescent="0.25">
      <c r="A752" s="6">
        <v>750</v>
      </c>
      <c r="B752" s="7">
        <v>424.20001220703102</v>
      </c>
      <c r="C752" s="3">
        <f t="shared" si="2"/>
        <v>2.7944599328371691E-2</v>
      </c>
    </row>
    <row r="753" spans="1:3" ht="13.2" x14ac:dyDescent="0.25">
      <c r="A753" s="6">
        <v>751</v>
      </c>
      <c r="B753" s="7">
        <v>425.07000732421801</v>
      </c>
      <c r="C753" s="3">
        <f t="shared" si="2"/>
        <v>2.0488075676859114E-3</v>
      </c>
    </row>
    <row r="754" spans="1:3" ht="13.2" x14ac:dyDescent="0.25">
      <c r="A754" s="6">
        <v>752</v>
      </c>
      <c r="B754" s="7">
        <v>435.010009765625</v>
      </c>
      <c r="C754" s="3">
        <f t="shared" si="2"/>
        <v>2.3115163304534812E-2</v>
      </c>
    </row>
    <row r="755" spans="1:3" ht="13.2" x14ac:dyDescent="0.25">
      <c r="A755" s="6">
        <v>753</v>
      </c>
      <c r="B755" s="7">
        <v>435.33999633789</v>
      </c>
      <c r="C755" s="3">
        <f t="shared" si="2"/>
        <v>7.5828479522633782E-4</v>
      </c>
    </row>
    <row r="756" spans="1:3" ht="13.2" x14ac:dyDescent="0.25">
      <c r="A756" s="6">
        <v>754</v>
      </c>
      <c r="B756" s="7">
        <v>432.05999755859301</v>
      </c>
      <c r="C756" s="3">
        <f t="shared" si="2"/>
        <v>-7.5628647364121308E-3</v>
      </c>
    </row>
    <row r="757" spans="1:3" ht="13.2" x14ac:dyDescent="0.25">
      <c r="A757" s="6">
        <v>755</v>
      </c>
      <c r="B757" s="7">
        <v>430.14999389648398</v>
      </c>
      <c r="C757" s="3">
        <f t="shared" si="2"/>
        <v>-4.4304909601267112E-3</v>
      </c>
    </row>
    <row r="758" spans="1:3" ht="13.2" x14ac:dyDescent="0.25">
      <c r="A758" s="6">
        <v>756</v>
      </c>
      <c r="B758" s="7">
        <v>440.13000488281199</v>
      </c>
      <c r="C758" s="3">
        <f t="shared" si="2"/>
        <v>2.2936178035600985E-2</v>
      </c>
    </row>
    <row r="759" spans="1:3" ht="13.2" x14ac:dyDescent="0.25">
      <c r="A759" s="6">
        <v>757</v>
      </c>
      <c r="B759" s="7">
        <v>452.08999633789</v>
      </c>
      <c r="C759" s="3">
        <f t="shared" si="2"/>
        <v>2.6811118041624803E-2</v>
      </c>
    </row>
    <row r="760" spans="1:3" ht="13.2" x14ac:dyDescent="0.25">
      <c r="A760" s="6">
        <v>758</v>
      </c>
      <c r="B760" s="7">
        <v>441.04000854492102</v>
      </c>
      <c r="C760" s="3">
        <f t="shared" si="2"/>
        <v>-2.474567329940042E-2</v>
      </c>
    </row>
    <row r="761" spans="1:3" ht="13.2" x14ac:dyDescent="0.25">
      <c r="A761" s="6">
        <v>759</v>
      </c>
      <c r="B761" s="7">
        <v>445.29998779296801</v>
      </c>
      <c r="C761" s="3">
        <f t="shared" si="2"/>
        <v>9.6125912586957681E-3</v>
      </c>
    </row>
    <row r="762" spans="1:3" ht="13.2" x14ac:dyDescent="0.25">
      <c r="A762" s="6">
        <v>760</v>
      </c>
      <c r="B762" s="7">
        <v>444.54998779296801</v>
      </c>
      <c r="C762" s="3">
        <f t="shared" si="2"/>
        <v>-1.6856778067572285E-3</v>
      </c>
    </row>
    <row r="763" spans="1:3" ht="13.2" x14ac:dyDescent="0.25">
      <c r="A763" s="6">
        <v>761</v>
      </c>
      <c r="B763" s="7">
        <v>445.010009765625</v>
      </c>
      <c r="C763" s="3">
        <f t="shared" si="2"/>
        <v>1.0342686607471825E-3</v>
      </c>
    </row>
    <row r="764" spans="1:3" ht="13.2" x14ac:dyDescent="0.25">
      <c r="A764" s="6">
        <v>762</v>
      </c>
      <c r="B764" s="7">
        <v>464.97000122070301</v>
      </c>
      <c r="C764" s="3">
        <f t="shared" si="2"/>
        <v>4.3876114233811929E-2</v>
      </c>
    </row>
    <row r="765" spans="1:3" ht="13.2" x14ac:dyDescent="0.25">
      <c r="A765" s="6">
        <v>763</v>
      </c>
      <c r="B765" s="7">
        <v>464.10998535156199</v>
      </c>
      <c r="C765" s="3">
        <f t="shared" si="2"/>
        <v>-1.8513284694680113E-3</v>
      </c>
    </row>
    <row r="766" spans="1:3" ht="13.2" x14ac:dyDescent="0.25">
      <c r="A766" s="6">
        <v>764</v>
      </c>
      <c r="B766" s="7">
        <v>438.66000366210898</v>
      </c>
      <c r="C766" s="3">
        <f t="shared" si="2"/>
        <v>-5.639692765125906E-2</v>
      </c>
    </row>
    <row r="767" spans="1:3" ht="13.2" x14ac:dyDescent="0.25">
      <c r="A767" s="6">
        <v>765</v>
      </c>
      <c r="B767" s="7">
        <v>448.329986572265</v>
      </c>
      <c r="C767" s="3">
        <f t="shared" si="2"/>
        <v>2.1804904563711924E-2</v>
      </c>
    </row>
    <row r="768" spans="1:3" ht="13.2" x14ac:dyDescent="0.25">
      <c r="A768" s="6">
        <v>766</v>
      </c>
      <c r="B768" s="7">
        <v>440.30999755859301</v>
      </c>
      <c r="C768" s="3">
        <f t="shared" ref="C768:C1022" si="3">LN(B768/B767)</f>
        <v>-1.8050519698919829E-2</v>
      </c>
    </row>
    <row r="769" spans="1:3" ht="13.2" x14ac:dyDescent="0.25">
      <c r="A769" s="6">
        <v>767</v>
      </c>
      <c r="B769" s="7">
        <v>447.39999389648398</v>
      </c>
      <c r="C769" s="3">
        <f t="shared" si="3"/>
        <v>1.5974016667367301E-2</v>
      </c>
    </row>
    <row r="770" spans="1:3" ht="13.2" x14ac:dyDescent="0.25">
      <c r="A770" s="6">
        <v>768</v>
      </c>
      <c r="B770" s="7">
        <v>450.57000732421801</v>
      </c>
      <c r="C770" s="3">
        <f t="shared" si="3"/>
        <v>7.0604287272101711E-3</v>
      </c>
    </row>
    <row r="771" spans="1:3" ht="13.2" x14ac:dyDescent="0.25">
      <c r="A771" s="6">
        <v>769</v>
      </c>
      <c r="B771" s="7">
        <v>459.69000244140602</v>
      </c>
      <c r="C771" s="3">
        <f t="shared" si="3"/>
        <v>2.0038890428129362E-2</v>
      </c>
    </row>
    <row r="772" spans="1:3" ht="13.2" x14ac:dyDescent="0.25">
      <c r="A772" s="6">
        <v>770</v>
      </c>
      <c r="B772" s="7">
        <v>472.02999877929602</v>
      </c>
      <c r="C772" s="3">
        <f t="shared" si="3"/>
        <v>2.649018573253021E-2</v>
      </c>
    </row>
    <row r="773" spans="1:3" ht="13.2" x14ac:dyDescent="0.25">
      <c r="A773" s="6">
        <v>771</v>
      </c>
      <c r="B773" s="7">
        <v>470.64999389648398</v>
      </c>
      <c r="C773" s="3">
        <f t="shared" si="3"/>
        <v>-2.9278352767486116E-3</v>
      </c>
    </row>
    <row r="774" spans="1:3" ht="13.2" x14ac:dyDescent="0.25">
      <c r="A774" s="6">
        <v>772</v>
      </c>
      <c r="B774" s="7">
        <v>477.100006103515</v>
      </c>
      <c r="C774" s="3">
        <f t="shared" si="3"/>
        <v>1.3611420290048443E-2</v>
      </c>
    </row>
    <row r="775" spans="1:3" ht="13.2" x14ac:dyDescent="0.25">
      <c r="A775" s="6">
        <v>773</v>
      </c>
      <c r="B775" s="7">
        <v>473.64999389648398</v>
      </c>
      <c r="C775" s="3">
        <f t="shared" si="3"/>
        <v>-7.2574858795959327E-3</v>
      </c>
    </row>
    <row r="776" spans="1:3" ht="13.2" x14ac:dyDescent="0.25">
      <c r="A776" s="6">
        <v>774</v>
      </c>
      <c r="B776" s="7">
        <v>468.829986572265</v>
      </c>
      <c r="C776" s="3">
        <f t="shared" si="3"/>
        <v>-1.0228438686970818E-2</v>
      </c>
    </row>
    <row r="777" spans="1:3" ht="13.2" x14ac:dyDescent="0.25">
      <c r="A777" s="6">
        <v>775</v>
      </c>
      <c r="B777" s="7">
        <v>471.08999633789</v>
      </c>
      <c r="C777" s="3">
        <f t="shared" si="3"/>
        <v>4.8089500428356823E-3</v>
      </c>
    </row>
    <row r="778" spans="1:3" ht="13.2" x14ac:dyDescent="0.25">
      <c r="A778" s="6">
        <v>776</v>
      </c>
      <c r="B778" s="7">
        <v>458.26998901367102</v>
      </c>
      <c r="C778" s="3">
        <f t="shared" si="3"/>
        <v>-2.7590644698369169E-2</v>
      </c>
    </row>
    <row r="779" spans="1:3" ht="13.2" x14ac:dyDescent="0.25">
      <c r="A779" s="6">
        <v>777</v>
      </c>
      <c r="B779" s="7">
        <v>466.579986572265</v>
      </c>
      <c r="C779" s="3">
        <f t="shared" si="3"/>
        <v>1.7970960530521933E-2</v>
      </c>
    </row>
    <row r="780" spans="1:3" ht="13.2" x14ac:dyDescent="0.25">
      <c r="A780" s="6">
        <v>778</v>
      </c>
      <c r="B780" s="7">
        <v>471.010009765625</v>
      </c>
      <c r="C780" s="3">
        <f t="shared" si="3"/>
        <v>9.4498793234804729E-3</v>
      </c>
    </row>
    <row r="781" spans="1:3" ht="13.2" x14ac:dyDescent="0.25">
      <c r="A781" s="6">
        <v>779</v>
      </c>
      <c r="B781" s="7">
        <v>474.27999877929602</v>
      </c>
      <c r="C781" s="3">
        <f t="shared" si="3"/>
        <v>6.9185160691550892E-3</v>
      </c>
    </row>
    <row r="782" spans="1:3" ht="13.2" x14ac:dyDescent="0.25">
      <c r="A782" s="6">
        <v>780</v>
      </c>
      <c r="B782" s="7">
        <v>463.350006103515</v>
      </c>
      <c r="C782" s="3">
        <f t="shared" si="3"/>
        <v>-2.3315140810784934E-2</v>
      </c>
    </row>
    <row r="783" spans="1:3" ht="13.2" x14ac:dyDescent="0.25">
      <c r="A783" s="6">
        <v>781</v>
      </c>
      <c r="B783" s="7">
        <v>458.38000488281199</v>
      </c>
      <c r="C783" s="3">
        <f t="shared" si="3"/>
        <v>-1.078417612169625E-2</v>
      </c>
    </row>
    <row r="784" spans="1:3" ht="13.2" x14ac:dyDescent="0.25">
      <c r="A784" s="6">
        <v>782</v>
      </c>
      <c r="B784" s="7">
        <v>478.5</v>
      </c>
      <c r="C784" s="3">
        <f t="shared" si="3"/>
        <v>4.2957665809424735E-2</v>
      </c>
    </row>
    <row r="785" spans="1:3" ht="13.2" x14ac:dyDescent="0.25">
      <c r="A785" s="6">
        <v>783</v>
      </c>
      <c r="B785" s="7">
        <v>478.13000488281199</v>
      </c>
      <c r="C785" s="3">
        <f t="shared" si="3"/>
        <v>-7.7353863823791341E-4</v>
      </c>
    </row>
    <row r="786" spans="1:3" ht="13.2" x14ac:dyDescent="0.25">
      <c r="A786" s="6">
        <v>784</v>
      </c>
      <c r="B786" s="7">
        <v>478.95999145507801</v>
      </c>
      <c r="C786" s="3">
        <f t="shared" si="3"/>
        <v>1.7343965217500364E-3</v>
      </c>
    </row>
    <row r="787" spans="1:3" ht="13.2" x14ac:dyDescent="0.25">
      <c r="A787" s="6">
        <v>785</v>
      </c>
      <c r="B787" s="7">
        <v>475.32000732421801</v>
      </c>
      <c r="C787" s="3">
        <f t="shared" si="3"/>
        <v>-7.6287919456700841E-3</v>
      </c>
    </row>
    <row r="788" spans="1:3" ht="13.2" x14ac:dyDescent="0.25">
      <c r="A788" s="6">
        <v>786</v>
      </c>
      <c r="B788" s="7">
        <v>495.05999755859301</v>
      </c>
      <c r="C788" s="3">
        <f t="shared" si="3"/>
        <v>4.0690685581918178E-2</v>
      </c>
    </row>
    <row r="789" spans="1:3" ht="13.2" x14ac:dyDescent="0.25">
      <c r="A789" s="6">
        <v>787</v>
      </c>
      <c r="B789" s="7">
        <v>492.04000854492102</v>
      </c>
      <c r="C789" s="3">
        <f t="shared" si="3"/>
        <v>-6.1189310458713677E-3</v>
      </c>
    </row>
    <row r="790" spans="1:3" ht="13.2" x14ac:dyDescent="0.25">
      <c r="A790" s="6">
        <v>788</v>
      </c>
      <c r="B790" s="7">
        <v>492.39001464843699</v>
      </c>
      <c r="C790" s="3">
        <f t="shared" si="3"/>
        <v>7.1108379471947452E-4</v>
      </c>
    </row>
    <row r="791" spans="1:3" ht="13.2" x14ac:dyDescent="0.25">
      <c r="A791" s="6">
        <v>789</v>
      </c>
      <c r="B791" s="7">
        <v>487</v>
      </c>
      <c r="C791" s="3">
        <f t="shared" si="3"/>
        <v>-1.1006992079027535E-2</v>
      </c>
    </row>
    <row r="792" spans="1:3" ht="13.2" x14ac:dyDescent="0.25">
      <c r="A792" s="6">
        <v>790</v>
      </c>
      <c r="B792" s="7">
        <v>491.05999755859301</v>
      </c>
      <c r="C792" s="3">
        <f t="shared" si="3"/>
        <v>8.3021918671285742E-3</v>
      </c>
    </row>
    <row r="793" spans="1:3" ht="13.2" x14ac:dyDescent="0.25">
      <c r="A793" s="6">
        <v>791</v>
      </c>
      <c r="B793" s="7">
        <v>485.19000244140602</v>
      </c>
      <c r="C793" s="3">
        <f t="shared" si="3"/>
        <v>-1.2025743118066111E-2</v>
      </c>
    </row>
    <row r="794" spans="1:3" ht="13.2" x14ac:dyDescent="0.25">
      <c r="A794" s="6">
        <v>792</v>
      </c>
      <c r="B794" s="7">
        <v>470.489990234375</v>
      </c>
      <c r="C794" s="3">
        <f t="shared" si="3"/>
        <v>-3.0765887773495565E-2</v>
      </c>
    </row>
    <row r="795" spans="1:3" ht="13.2" x14ac:dyDescent="0.25">
      <c r="A795" s="6">
        <v>793</v>
      </c>
      <c r="B795" s="7">
        <v>468.39999389648398</v>
      </c>
      <c r="C795" s="3">
        <f t="shared" si="3"/>
        <v>-4.4520653651582169E-3</v>
      </c>
    </row>
    <row r="796" spans="1:3" ht="13.2" x14ac:dyDescent="0.25">
      <c r="A796" s="6">
        <v>794</v>
      </c>
      <c r="B796" s="7">
        <v>472.35998535156199</v>
      </c>
      <c r="C796" s="3">
        <f t="shared" si="3"/>
        <v>8.4187570289082289E-3</v>
      </c>
    </row>
    <row r="797" spans="1:3" ht="13.2" x14ac:dyDescent="0.25">
      <c r="A797" s="6">
        <v>795</v>
      </c>
      <c r="B797" s="7">
        <v>474.52999877929602</v>
      </c>
      <c r="C797" s="3">
        <f t="shared" si="3"/>
        <v>4.5834622038325029E-3</v>
      </c>
    </row>
    <row r="798" spans="1:3" ht="13.2" x14ac:dyDescent="0.25">
      <c r="A798" s="6">
        <v>796</v>
      </c>
      <c r="B798" s="7">
        <v>486.01998901367102</v>
      </c>
      <c r="C798" s="3">
        <f t="shared" si="3"/>
        <v>2.3924914786712832E-2</v>
      </c>
    </row>
    <row r="799" spans="1:3" ht="13.2" x14ac:dyDescent="0.25">
      <c r="A799" s="6">
        <v>797</v>
      </c>
      <c r="B799" s="7">
        <v>485.86999511718699</v>
      </c>
      <c r="C799" s="3">
        <f t="shared" si="3"/>
        <v>-3.0866435527482079E-4</v>
      </c>
    </row>
    <row r="800" spans="1:3" ht="13.2" x14ac:dyDescent="0.25">
      <c r="A800" s="6">
        <v>798</v>
      </c>
      <c r="B800" s="7">
        <v>488.41000366210898</v>
      </c>
      <c r="C800" s="3">
        <f t="shared" si="3"/>
        <v>5.2141361882592479E-3</v>
      </c>
    </row>
    <row r="801" spans="1:3" ht="13.2" x14ac:dyDescent="0.25">
      <c r="A801" s="6">
        <v>799</v>
      </c>
      <c r="B801" s="7">
        <v>478.26998901367102</v>
      </c>
      <c r="C801" s="3">
        <f t="shared" si="3"/>
        <v>-2.0979820938193457E-2</v>
      </c>
    </row>
    <row r="802" spans="1:3" ht="13.2" x14ac:dyDescent="0.25">
      <c r="A802" s="6">
        <v>800</v>
      </c>
      <c r="B802" s="7">
        <v>488.14001464843699</v>
      </c>
      <c r="C802" s="3">
        <f t="shared" si="3"/>
        <v>2.0426876356781996E-2</v>
      </c>
    </row>
    <row r="803" spans="1:3" ht="13.2" x14ac:dyDescent="0.25">
      <c r="A803" s="6">
        <v>801</v>
      </c>
      <c r="B803" s="7">
        <v>472.82000732421801</v>
      </c>
      <c r="C803" s="3">
        <f t="shared" si="3"/>
        <v>-3.1887498091873717E-2</v>
      </c>
    </row>
    <row r="804" spans="1:3" ht="13.2" x14ac:dyDescent="0.25">
      <c r="A804" s="6">
        <v>802</v>
      </c>
      <c r="B804" s="7">
        <v>469.100006103515</v>
      </c>
      <c r="C804" s="3">
        <f t="shared" si="3"/>
        <v>-7.8988035266218479E-3</v>
      </c>
    </row>
    <row r="805" spans="1:3" ht="13.2" x14ac:dyDescent="0.25">
      <c r="A805" s="6">
        <v>803</v>
      </c>
      <c r="B805" s="7">
        <v>454.010009765625</v>
      </c>
      <c r="C805" s="3">
        <f t="shared" si="3"/>
        <v>-3.2696732605328342E-2</v>
      </c>
    </row>
    <row r="806" spans="1:3" ht="13.2" x14ac:dyDescent="0.25">
      <c r="A806" s="6">
        <v>804</v>
      </c>
      <c r="B806" s="7">
        <v>471.48001098632801</v>
      </c>
      <c r="C806" s="3">
        <f t="shared" si="3"/>
        <v>3.7757460919957499E-2</v>
      </c>
    </row>
    <row r="807" spans="1:3" ht="13.2" x14ac:dyDescent="0.25">
      <c r="A807" s="6">
        <v>805</v>
      </c>
      <c r="B807" s="7">
        <v>471.86999511718699</v>
      </c>
      <c r="C807" s="3">
        <f t="shared" si="3"/>
        <v>8.2680691270924902E-4</v>
      </c>
    </row>
    <row r="808" spans="1:3" ht="13.2" x14ac:dyDescent="0.25">
      <c r="A808" s="6">
        <v>806</v>
      </c>
      <c r="B808" s="7">
        <v>474.600006103515</v>
      </c>
      <c r="C808" s="3">
        <f t="shared" si="3"/>
        <v>5.7688432891302901E-3</v>
      </c>
    </row>
    <row r="809" spans="1:3" ht="13.2" x14ac:dyDescent="0.25">
      <c r="A809" s="6">
        <v>807</v>
      </c>
      <c r="B809" s="7">
        <v>484.48001098632801</v>
      </c>
      <c r="C809" s="3">
        <f t="shared" si="3"/>
        <v>2.0603816623566584E-2</v>
      </c>
    </row>
    <row r="810" spans="1:3" ht="13.2" x14ac:dyDescent="0.25">
      <c r="A810" s="6">
        <v>808</v>
      </c>
      <c r="B810" s="7">
        <v>492.05999755859301</v>
      </c>
      <c r="C810" s="3">
        <f t="shared" si="3"/>
        <v>1.5524481829205962E-2</v>
      </c>
    </row>
    <row r="811" spans="1:3" ht="13.2" x14ac:dyDescent="0.25">
      <c r="A811" s="6">
        <v>809</v>
      </c>
      <c r="B811" s="7">
        <v>496.05999755859301</v>
      </c>
      <c r="C811" s="3">
        <f t="shared" si="3"/>
        <v>8.0962269144889635E-3</v>
      </c>
    </row>
    <row r="812" spans="1:3" ht="13.2" x14ac:dyDescent="0.25">
      <c r="A812" s="6">
        <v>810</v>
      </c>
      <c r="B812" s="7">
        <v>497</v>
      </c>
      <c r="C812" s="3">
        <f t="shared" si="3"/>
        <v>1.8931438673692048E-3</v>
      </c>
    </row>
    <row r="813" spans="1:3" ht="13.2" x14ac:dyDescent="0.25">
      <c r="A813" s="6">
        <v>811</v>
      </c>
      <c r="B813" s="7">
        <v>497.989990234375</v>
      </c>
      <c r="C813" s="3">
        <f t="shared" si="3"/>
        <v>1.9899507950440903E-3</v>
      </c>
    </row>
    <row r="814" spans="1:3" ht="13.2" x14ac:dyDescent="0.25">
      <c r="A814" s="6">
        <v>812</v>
      </c>
      <c r="B814" s="7">
        <v>507.20001220703102</v>
      </c>
      <c r="C814" s="3">
        <f t="shared" si="3"/>
        <v>1.8325450298833389E-2</v>
      </c>
    </row>
    <row r="815" spans="1:3" ht="13.2" x14ac:dyDescent="0.25">
      <c r="A815" s="6">
        <v>813</v>
      </c>
      <c r="B815" s="7">
        <v>510.010009765625</v>
      </c>
      <c r="C815" s="3">
        <f t="shared" si="3"/>
        <v>5.5249253266799851E-3</v>
      </c>
    </row>
    <row r="816" spans="1:3" ht="13.2" x14ac:dyDescent="0.25">
      <c r="A816" s="6">
        <v>814</v>
      </c>
      <c r="B816" s="7">
        <v>527.28997802734295</v>
      </c>
      <c r="C816" s="3">
        <f t="shared" si="3"/>
        <v>3.3320287632175483E-2</v>
      </c>
    </row>
    <row r="817" spans="1:3" ht="13.2" x14ac:dyDescent="0.25">
      <c r="A817" s="6">
        <v>815</v>
      </c>
      <c r="B817" s="7">
        <v>511.010009765625</v>
      </c>
      <c r="C817" s="3">
        <f t="shared" si="3"/>
        <v>-3.1361461555074473E-2</v>
      </c>
    </row>
    <row r="818" spans="1:3" ht="13.2" x14ac:dyDescent="0.25">
      <c r="A818" s="6">
        <v>816</v>
      </c>
      <c r="B818" s="7">
        <v>519.219970703125</v>
      </c>
      <c r="C818" s="3">
        <f t="shared" si="3"/>
        <v>1.5938450430135784E-2</v>
      </c>
    </row>
    <row r="819" spans="1:3" ht="13.2" x14ac:dyDescent="0.25">
      <c r="A819" s="6">
        <v>817</v>
      </c>
      <c r="B819" s="7">
        <v>528.65002441406205</v>
      </c>
      <c r="C819" s="3">
        <f t="shared" si="3"/>
        <v>1.7999004336012748E-2</v>
      </c>
    </row>
    <row r="820" spans="1:3" ht="13.2" x14ac:dyDescent="0.25">
      <c r="A820" s="6">
        <v>818</v>
      </c>
      <c r="B820" s="7">
        <v>537.719970703125</v>
      </c>
      <c r="C820" s="3">
        <f t="shared" si="3"/>
        <v>1.7011290742101171E-2</v>
      </c>
    </row>
    <row r="821" spans="1:3" ht="13.2" x14ac:dyDescent="0.25">
      <c r="A821" s="6">
        <v>819</v>
      </c>
      <c r="B821" s="7">
        <v>544.19000244140602</v>
      </c>
      <c r="C821" s="3">
        <f t="shared" si="3"/>
        <v>1.1960530966880625E-2</v>
      </c>
    </row>
    <row r="822" spans="1:3" ht="13.2" x14ac:dyDescent="0.25">
      <c r="A822" s="6">
        <v>820</v>
      </c>
      <c r="B822" s="7">
        <v>550.40997314453102</v>
      </c>
      <c r="C822" s="3">
        <f t="shared" si="3"/>
        <v>1.1364951197565901E-2</v>
      </c>
    </row>
    <row r="823" spans="1:3" ht="13.2" x14ac:dyDescent="0.25">
      <c r="A823" s="6">
        <v>821</v>
      </c>
      <c r="B823" s="7">
        <v>544.61999511718705</v>
      </c>
      <c r="C823" s="3">
        <f t="shared" si="3"/>
        <v>-1.057511146593354E-2</v>
      </c>
    </row>
    <row r="824" spans="1:3" ht="13.2" x14ac:dyDescent="0.25">
      <c r="A824" s="6">
        <v>822</v>
      </c>
      <c r="B824" s="7">
        <v>545.510009765625</v>
      </c>
      <c r="C824" s="3">
        <f t="shared" si="3"/>
        <v>1.632860011558643E-3</v>
      </c>
    </row>
    <row r="825" spans="1:3" ht="13.2" x14ac:dyDescent="0.25">
      <c r="A825" s="6">
        <v>823</v>
      </c>
      <c r="B825" s="7">
        <v>527.010009765625</v>
      </c>
      <c r="C825" s="3">
        <f t="shared" si="3"/>
        <v>-3.4501612588961325E-2</v>
      </c>
    </row>
    <row r="826" spans="1:3" ht="13.2" x14ac:dyDescent="0.25">
      <c r="A826" s="6">
        <v>824</v>
      </c>
      <c r="B826" s="7">
        <v>513</v>
      </c>
      <c r="C826" s="3">
        <f t="shared" si="3"/>
        <v>-2.6943697052877698E-2</v>
      </c>
    </row>
    <row r="827" spans="1:3" ht="13.2" x14ac:dyDescent="0.25">
      <c r="A827" s="6">
        <v>825</v>
      </c>
      <c r="B827" s="7">
        <v>510.23001098632801</v>
      </c>
      <c r="C827" s="3">
        <f t="shared" si="3"/>
        <v>-5.4142191892258369E-3</v>
      </c>
    </row>
    <row r="828" spans="1:3" ht="13.2" x14ac:dyDescent="0.25">
      <c r="A828" s="6">
        <v>826</v>
      </c>
      <c r="B828" s="7">
        <v>513.65997314453102</v>
      </c>
      <c r="C828" s="3">
        <f t="shared" si="3"/>
        <v>6.6998897183262922E-3</v>
      </c>
    </row>
    <row r="829" spans="1:3" ht="13.2" x14ac:dyDescent="0.25">
      <c r="A829" s="6">
        <v>827</v>
      </c>
      <c r="B829" s="7">
        <v>511.01998901367102</v>
      </c>
      <c r="C829" s="3">
        <f t="shared" si="3"/>
        <v>-5.1528088176496338E-3</v>
      </c>
    </row>
    <row r="830" spans="1:3" ht="13.2" x14ac:dyDescent="0.25">
      <c r="A830" s="6">
        <v>828</v>
      </c>
      <c r="B830" s="7">
        <v>516.20001220703102</v>
      </c>
      <c r="C830" s="3">
        <f t="shared" si="3"/>
        <v>1.0085604050163942E-2</v>
      </c>
    </row>
    <row r="831" spans="1:3" ht="13.2" x14ac:dyDescent="0.25">
      <c r="A831" s="6">
        <v>829</v>
      </c>
      <c r="B831" s="7">
        <v>506.010009765625</v>
      </c>
      <c r="C831" s="3">
        <f t="shared" si="3"/>
        <v>-1.9937859695078851E-2</v>
      </c>
    </row>
    <row r="832" spans="1:3" ht="13.2" x14ac:dyDescent="0.25">
      <c r="A832" s="6">
        <v>830</v>
      </c>
      <c r="B832" s="7">
        <v>505.27999877929602</v>
      </c>
      <c r="C832" s="3">
        <f t="shared" si="3"/>
        <v>-1.4437225859243146E-3</v>
      </c>
    </row>
    <row r="833" spans="1:3" ht="13.2" x14ac:dyDescent="0.25">
      <c r="A833" s="6">
        <v>831</v>
      </c>
      <c r="B833" s="7">
        <v>506.70001220703102</v>
      </c>
      <c r="C833" s="3">
        <f t="shared" si="3"/>
        <v>2.8064079217220571E-3</v>
      </c>
    </row>
    <row r="834" spans="1:3" ht="13.2" x14ac:dyDescent="0.25">
      <c r="A834" s="6">
        <v>832</v>
      </c>
      <c r="B834" s="7">
        <v>501.92999267578102</v>
      </c>
      <c r="C834" s="3">
        <f t="shared" si="3"/>
        <v>-9.4584834275340361E-3</v>
      </c>
    </row>
    <row r="835" spans="1:3" ht="13.2" x14ac:dyDescent="0.25">
      <c r="A835" s="6">
        <v>833</v>
      </c>
      <c r="B835" s="7">
        <v>517.94000244140602</v>
      </c>
      <c r="C835" s="3">
        <f t="shared" si="3"/>
        <v>3.1398757002942874E-2</v>
      </c>
    </row>
    <row r="836" spans="1:3" ht="13.2" x14ac:dyDescent="0.25">
      <c r="A836" s="6">
        <v>834</v>
      </c>
      <c r="B836" s="7">
        <v>509.22000122070301</v>
      </c>
      <c r="C836" s="3">
        <f t="shared" si="3"/>
        <v>-1.6979264541669911E-2</v>
      </c>
    </row>
    <row r="837" spans="1:3" ht="13.2" x14ac:dyDescent="0.25">
      <c r="A837" s="6">
        <v>835</v>
      </c>
      <c r="B837" s="7">
        <v>514.989990234375</v>
      </c>
      <c r="C837" s="3">
        <f t="shared" si="3"/>
        <v>1.1267318429897101E-2</v>
      </c>
    </row>
    <row r="838" spans="1:3" ht="13.2" x14ac:dyDescent="0.25">
      <c r="A838" s="6">
        <v>836</v>
      </c>
      <c r="B838" s="7">
        <v>512.61999511718705</v>
      </c>
      <c r="C838" s="3">
        <f t="shared" si="3"/>
        <v>-4.6126436158987474E-3</v>
      </c>
    </row>
    <row r="839" spans="1:3" ht="13.2" x14ac:dyDescent="0.25">
      <c r="A839" s="6">
        <v>837</v>
      </c>
      <c r="B839" s="7">
        <v>515.80999755859295</v>
      </c>
      <c r="C839" s="3">
        <f t="shared" si="3"/>
        <v>6.2036554647610523E-3</v>
      </c>
    </row>
    <row r="840" spans="1:3" ht="13.2" x14ac:dyDescent="0.25">
      <c r="A840" s="6">
        <v>838</v>
      </c>
      <c r="B840" s="7">
        <v>508</v>
      </c>
      <c r="C840" s="3">
        <f t="shared" si="3"/>
        <v>-1.5257028307119849E-2</v>
      </c>
    </row>
    <row r="841" spans="1:3" ht="13.2" x14ac:dyDescent="0.25">
      <c r="A841" s="6">
        <v>839</v>
      </c>
      <c r="B841" s="7">
        <v>516.90002441406205</v>
      </c>
      <c r="C841" s="3">
        <f t="shared" si="3"/>
        <v>1.7368031855203424E-2</v>
      </c>
    </row>
    <row r="842" spans="1:3" ht="13.2" x14ac:dyDescent="0.25">
      <c r="A842" s="6">
        <v>840</v>
      </c>
      <c r="B842" s="7">
        <v>512.53997802734295</v>
      </c>
      <c r="C842" s="3">
        <f t="shared" si="3"/>
        <v>-8.4707655564139981E-3</v>
      </c>
    </row>
    <row r="843" spans="1:3" ht="13.2" x14ac:dyDescent="0.25">
      <c r="A843" s="6">
        <v>841</v>
      </c>
      <c r="B843" s="7">
        <v>516.010009765625</v>
      </c>
      <c r="C843" s="3">
        <f t="shared" si="3"/>
        <v>6.7474501867288575E-3</v>
      </c>
    </row>
    <row r="844" spans="1:3" ht="13.2" x14ac:dyDescent="0.25">
      <c r="A844" s="6">
        <v>842</v>
      </c>
      <c r="B844" s="7">
        <v>518.35998535156205</v>
      </c>
      <c r="C844" s="3">
        <f t="shared" si="3"/>
        <v>4.5437892440151765E-3</v>
      </c>
    </row>
    <row r="845" spans="1:3" ht="13.2" x14ac:dyDescent="0.25">
      <c r="A845" s="6">
        <v>843</v>
      </c>
      <c r="B845" s="7">
        <v>520</v>
      </c>
      <c r="C845" s="3">
        <f t="shared" si="3"/>
        <v>3.1588582674578975E-3</v>
      </c>
    </row>
    <row r="846" spans="1:3" ht="13.2" x14ac:dyDescent="0.25">
      <c r="A846" s="6">
        <v>844</v>
      </c>
      <c r="B846" s="7">
        <v>523.85998535156205</v>
      </c>
      <c r="C846" s="3">
        <f t="shared" si="3"/>
        <v>7.3956335127927922E-3</v>
      </c>
    </row>
    <row r="847" spans="1:3" ht="13.2" x14ac:dyDescent="0.25">
      <c r="A847" s="6">
        <v>845</v>
      </c>
      <c r="B847" s="7">
        <v>525.28997802734295</v>
      </c>
      <c r="C847" s="3">
        <f t="shared" si="3"/>
        <v>2.7260041199639118E-3</v>
      </c>
    </row>
    <row r="848" spans="1:3" ht="13.2" x14ac:dyDescent="0.25">
      <c r="A848" s="6">
        <v>846</v>
      </c>
      <c r="B848" s="7">
        <v>527.65002441406205</v>
      </c>
      <c r="C848" s="3">
        <f t="shared" si="3"/>
        <v>4.4827821782931973E-3</v>
      </c>
    </row>
    <row r="849" spans="1:3" ht="13.2" x14ac:dyDescent="0.25">
      <c r="A849" s="6">
        <v>847</v>
      </c>
      <c r="B849" s="7">
        <v>540.5</v>
      </c>
      <c r="C849" s="3">
        <f t="shared" si="3"/>
        <v>2.4061405692739908E-2</v>
      </c>
    </row>
    <row r="850" spans="1:3" ht="13.2" x14ac:dyDescent="0.25">
      <c r="A850" s="6">
        <v>848</v>
      </c>
      <c r="B850" s="7">
        <v>541.58001708984295</v>
      </c>
      <c r="C850" s="3">
        <f t="shared" si="3"/>
        <v>1.996187770627387E-3</v>
      </c>
    </row>
    <row r="851" spans="1:3" ht="13.2" x14ac:dyDescent="0.25">
      <c r="A851" s="6">
        <v>849</v>
      </c>
      <c r="B851" s="7">
        <v>542.41998291015602</v>
      </c>
      <c r="C851" s="3">
        <f t="shared" si="3"/>
        <v>1.5497527461763524E-3</v>
      </c>
    </row>
    <row r="852" spans="1:3" ht="13.2" x14ac:dyDescent="0.25">
      <c r="A852" s="6">
        <v>850</v>
      </c>
      <c r="B852" s="7">
        <v>544.05999755859295</v>
      </c>
      <c r="C852" s="3">
        <f t="shared" si="3"/>
        <v>3.0189528081883809E-3</v>
      </c>
    </row>
    <row r="853" spans="1:3" ht="13.2" x14ac:dyDescent="0.25">
      <c r="A853" s="6">
        <v>851</v>
      </c>
      <c r="B853" s="7">
        <v>549.32000732421795</v>
      </c>
      <c r="C853" s="3">
        <f t="shared" si="3"/>
        <v>9.6216325910706141E-3</v>
      </c>
    </row>
    <row r="854" spans="1:3" ht="13.2" x14ac:dyDescent="0.25">
      <c r="A854" s="6">
        <v>852</v>
      </c>
      <c r="B854" s="7">
        <v>544.95001220703102</v>
      </c>
      <c r="C854" s="3">
        <f t="shared" si="3"/>
        <v>-7.9870932597282014E-3</v>
      </c>
    </row>
    <row r="855" spans="1:3" ht="13.2" x14ac:dyDescent="0.25">
      <c r="A855" s="6">
        <v>853</v>
      </c>
      <c r="B855" s="7">
        <v>544.84997558593705</v>
      </c>
      <c r="C855" s="3">
        <f t="shared" si="3"/>
        <v>-1.8358712148186114E-4</v>
      </c>
    </row>
    <row r="856" spans="1:3" ht="13.2" x14ac:dyDescent="0.25">
      <c r="A856" s="6">
        <v>854</v>
      </c>
      <c r="B856" s="7">
        <v>547.59997558593705</v>
      </c>
      <c r="C856" s="3">
        <f t="shared" si="3"/>
        <v>5.0345662164244988E-3</v>
      </c>
    </row>
    <row r="857" spans="1:3" ht="13.2" x14ac:dyDescent="0.25">
      <c r="A857" s="6">
        <v>855</v>
      </c>
      <c r="B857" s="7">
        <v>546.969970703125</v>
      </c>
      <c r="C857" s="3">
        <f t="shared" si="3"/>
        <v>-1.1511460816518982E-3</v>
      </c>
    </row>
    <row r="858" spans="1:3" ht="13.2" x14ac:dyDescent="0.25">
      <c r="A858" s="6">
        <v>856</v>
      </c>
      <c r="B858" s="7">
        <v>543.030029296875</v>
      </c>
      <c r="C858" s="3">
        <f t="shared" si="3"/>
        <v>-7.2292817715699049E-3</v>
      </c>
    </row>
    <row r="859" spans="1:3" ht="13.2" x14ac:dyDescent="0.25">
      <c r="A859" s="6">
        <v>857</v>
      </c>
      <c r="B859" s="7">
        <v>536.64001464843705</v>
      </c>
      <c r="C859" s="3">
        <f t="shared" si="3"/>
        <v>-1.1837115045894015E-2</v>
      </c>
    </row>
    <row r="860" spans="1:3" ht="13.2" x14ac:dyDescent="0.25">
      <c r="A860" s="6">
        <v>858</v>
      </c>
      <c r="B860" s="7">
        <v>531.19000244140602</v>
      </c>
      <c r="C860" s="3">
        <f t="shared" si="3"/>
        <v>-1.0207728651496354E-2</v>
      </c>
    </row>
    <row r="861" spans="1:3" ht="13.2" x14ac:dyDescent="0.25">
      <c r="A861" s="6">
        <v>859</v>
      </c>
      <c r="B861" s="7">
        <v>536.03997802734295</v>
      </c>
      <c r="C861" s="3">
        <f t="shared" si="3"/>
        <v>9.0889668813946244E-3</v>
      </c>
    </row>
    <row r="862" spans="1:3" ht="13.2" x14ac:dyDescent="0.25">
      <c r="A862" s="6">
        <v>860</v>
      </c>
      <c r="B862" s="7">
        <v>541.969970703125</v>
      </c>
      <c r="C862" s="3">
        <f t="shared" si="3"/>
        <v>1.100185113665123E-2</v>
      </c>
    </row>
    <row r="863" spans="1:3" ht="13.2" x14ac:dyDescent="0.25">
      <c r="A863" s="6">
        <v>861</v>
      </c>
      <c r="B863" s="7">
        <v>545.34002685546795</v>
      </c>
      <c r="C863" s="3">
        <f t="shared" si="3"/>
        <v>6.1989073061251548E-3</v>
      </c>
    </row>
    <row r="864" spans="1:3" ht="13.2" x14ac:dyDescent="0.25">
      <c r="A864" s="6">
        <v>862</v>
      </c>
      <c r="B864" s="7">
        <v>556.280029296875</v>
      </c>
      <c r="C864" s="3">
        <f t="shared" si="3"/>
        <v>1.9862314672008798E-2</v>
      </c>
    </row>
    <row r="865" spans="1:3" ht="13.2" x14ac:dyDescent="0.25">
      <c r="A865" s="6">
        <v>863</v>
      </c>
      <c r="B865" s="7">
        <v>557.60998535156205</v>
      </c>
      <c r="C865" s="3">
        <f t="shared" si="3"/>
        <v>2.3879497422215333E-3</v>
      </c>
    </row>
    <row r="866" spans="1:3" ht="13.2" x14ac:dyDescent="0.25">
      <c r="A866" s="6">
        <v>864</v>
      </c>
      <c r="B866" s="7">
        <v>564.65002441406205</v>
      </c>
      <c r="C866" s="3">
        <f t="shared" si="3"/>
        <v>1.2546346388862628E-2</v>
      </c>
    </row>
    <row r="867" spans="1:3" ht="13.2" x14ac:dyDescent="0.25">
      <c r="A867" s="6">
        <v>865</v>
      </c>
      <c r="B867" s="7">
        <v>562.28997802734295</v>
      </c>
      <c r="C867" s="3">
        <f t="shared" si="3"/>
        <v>-4.1884214452796095E-3</v>
      </c>
    </row>
    <row r="868" spans="1:3" ht="13.2" x14ac:dyDescent="0.25">
      <c r="A868" s="6">
        <v>866</v>
      </c>
      <c r="B868" s="7">
        <v>551.20001220703102</v>
      </c>
      <c r="C868" s="3">
        <f t="shared" si="3"/>
        <v>-1.991995011618115E-2</v>
      </c>
    </row>
    <row r="869" spans="1:3" ht="13.2" x14ac:dyDescent="0.25">
      <c r="A869" s="6">
        <v>867</v>
      </c>
      <c r="B869" s="7">
        <v>552.09997558593705</v>
      </c>
      <c r="C869" s="3">
        <f t="shared" si="3"/>
        <v>1.6314032239026564E-3</v>
      </c>
    </row>
    <row r="870" spans="1:3" ht="13.2" x14ac:dyDescent="0.25">
      <c r="A870" s="6">
        <v>868</v>
      </c>
      <c r="B870" s="7">
        <v>559.84002685546795</v>
      </c>
      <c r="C870" s="3">
        <f t="shared" si="3"/>
        <v>1.392193151964125E-2</v>
      </c>
    </row>
    <row r="871" spans="1:3" ht="13.2" x14ac:dyDescent="0.25">
      <c r="A871" s="6">
        <v>869</v>
      </c>
      <c r="B871" s="7">
        <v>556.22998046875</v>
      </c>
      <c r="C871" s="3">
        <f t="shared" si="3"/>
        <v>-6.4692339250261742E-3</v>
      </c>
    </row>
    <row r="872" spans="1:3" ht="13.2" x14ac:dyDescent="0.25">
      <c r="A872" s="6">
        <v>870</v>
      </c>
      <c r="B872" s="7">
        <v>567.5</v>
      </c>
      <c r="C872" s="3">
        <f t="shared" si="3"/>
        <v>2.0058906691308821E-2</v>
      </c>
    </row>
    <row r="873" spans="1:3" ht="13.2" x14ac:dyDescent="0.25">
      <c r="A873" s="6">
        <v>871</v>
      </c>
      <c r="B873" s="7">
        <v>559.989990234375</v>
      </c>
      <c r="C873" s="3">
        <f t="shared" si="3"/>
        <v>-1.332184036758823E-2</v>
      </c>
    </row>
    <row r="874" spans="1:3" ht="13.2" x14ac:dyDescent="0.25">
      <c r="A874" s="6">
        <v>872</v>
      </c>
      <c r="B874" s="7">
        <v>552</v>
      </c>
      <c r="C874" s="3">
        <f t="shared" si="3"/>
        <v>-1.4370862710874158E-2</v>
      </c>
    </row>
    <row r="875" spans="1:3" ht="13.2" x14ac:dyDescent="0.25">
      <c r="A875" s="6">
        <v>873</v>
      </c>
      <c r="B875" s="7">
        <v>549.32000732421795</v>
      </c>
      <c r="C875" s="3">
        <f t="shared" si="3"/>
        <v>-4.8668832817695849E-3</v>
      </c>
    </row>
    <row r="876" spans="1:3" ht="13.2" x14ac:dyDescent="0.25">
      <c r="A876" s="6">
        <v>874</v>
      </c>
      <c r="B876" s="7">
        <v>549.94000244140602</v>
      </c>
      <c r="C876" s="3">
        <f t="shared" si="3"/>
        <v>1.1280228106582686E-3</v>
      </c>
    </row>
    <row r="877" spans="1:3" ht="13.2" x14ac:dyDescent="0.25">
      <c r="A877" s="6">
        <v>875</v>
      </c>
      <c r="B877" s="7">
        <v>548.28997802734295</v>
      </c>
      <c r="C877" s="3">
        <f t="shared" si="3"/>
        <v>-3.0048818279533097E-3</v>
      </c>
    </row>
    <row r="878" spans="1:3" ht="13.2" x14ac:dyDescent="0.25">
      <c r="A878" s="6">
        <v>876</v>
      </c>
      <c r="B878" s="7">
        <v>536.39001464843705</v>
      </c>
      <c r="C878" s="3">
        <f t="shared" si="3"/>
        <v>-2.1942768238861529E-2</v>
      </c>
    </row>
    <row r="879" spans="1:3" ht="13.2" x14ac:dyDescent="0.25">
      <c r="A879" s="6">
        <v>877</v>
      </c>
      <c r="B879" s="7">
        <v>541.19000244140602</v>
      </c>
      <c r="C879" s="3">
        <f t="shared" si="3"/>
        <v>8.9088874404326876E-3</v>
      </c>
    </row>
    <row r="880" spans="1:3" ht="13.2" x14ac:dyDescent="0.25">
      <c r="A880" s="6">
        <v>878</v>
      </c>
      <c r="B880" s="7">
        <v>533.989990234375</v>
      </c>
      <c r="C880" s="3">
        <f t="shared" si="3"/>
        <v>-1.3393329274541895E-2</v>
      </c>
    </row>
    <row r="881" spans="1:3" ht="13.2" x14ac:dyDescent="0.25">
      <c r="A881" s="6">
        <v>879</v>
      </c>
      <c r="B881" s="7">
        <v>510.11999511718699</v>
      </c>
      <c r="C881" s="3">
        <f t="shared" si="3"/>
        <v>-4.5731111318251798E-2</v>
      </c>
    </row>
    <row r="882" spans="1:3" ht="13.2" x14ac:dyDescent="0.25">
      <c r="A882" s="6">
        <v>880</v>
      </c>
      <c r="B882" s="7">
        <v>510.5</v>
      </c>
      <c r="C882" s="3">
        <f t="shared" si="3"/>
        <v>7.4465501791220491E-4</v>
      </c>
    </row>
    <row r="883" spans="1:3" ht="13.2" x14ac:dyDescent="0.25">
      <c r="A883" s="6">
        <v>881</v>
      </c>
      <c r="B883" s="7">
        <v>507.079986572265</v>
      </c>
      <c r="C883" s="3">
        <f t="shared" si="3"/>
        <v>-6.7218820147007061E-3</v>
      </c>
    </row>
    <row r="884" spans="1:3" ht="13.2" x14ac:dyDescent="0.25">
      <c r="A884" s="6">
        <v>882</v>
      </c>
      <c r="B884" s="7">
        <v>495.83999633789</v>
      </c>
      <c r="C884" s="3">
        <f t="shared" si="3"/>
        <v>-2.2415468936250186E-2</v>
      </c>
    </row>
    <row r="885" spans="1:3" ht="13.2" x14ac:dyDescent="0.25">
      <c r="A885" s="6">
        <v>883</v>
      </c>
      <c r="B885" s="7">
        <v>512.45001220703102</v>
      </c>
      <c r="C885" s="3">
        <f t="shared" si="3"/>
        <v>3.294988244472348E-2</v>
      </c>
    </row>
    <row r="886" spans="1:3" ht="13.2" x14ac:dyDescent="0.25">
      <c r="A886" s="6">
        <v>884</v>
      </c>
      <c r="B886" s="7">
        <v>515.07000732421795</v>
      </c>
      <c r="C886" s="3">
        <f t="shared" si="3"/>
        <v>5.0996588785871553E-3</v>
      </c>
    </row>
    <row r="887" spans="1:3" ht="13.2" x14ac:dyDescent="0.25">
      <c r="A887" s="6">
        <v>885</v>
      </c>
      <c r="B887" s="7">
        <v>518.16998291015602</v>
      </c>
      <c r="C887" s="3">
        <f t="shared" si="3"/>
        <v>6.0005127884099748E-3</v>
      </c>
    </row>
    <row r="888" spans="1:3" ht="13.2" x14ac:dyDescent="0.25">
      <c r="A888" s="6">
        <v>886</v>
      </c>
      <c r="B888" s="7">
        <v>510.76998901367102</v>
      </c>
      <c r="C888" s="3">
        <f t="shared" si="3"/>
        <v>-1.4383971242931467E-2</v>
      </c>
    </row>
    <row r="889" spans="1:3" ht="13.2" x14ac:dyDescent="0.25">
      <c r="A889" s="6">
        <v>887</v>
      </c>
      <c r="B889" s="7">
        <v>498.100006103515</v>
      </c>
      <c r="C889" s="3">
        <f t="shared" si="3"/>
        <v>-2.5118497189726998E-2</v>
      </c>
    </row>
    <row r="890" spans="1:3" ht="13.2" x14ac:dyDescent="0.25">
      <c r="A890" s="6">
        <v>888</v>
      </c>
      <c r="B890" s="7">
        <v>500.38000488281199</v>
      </c>
      <c r="C890" s="3">
        <f t="shared" si="3"/>
        <v>4.5669471938101476E-3</v>
      </c>
    </row>
    <row r="891" spans="1:3" ht="13.2" x14ac:dyDescent="0.25">
      <c r="A891" s="6">
        <v>889</v>
      </c>
      <c r="B891" s="7">
        <v>499.48001098632801</v>
      </c>
      <c r="C891" s="3">
        <f t="shared" si="3"/>
        <v>-1.8002402841659321E-3</v>
      </c>
    </row>
    <row r="892" spans="1:3" ht="13.2" x14ac:dyDescent="0.25">
      <c r="A892" s="6">
        <v>890</v>
      </c>
      <c r="B892" s="7">
        <v>507.39999389648398</v>
      </c>
      <c r="C892" s="3">
        <f t="shared" si="3"/>
        <v>1.5732055893703099E-2</v>
      </c>
    </row>
    <row r="893" spans="1:3" ht="13.2" x14ac:dyDescent="0.25">
      <c r="A893" s="6">
        <v>891</v>
      </c>
      <c r="B893" s="7">
        <v>509.14001464843699</v>
      </c>
      <c r="C893" s="3">
        <f t="shared" si="3"/>
        <v>3.4234214821249136E-3</v>
      </c>
    </row>
    <row r="894" spans="1:3" ht="13.2" x14ac:dyDescent="0.25">
      <c r="A894" s="6">
        <v>892</v>
      </c>
      <c r="B894" s="7">
        <v>501.88000488281199</v>
      </c>
      <c r="C894" s="3">
        <f t="shared" si="3"/>
        <v>-1.4361999597761882E-2</v>
      </c>
    </row>
    <row r="895" spans="1:3" ht="13.2" x14ac:dyDescent="0.25">
      <c r="A895" s="6">
        <v>893</v>
      </c>
      <c r="B895" s="7">
        <v>503.79000854492102</v>
      </c>
      <c r="C895" s="3">
        <f t="shared" si="3"/>
        <v>3.7984745157599057E-3</v>
      </c>
    </row>
    <row r="896" spans="1:3" ht="13.2" x14ac:dyDescent="0.25">
      <c r="A896" s="6">
        <v>894</v>
      </c>
      <c r="B896" s="7">
        <v>508.42001342773398</v>
      </c>
      <c r="C896" s="3">
        <f t="shared" si="3"/>
        <v>9.1483725190147584E-3</v>
      </c>
    </row>
    <row r="897" spans="1:3" ht="13.2" x14ac:dyDescent="0.25">
      <c r="A897" s="6">
        <v>895</v>
      </c>
      <c r="B897" s="7">
        <v>513.69000244140602</v>
      </c>
      <c r="C897" s="3">
        <f t="shared" si="3"/>
        <v>1.0312071366356507E-2</v>
      </c>
    </row>
    <row r="898" spans="1:3" ht="13.2" x14ac:dyDescent="0.25">
      <c r="A898" s="6">
        <v>896</v>
      </c>
      <c r="B898" s="7">
        <v>514.08001708984295</v>
      </c>
      <c r="C898" s="3">
        <f t="shared" si="3"/>
        <v>7.5895318942232649E-4</v>
      </c>
    </row>
    <row r="899" spans="1:3" ht="13.2" x14ac:dyDescent="0.25">
      <c r="A899" s="6">
        <v>897</v>
      </c>
      <c r="B899" s="7">
        <v>514.02001953125</v>
      </c>
      <c r="C899" s="3">
        <f t="shared" si="3"/>
        <v>-1.1671541002614988E-4</v>
      </c>
    </row>
    <row r="900" spans="1:3" ht="13.2" x14ac:dyDescent="0.25">
      <c r="A900" s="6">
        <v>898</v>
      </c>
      <c r="B900" s="7">
        <v>504.76998901367102</v>
      </c>
      <c r="C900" s="3">
        <f t="shared" si="3"/>
        <v>-1.8159354982107717E-2</v>
      </c>
    </row>
    <row r="901" spans="1:3" ht="13.2" x14ac:dyDescent="0.25">
      <c r="A901" s="6">
        <v>899</v>
      </c>
      <c r="B901" s="7">
        <v>505.14001464843699</v>
      </c>
      <c r="C901" s="3">
        <f t="shared" si="3"/>
        <v>7.3278935743227179E-4</v>
      </c>
    </row>
    <row r="902" spans="1:3" ht="13.2" x14ac:dyDescent="0.25">
      <c r="A902" s="6">
        <v>900</v>
      </c>
      <c r="B902" s="7">
        <v>499.829986572265</v>
      </c>
      <c r="C902" s="3">
        <f t="shared" si="3"/>
        <v>-1.0567633831911089E-2</v>
      </c>
    </row>
    <row r="903" spans="1:3" ht="13.2" x14ac:dyDescent="0.25">
      <c r="A903" s="6">
        <v>901</v>
      </c>
      <c r="B903" s="7">
        <v>503.72000122070301</v>
      </c>
      <c r="C903" s="3">
        <f t="shared" si="3"/>
        <v>7.7525468165390438E-3</v>
      </c>
    </row>
    <row r="904" spans="1:3" ht="13.2" x14ac:dyDescent="0.25">
      <c r="A904" s="6">
        <v>902</v>
      </c>
      <c r="B904" s="7">
        <v>498.39001464843699</v>
      </c>
      <c r="C904" s="3">
        <f t="shared" si="3"/>
        <v>-1.0637628103010435E-2</v>
      </c>
    </row>
    <row r="905" spans="1:3" ht="13.2" x14ac:dyDescent="0.25">
      <c r="A905" s="6">
        <v>903</v>
      </c>
      <c r="B905" s="7">
        <v>508.89999389648398</v>
      </c>
      <c r="C905" s="3">
        <f t="shared" si="3"/>
        <v>2.0868589143228804E-2</v>
      </c>
    </row>
    <row r="906" spans="1:3" ht="13.2" x14ac:dyDescent="0.25">
      <c r="A906" s="6">
        <v>904</v>
      </c>
      <c r="B906" s="7">
        <v>506</v>
      </c>
      <c r="C906" s="3">
        <f t="shared" si="3"/>
        <v>-5.7148523137744911E-3</v>
      </c>
    </row>
    <row r="907" spans="1:3" ht="13.2" x14ac:dyDescent="0.25">
      <c r="A907" s="6">
        <v>905</v>
      </c>
      <c r="B907" s="7">
        <v>494.5</v>
      </c>
      <c r="C907" s="3">
        <f t="shared" si="3"/>
        <v>-2.2989518224698718E-2</v>
      </c>
    </row>
    <row r="908" spans="1:3" ht="13.2" x14ac:dyDescent="0.25">
      <c r="A908" s="6">
        <v>906</v>
      </c>
      <c r="B908" s="7">
        <v>496.32000732421801</v>
      </c>
      <c r="C908" s="3">
        <f t="shared" si="3"/>
        <v>3.6737436824550323E-3</v>
      </c>
    </row>
    <row r="909" spans="1:3" ht="13.2" x14ac:dyDescent="0.25">
      <c r="A909" s="6">
        <v>907</v>
      </c>
      <c r="B909" s="7">
        <v>490.86999511718699</v>
      </c>
      <c r="C909" s="3">
        <f t="shared" si="3"/>
        <v>-1.1041577738726525E-2</v>
      </c>
    </row>
    <row r="910" spans="1:3" ht="13.2" x14ac:dyDescent="0.25">
      <c r="A910" s="6">
        <v>908</v>
      </c>
      <c r="B910" s="7">
        <v>492.66000366210898</v>
      </c>
      <c r="C910" s="3">
        <f t="shared" si="3"/>
        <v>3.639971375596606E-3</v>
      </c>
    </row>
    <row r="911" spans="1:3" ht="13.2" x14ac:dyDescent="0.25">
      <c r="A911" s="6">
        <v>909</v>
      </c>
      <c r="B911" s="7">
        <v>486.48001098632801</v>
      </c>
      <c r="C911" s="3">
        <f t="shared" si="3"/>
        <v>-1.2623474986929081E-2</v>
      </c>
    </row>
    <row r="912" spans="1:3" ht="13.2" x14ac:dyDescent="0.25">
      <c r="A912" s="6">
        <v>910</v>
      </c>
      <c r="B912" s="7">
        <v>499.35998535156199</v>
      </c>
      <c r="C912" s="3">
        <f t="shared" si="3"/>
        <v>2.6131435792881987E-2</v>
      </c>
    </row>
    <row r="913" spans="1:3" ht="13.2" x14ac:dyDescent="0.25">
      <c r="A913" s="6">
        <v>911</v>
      </c>
      <c r="B913" s="7">
        <v>497.79998779296801</v>
      </c>
      <c r="C913" s="3">
        <f t="shared" si="3"/>
        <v>-3.1288837765140417E-3</v>
      </c>
    </row>
    <row r="914" spans="1:3" ht="13.2" x14ac:dyDescent="0.25">
      <c r="A914" s="6">
        <v>912</v>
      </c>
      <c r="B914" s="7">
        <v>494.19000244140602</v>
      </c>
      <c r="C914" s="3">
        <f t="shared" si="3"/>
        <v>-7.2783018443126866E-3</v>
      </c>
    </row>
    <row r="915" spans="1:3" ht="13.2" x14ac:dyDescent="0.25">
      <c r="A915" s="6">
        <v>913</v>
      </c>
      <c r="B915" s="7">
        <v>493.42001342773398</v>
      </c>
      <c r="C915" s="3">
        <f t="shared" si="3"/>
        <v>-1.5592980170572408E-3</v>
      </c>
    </row>
    <row r="916" spans="1:3" ht="13.2" x14ac:dyDescent="0.25">
      <c r="A916" s="6">
        <v>914</v>
      </c>
      <c r="B916" s="7">
        <v>502.91000366210898</v>
      </c>
      <c r="C916" s="3">
        <f t="shared" si="3"/>
        <v>1.9050469380818787E-2</v>
      </c>
    </row>
    <row r="917" spans="1:3" ht="13.2" x14ac:dyDescent="0.25">
      <c r="A917" s="6">
        <v>915</v>
      </c>
      <c r="B917" s="7">
        <v>505.23001098632801</v>
      </c>
      <c r="C917" s="3">
        <f t="shared" si="3"/>
        <v>4.6025579502940606E-3</v>
      </c>
    </row>
    <row r="918" spans="1:3" ht="13.2" x14ac:dyDescent="0.25">
      <c r="A918" s="6">
        <v>916</v>
      </c>
      <c r="B918" s="7">
        <v>509.54998779296801</v>
      </c>
      <c r="C918" s="3">
        <f t="shared" si="3"/>
        <v>8.5141664369338937E-3</v>
      </c>
    </row>
    <row r="919" spans="1:3" ht="13.2" x14ac:dyDescent="0.25">
      <c r="A919" s="6">
        <v>917</v>
      </c>
      <c r="B919" s="7">
        <v>512.510009765625</v>
      </c>
      <c r="C919" s="3">
        <f t="shared" si="3"/>
        <v>5.7922827536235517E-3</v>
      </c>
    </row>
    <row r="920" spans="1:3" ht="13.2" x14ac:dyDescent="0.25">
      <c r="A920" s="6">
        <v>918</v>
      </c>
      <c r="B920" s="7">
        <v>508</v>
      </c>
      <c r="C920" s="3">
        <f t="shared" si="3"/>
        <v>-8.8387944933489664E-3</v>
      </c>
    </row>
    <row r="921" spans="1:3" ht="13.2" x14ac:dyDescent="0.25">
      <c r="A921" s="6">
        <v>919</v>
      </c>
      <c r="B921" s="7">
        <v>504.39999389648398</v>
      </c>
      <c r="C921" s="3">
        <f t="shared" si="3"/>
        <v>-7.111855588264728E-3</v>
      </c>
    </row>
    <row r="922" spans="1:3" ht="13.2" x14ac:dyDescent="0.25">
      <c r="A922" s="6">
        <v>920</v>
      </c>
      <c r="B922" s="7">
        <v>496.329986572265</v>
      </c>
      <c r="C922" s="3">
        <f t="shared" si="3"/>
        <v>-1.6128590967639484E-2</v>
      </c>
    </row>
    <row r="923" spans="1:3" ht="13.2" x14ac:dyDescent="0.25">
      <c r="A923" s="6">
        <v>921</v>
      </c>
      <c r="B923" s="7">
        <v>488.25</v>
      </c>
      <c r="C923" s="3">
        <f t="shared" si="3"/>
        <v>-1.641343126578941E-2</v>
      </c>
    </row>
    <row r="924" spans="1:3" ht="13.2" x14ac:dyDescent="0.25">
      <c r="A924" s="6">
        <v>922</v>
      </c>
      <c r="B924" s="7">
        <v>486</v>
      </c>
      <c r="C924" s="3">
        <f t="shared" si="3"/>
        <v>-4.6189458562945285E-3</v>
      </c>
    </row>
    <row r="925" spans="1:3" ht="13.2" x14ac:dyDescent="0.25">
      <c r="A925" s="6">
        <v>923</v>
      </c>
      <c r="B925" s="7">
        <v>479.30999755859301</v>
      </c>
      <c r="C925" s="3">
        <f t="shared" si="3"/>
        <v>-1.3861059286490545E-2</v>
      </c>
    </row>
    <row r="926" spans="1:3" ht="13.2" x14ac:dyDescent="0.25">
      <c r="A926" s="6">
        <v>924</v>
      </c>
      <c r="B926" s="7">
        <v>479.010009765625</v>
      </c>
      <c r="C926" s="3">
        <f t="shared" si="3"/>
        <v>-6.2607020718333489E-4</v>
      </c>
    </row>
    <row r="927" spans="1:3" ht="13.2" x14ac:dyDescent="0.25">
      <c r="A927" s="6">
        <v>925</v>
      </c>
      <c r="B927" s="7">
        <v>481.83999633789</v>
      </c>
      <c r="C927" s="3">
        <f t="shared" si="3"/>
        <v>5.8906067283841079E-3</v>
      </c>
    </row>
    <row r="928" spans="1:3" ht="13.2" x14ac:dyDescent="0.25">
      <c r="A928" s="6">
        <v>926</v>
      </c>
      <c r="B928" s="7">
        <v>476.22000122070301</v>
      </c>
      <c r="C928" s="3">
        <f t="shared" si="3"/>
        <v>-1.1732166241047563E-2</v>
      </c>
    </row>
    <row r="929" spans="1:3" ht="13.2" x14ac:dyDescent="0.25">
      <c r="A929" s="6">
        <v>927</v>
      </c>
      <c r="B929" s="7">
        <v>474.010009765625</v>
      </c>
      <c r="C929" s="3">
        <f t="shared" si="3"/>
        <v>-4.6514957730566433E-3</v>
      </c>
    </row>
    <row r="930" spans="1:3" ht="13.2" x14ac:dyDescent="0.25">
      <c r="A930" s="6">
        <v>928</v>
      </c>
      <c r="B930" s="7">
        <v>478.489990234375</v>
      </c>
      <c r="C930" s="3">
        <f t="shared" si="3"/>
        <v>9.4068525026846043E-3</v>
      </c>
    </row>
    <row r="931" spans="1:3" ht="13.2" x14ac:dyDescent="0.25">
      <c r="A931" s="6">
        <v>929</v>
      </c>
      <c r="B931" s="7">
        <v>493.19000244140602</v>
      </c>
      <c r="C931" s="3">
        <f t="shared" si="3"/>
        <v>3.0259208660880228E-2</v>
      </c>
    </row>
    <row r="932" spans="1:3" ht="13.2" x14ac:dyDescent="0.25">
      <c r="A932" s="6">
        <v>930</v>
      </c>
      <c r="B932" s="7">
        <v>483.42001342773398</v>
      </c>
      <c r="C932" s="3">
        <f t="shared" si="3"/>
        <v>-2.0008631490967696E-2</v>
      </c>
    </row>
    <row r="933" spans="1:3" ht="13.2" x14ac:dyDescent="0.25">
      <c r="A933" s="6">
        <v>931</v>
      </c>
      <c r="B933" s="7">
        <v>483.42001342773398</v>
      </c>
      <c r="C933" s="3">
        <f t="shared" si="3"/>
        <v>0</v>
      </c>
    </row>
    <row r="934" spans="1:3" ht="13.2" x14ac:dyDescent="0.25">
      <c r="A934" s="6">
        <v>932</v>
      </c>
      <c r="B934" s="7">
        <v>481.100006103515</v>
      </c>
      <c r="C934" s="3">
        <f t="shared" si="3"/>
        <v>-4.8107074017063522E-3</v>
      </c>
    </row>
    <row r="935" spans="1:3" ht="13.2" x14ac:dyDescent="0.25">
      <c r="A935" s="6">
        <v>933</v>
      </c>
      <c r="B935" s="7">
        <v>487.01998901367102</v>
      </c>
      <c r="C935" s="3">
        <f t="shared" si="3"/>
        <v>1.2230006050877623E-2</v>
      </c>
    </row>
    <row r="936" spans="1:3" ht="13.2" x14ac:dyDescent="0.25">
      <c r="A936" s="6">
        <v>934</v>
      </c>
      <c r="B936" s="7">
        <v>486.38000488281199</v>
      </c>
      <c r="C936" s="3">
        <f t="shared" si="3"/>
        <v>-1.3149460182605669E-3</v>
      </c>
    </row>
    <row r="937" spans="1:3" ht="13.2" x14ac:dyDescent="0.25">
      <c r="A937" s="6">
        <v>935</v>
      </c>
      <c r="B937" s="7">
        <v>484.20001220703102</v>
      </c>
      <c r="C937" s="3">
        <f t="shared" si="3"/>
        <v>-4.492151709929222E-3</v>
      </c>
    </row>
    <row r="938" spans="1:3" ht="13.2" x14ac:dyDescent="0.25">
      <c r="A938" s="6">
        <v>936</v>
      </c>
      <c r="B938" s="7">
        <v>479.850006103515</v>
      </c>
      <c r="C938" s="3">
        <f t="shared" si="3"/>
        <v>-9.0245019314109127E-3</v>
      </c>
    </row>
    <row r="939" spans="1:3" ht="13.2" x14ac:dyDescent="0.25">
      <c r="A939" s="6">
        <v>937</v>
      </c>
      <c r="B939" s="7">
        <v>489.82000732421801</v>
      </c>
      <c r="C939" s="3">
        <f t="shared" si="3"/>
        <v>2.056442384709042E-2</v>
      </c>
    </row>
    <row r="940" spans="1:3" ht="13.2" x14ac:dyDescent="0.25">
      <c r="A940" s="6">
        <v>938</v>
      </c>
      <c r="B940" s="7">
        <v>481.95999145507801</v>
      </c>
      <c r="C940" s="3">
        <f t="shared" si="3"/>
        <v>-1.6176886304808034E-2</v>
      </c>
    </row>
    <row r="941" spans="1:3" ht="13.2" x14ac:dyDescent="0.25">
      <c r="A941" s="6">
        <v>939</v>
      </c>
      <c r="B941" s="7">
        <v>484</v>
      </c>
      <c r="C941" s="3">
        <f t="shared" si="3"/>
        <v>4.2238013910814616E-3</v>
      </c>
    </row>
    <row r="942" spans="1:3" ht="13.2" x14ac:dyDescent="0.25">
      <c r="A942" s="6">
        <v>940</v>
      </c>
      <c r="B942" s="7">
        <v>489.70999145507801</v>
      </c>
      <c r="C942" s="3">
        <f t="shared" si="3"/>
        <v>1.1728454999911332E-2</v>
      </c>
    </row>
    <row r="943" spans="1:3" ht="13.2" x14ac:dyDescent="0.25">
      <c r="A943" s="6">
        <v>941</v>
      </c>
      <c r="B943" s="7">
        <v>477</v>
      </c>
      <c r="C943" s="3">
        <f t="shared" si="3"/>
        <v>-2.6296870828201809E-2</v>
      </c>
    </row>
    <row r="944" spans="1:3" ht="13.2" x14ac:dyDescent="0.25">
      <c r="A944" s="6">
        <v>942</v>
      </c>
      <c r="B944" s="7">
        <v>470.73001098632801</v>
      </c>
      <c r="C944" s="3">
        <f t="shared" si="3"/>
        <v>-1.3231786310338757E-2</v>
      </c>
    </row>
    <row r="945" spans="1:3" ht="13.2" x14ac:dyDescent="0.25">
      <c r="A945" s="6">
        <v>943</v>
      </c>
      <c r="B945" s="7">
        <v>468.11999511718699</v>
      </c>
      <c r="C945" s="3">
        <f t="shared" si="3"/>
        <v>-5.5600417021236387E-3</v>
      </c>
    </row>
    <row r="946" spans="1:3" ht="13.2" x14ac:dyDescent="0.25">
      <c r="A946" s="6">
        <v>944</v>
      </c>
      <c r="B946" s="7">
        <v>452.82000732421801</v>
      </c>
      <c r="C946" s="3">
        <f t="shared" si="3"/>
        <v>-3.3229951176368171E-2</v>
      </c>
    </row>
    <row r="947" spans="1:3" ht="13.2" x14ac:dyDescent="0.25">
      <c r="A947" s="6">
        <v>945</v>
      </c>
      <c r="B947" s="7">
        <v>437.5</v>
      </c>
      <c r="C947" s="3">
        <f t="shared" si="3"/>
        <v>-3.4418005901841513E-2</v>
      </c>
    </row>
    <row r="948" spans="1:3" ht="13.2" x14ac:dyDescent="0.25">
      <c r="A948" s="6">
        <v>946</v>
      </c>
      <c r="B948" s="7">
        <v>458.58999633789</v>
      </c>
      <c r="C948" s="3">
        <f t="shared" si="3"/>
        <v>4.7079850907820561E-2</v>
      </c>
    </row>
    <row r="949" spans="1:3" ht="13.2" x14ac:dyDescent="0.25">
      <c r="A949" s="6">
        <v>947</v>
      </c>
      <c r="B949" s="7">
        <v>476.010009765625</v>
      </c>
      <c r="C949" s="3">
        <f t="shared" si="3"/>
        <v>3.7282326224205888E-2</v>
      </c>
    </row>
    <row r="950" spans="1:3" ht="13.2" x14ac:dyDescent="0.25">
      <c r="A950" s="6">
        <v>948</v>
      </c>
      <c r="B950" s="7">
        <v>473.92999267578102</v>
      </c>
      <c r="C950" s="3">
        <f t="shared" si="3"/>
        <v>-4.3792669194000333E-3</v>
      </c>
    </row>
    <row r="951" spans="1:3" ht="13.2" x14ac:dyDescent="0.25">
      <c r="A951" s="6">
        <v>949</v>
      </c>
      <c r="B951" s="7">
        <v>475.079986572265</v>
      </c>
      <c r="C951" s="3">
        <f t="shared" si="3"/>
        <v>2.4235666315879914E-3</v>
      </c>
    </row>
    <row r="952" spans="1:3" ht="13.2" x14ac:dyDescent="0.25">
      <c r="A952" s="6">
        <v>950</v>
      </c>
      <c r="B952" s="7">
        <v>467.05999755859301</v>
      </c>
      <c r="C952" s="3">
        <f t="shared" si="3"/>
        <v>-1.7025458795583759E-2</v>
      </c>
    </row>
    <row r="953" spans="1:3" ht="13.2" x14ac:dyDescent="0.25">
      <c r="A953" s="6">
        <v>951</v>
      </c>
      <c r="B953" s="7">
        <v>462.67999267578102</v>
      </c>
      <c r="C953" s="3">
        <f t="shared" si="3"/>
        <v>-9.4220692490875127E-3</v>
      </c>
    </row>
    <row r="954" spans="1:3" ht="13.2" x14ac:dyDescent="0.25">
      <c r="A954" s="6">
        <v>952</v>
      </c>
      <c r="B954" s="7">
        <v>465.38000488281199</v>
      </c>
      <c r="C954" s="3">
        <f t="shared" si="3"/>
        <v>5.8186320536854491E-3</v>
      </c>
    </row>
    <row r="955" spans="1:3" ht="13.2" x14ac:dyDescent="0.25">
      <c r="A955" s="6">
        <v>953</v>
      </c>
      <c r="B955" s="7">
        <v>467.079986572265</v>
      </c>
      <c r="C955" s="3">
        <f t="shared" si="3"/>
        <v>3.6462338083605907E-3</v>
      </c>
    </row>
    <row r="956" spans="1:3" ht="13.2" x14ac:dyDescent="0.25">
      <c r="A956" s="6">
        <v>954</v>
      </c>
      <c r="B956" s="7">
        <v>469.04998779296801</v>
      </c>
      <c r="C956" s="3">
        <f t="shared" si="3"/>
        <v>4.2088260876888646E-3</v>
      </c>
    </row>
    <row r="957" spans="1:3" ht="13.2" x14ac:dyDescent="0.25">
      <c r="A957" s="6">
        <v>955</v>
      </c>
      <c r="B957" s="7">
        <v>469.45001220703102</v>
      </c>
      <c r="C957" s="3">
        <f t="shared" si="3"/>
        <v>8.5247616044391544E-4</v>
      </c>
    </row>
    <row r="958" spans="1:3" ht="13.2" x14ac:dyDescent="0.25">
      <c r="A958" s="6">
        <v>956</v>
      </c>
      <c r="B958" s="7">
        <v>467.329986572265</v>
      </c>
      <c r="C958" s="3">
        <f t="shared" si="3"/>
        <v>-4.526205206897508E-3</v>
      </c>
    </row>
    <row r="959" spans="1:3" ht="13.2" x14ac:dyDescent="0.25">
      <c r="A959" s="6">
        <v>957</v>
      </c>
      <c r="B959" s="7">
        <v>469.86999511718699</v>
      </c>
      <c r="C959" s="3">
        <f t="shared" si="3"/>
        <v>5.4204328074332446E-3</v>
      </c>
    </row>
    <row r="960" spans="1:3" ht="13.2" x14ac:dyDescent="0.25">
      <c r="A960" s="6">
        <v>958</v>
      </c>
      <c r="B960" s="7">
        <v>466.67999267578102</v>
      </c>
      <c r="C960" s="3">
        <f t="shared" si="3"/>
        <v>-6.8122680465775116E-3</v>
      </c>
    </row>
    <row r="961" spans="1:3" ht="13.2" x14ac:dyDescent="0.25">
      <c r="A961" s="6">
        <v>959</v>
      </c>
      <c r="B961" s="7">
        <v>462.57000732421801</v>
      </c>
      <c r="C961" s="3">
        <f t="shared" si="3"/>
        <v>-8.8458695762280576E-3</v>
      </c>
    </row>
    <row r="962" spans="1:3" ht="13.2" x14ac:dyDescent="0.25">
      <c r="A962" s="6">
        <v>960</v>
      </c>
      <c r="B962" s="7">
        <v>470.97000122070301</v>
      </c>
      <c r="C962" s="3">
        <f t="shared" si="3"/>
        <v>1.7996487627105644E-2</v>
      </c>
    </row>
    <row r="963" spans="1:3" ht="13.2" x14ac:dyDescent="0.25">
      <c r="A963" s="6">
        <v>961</v>
      </c>
      <c r="B963" s="7">
        <v>472.80999755859301</v>
      </c>
      <c r="C963" s="3">
        <f t="shared" si="3"/>
        <v>3.8992109845961171E-3</v>
      </c>
    </row>
    <row r="964" spans="1:3" ht="13.2" x14ac:dyDescent="0.25">
      <c r="A964" s="6">
        <v>962</v>
      </c>
      <c r="B964" s="7">
        <v>457.11999511718699</v>
      </c>
      <c r="C964" s="3">
        <f t="shared" si="3"/>
        <v>-3.3747683496047912E-2</v>
      </c>
    </row>
    <row r="965" spans="1:3" ht="13.2" x14ac:dyDescent="0.25">
      <c r="A965" s="6">
        <v>963</v>
      </c>
      <c r="B965" s="7">
        <v>457.33999633789</v>
      </c>
      <c r="C965" s="3">
        <f t="shared" si="3"/>
        <v>4.8116096276111433E-4</v>
      </c>
    </row>
    <row r="966" spans="1:3" ht="13.2" x14ac:dyDescent="0.25">
      <c r="A966" s="6">
        <v>964</v>
      </c>
      <c r="B966" s="7">
        <v>453.989990234375</v>
      </c>
      <c r="C966" s="3">
        <f t="shared" si="3"/>
        <v>-7.3519389071531075E-3</v>
      </c>
    </row>
    <row r="967" spans="1:3" ht="13.2" x14ac:dyDescent="0.25">
      <c r="A967" s="6">
        <v>965</v>
      </c>
      <c r="B967" s="7">
        <v>451.44000244140602</v>
      </c>
      <c r="C967" s="3">
        <f t="shared" si="3"/>
        <v>-5.6326707874576861E-3</v>
      </c>
    </row>
    <row r="968" spans="1:3" ht="13.2" x14ac:dyDescent="0.25">
      <c r="A968" s="6">
        <v>966</v>
      </c>
      <c r="B968" s="7">
        <v>453.850006103515</v>
      </c>
      <c r="C968" s="3">
        <f t="shared" si="3"/>
        <v>5.3242813520195439E-3</v>
      </c>
    </row>
    <row r="969" spans="1:3" ht="13.2" x14ac:dyDescent="0.25">
      <c r="A969" s="6">
        <v>967</v>
      </c>
      <c r="B969" s="7">
        <v>454.89001464843699</v>
      </c>
      <c r="C969" s="3">
        <f t="shared" si="3"/>
        <v>2.2889032621642271E-3</v>
      </c>
    </row>
    <row r="970" spans="1:3" ht="13.2" x14ac:dyDescent="0.25">
      <c r="A970" s="6">
        <v>968</v>
      </c>
      <c r="B970" s="7">
        <v>461.04998779296801</v>
      </c>
      <c r="C970" s="3">
        <f t="shared" si="3"/>
        <v>1.3450806825450294E-2</v>
      </c>
    </row>
    <row r="971" spans="1:3" ht="13.2" x14ac:dyDescent="0.25">
      <c r="A971" s="6">
        <v>969</v>
      </c>
      <c r="B971" s="7">
        <v>458.30999755859301</v>
      </c>
      <c r="C971" s="3">
        <f t="shared" si="3"/>
        <v>-5.9606647897957193E-3</v>
      </c>
    </row>
    <row r="972" spans="1:3" ht="13.2" x14ac:dyDescent="0.25">
      <c r="A972" s="6">
        <v>970</v>
      </c>
      <c r="B972" s="7">
        <v>467.44000244140602</v>
      </c>
      <c r="C972" s="3">
        <f t="shared" si="3"/>
        <v>1.9725197750347048E-2</v>
      </c>
    </row>
    <row r="973" spans="1:3" ht="13.2" x14ac:dyDescent="0.25">
      <c r="A973" s="6">
        <v>971</v>
      </c>
      <c r="B973" s="7">
        <v>485.08999633789</v>
      </c>
      <c r="C973" s="3">
        <f t="shared" si="3"/>
        <v>3.7063429713912403E-2</v>
      </c>
    </row>
    <row r="974" spans="1:3" ht="13.2" x14ac:dyDescent="0.25">
      <c r="A974" s="6">
        <v>972</v>
      </c>
      <c r="B974" s="7">
        <v>464.14999389648398</v>
      </c>
      <c r="C974" s="3">
        <f t="shared" si="3"/>
        <v>-4.4126670486959965E-2</v>
      </c>
    </row>
    <row r="975" spans="1:3" ht="13.2" x14ac:dyDescent="0.25">
      <c r="A975" s="6">
        <v>973</v>
      </c>
      <c r="B975" s="7">
        <v>460.67999267578102</v>
      </c>
      <c r="C975" s="3">
        <f t="shared" si="3"/>
        <v>-7.5041197940693216E-3</v>
      </c>
    </row>
    <row r="976" spans="1:3" ht="13.2" x14ac:dyDescent="0.25">
      <c r="A976" s="6">
        <v>974</v>
      </c>
      <c r="B976" s="7">
        <v>463</v>
      </c>
      <c r="C976" s="3">
        <f t="shared" si="3"/>
        <v>5.0234111842403584E-3</v>
      </c>
    </row>
    <row r="977" spans="1:3" ht="13.2" x14ac:dyDescent="0.25">
      <c r="A977" s="6">
        <v>975</v>
      </c>
      <c r="B977" s="7">
        <v>463</v>
      </c>
      <c r="C977" s="3">
        <f t="shared" si="3"/>
        <v>0</v>
      </c>
    </row>
    <row r="978" spans="1:3" ht="13.2" x14ac:dyDescent="0.25">
      <c r="A978" s="6">
        <v>976</v>
      </c>
      <c r="B978" s="7">
        <v>451.05999755859301</v>
      </c>
      <c r="C978" s="3">
        <f t="shared" si="3"/>
        <v>-2.6126691150870858E-2</v>
      </c>
    </row>
    <row r="979" spans="1:3" ht="13.2" x14ac:dyDescent="0.25">
      <c r="A979" s="6">
        <v>977</v>
      </c>
      <c r="B979" s="7">
        <v>447.01998901367102</v>
      </c>
      <c r="C979" s="3">
        <f t="shared" si="3"/>
        <v>-8.997051170231805E-3</v>
      </c>
    </row>
    <row r="980" spans="1:3" ht="13.2" x14ac:dyDescent="0.25">
      <c r="A980" s="6">
        <v>978</v>
      </c>
      <c r="B980" s="7">
        <v>446.079986572265</v>
      </c>
      <c r="C980" s="3">
        <f t="shared" si="3"/>
        <v>-2.1050337346572084E-3</v>
      </c>
    </row>
    <row r="981" spans="1:3" ht="13.2" x14ac:dyDescent="0.25">
      <c r="A981" s="6">
        <v>979</v>
      </c>
      <c r="B981" s="7">
        <v>440.600006103515</v>
      </c>
      <c r="C981" s="3">
        <f t="shared" si="3"/>
        <v>-1.2360829809496644E-2</v>
      </c>
    </row>
    <row r="982" spans="1:3" ht="13.2" x14ac:dyDescent="0.25">
      <c r="A982" s="6">
        <v>980</v>
      </c>
      <c r="B982" s="7">
        <v>442.61999511718699</v>
      </c>
      <c r="C982" s="3">
        <f t="shared" si="3"/>
        <v>4.5741548716741291E-3</v>
      </c>
    </row>
    <row r="983" spans="1:3" ht="13.2" x14ac:dyDescent="0.25">
      <c r="A983" s="6">
        <v>981</v>
      </c>
      <c r="B983" s="7">
        <v>442.02999877929602</v>
      </c>
      <c r="C983" s="3">
        <f t="shared" si="3"/>
        <v>-1.3338527766608992E-3</v>
      </c>
    </row>
    <row r="984" spans="1:3" ht="13.2" x14ac:dyDescent="0.25">
      <c r="A984" s="6">
        <v>982</v>
      </c>
      <c r="B984" s="7">
        <v>445.61999511718699</v>
      </c>
      <c r="C984" s="3">
        <f t="shared" si="3"/>
        <v>8.0888096359219633E-3</v>
      </c>
    </row>
    <row r="985" spans="1:3" ht="13.2" x14ac:dyDescent="0.25">
      <c r="A985" s="6">
        <v>983</v>
      </c>
      <c r="B985" s="7">
        <v>442.08999633789</v>
      </c>
      <c r="C985" s="3">
        <f t="shared" si="3"/>
        <v>-7.9530869760627114E-3</v>
      </c>
    </row>
    <row r="986" spans="1:3" ht="13.2" x14ac:dyDescent="0.25">
      <c r="A986" s="6">
        <v>984</v>
      </c>
      <c r="B986" s="7">
        <v>439.45999145507801</v>
      </c>
      <c r="C986" s="3">
        <f t="shared" si="3"/>
        <v>-5.9667919508701404E-3</v>
      </c>
    </row>
    <row r="987" spans="1:3" ht="13.2" x14ac:dyDescent="0.25">
      <c r="A987" s="6">
        <v>985</v>
      </c>
      <c r="B987" s="7">
        <v>436.38000488281199</v>
      </c>
      <c r="C987" s="3">
        <f t="shared" si="3"/>
        <v>-7.0332464411179824E-3</v>
      </c>
    </row>
    <row r="988" spans="1:3" ht="13.2" x14ac:dyDescent="0.25">
      <c r="A988" s="6">
        <v>986</v>
      </c>
      <c r="B988" s="7">
        <v>436.89999389648398</v>
      </c>
      <c r="C988" s="3">
        <f t="shared" si="3"/>
        <v>1.1908874034752012E-3</v>
      </c>
    </row>
    <row r="989" spans="1:3" ht="13.2" x14ac:dyDescent="0.25">
      <c r="A989" s="6">
        <v>987</v>
      </c>
      <c r="B989" s="7">
        <v>442.86999511718699</v>
      </c>
      <c r="C989" s="3">
        <f t="shared" si="3"/>
        <v>1.3571940241836911E-2</v>
      </c>
    </row>
    <row r="990" spans="1:3" ht="13.2" x14ac:dyDescent="0.25">
      <c r="A990" s="6">
        <v>988</v>
      </c>
      <c r="B990" s="7">
        <v>439.70001220703102</v>
      </c>
      <c r="C990" s="3">
        <f t="shared" si="3"/>
        <v>-7.1835582802290601E-3</v>
      </c>
    </row>
    <row r="991" spans="1:3" ht="13.2" x14ac:dyDescent="0.25">
      <c r="A991" s="6">
        <v>989</v>
      </c>
      <c r="B991" s="7">
        <v>439.01998901367102</v>
      </c>
      <c r="C991" s="3">
        <f t="shared" si="3"/>
        <v>-1.5477588496181206E-3</v>
      </c>
    </row>
    <row r="992" spans="1:3" ht="13.2" x14ac:dyDescent="0.25">
      <c r="A992" s="6">
        <v>990</v>
      </c>
      <c r="B992" s="7">
        <v>441.02999877929602</v>
      </c>
      <c r="C992" s="3">
        <f t="shared" si="3"/>
        <v>4.5679524768094835E-3</v>
      </c>
    </row>
    <row r="993" spans="1:3" ht="13.2" x14ac:dyDescent="0.25">
      <c r="A993" s="6">
        <v>991</v>
      </c>
      <c r="B993" s="7">
        <v>442.100006103515</v>
      </c>
      <c r="C993" s="3">
        <f t="shared" si="3"/>
        <v>2.4232170617948003E-3</v>
      </c>
    </row>
    <row r="994" spans="1:3" ht="13.2" x14ac:dyDescent="0.25">
      <c r="A994" s="6">
        <v>992</v>
      </c>
      <c r="B994" s="7">
        <v>450.989990234375</v>
      </c>
      <c r="C994" s="3">
        <f t="shared" si="3"/>
        <v>1.9909030016170334E-2</v>
      </c>
    </row>
    <row r="995" spans="1:3" ht="13.2" x14ac:dyDescent="0.25">
      <c r="A995" s="6">
        <v>993</v>
      </c>
      <c r="B995" s="7">
        <v>427.04998779296801</v>
      </c>
      <c r="C995" s="3">
        <f t="shared" si="3"/>
        <v>-5.4544070846495728E-2</v>
      </c>
    </row>
    <row r="996" spans="1:3" ht="13.2" x14ac:dyDescent="0.25">
      <c r="A996" s="6">
        <v>994</v>
      </c>
      <c r="B996" s="7">
        <v>432.57000732421801</v>
      </c>
      <c r="C996" s="3">
        <f t="shared" si="3"/>
        <v>1.2843106110926766E-2</v>
      </c>
    </row>
    <row r="997" spans="1:3" ht="13.2" x14ac:dyDescent="0.25">
      <c r="A997" s="6">
        <v>995</v>
      </c>
      <c r="B997" s="7">
        <v>425.58999633789</v>
      </c>
      <c r="C997" s="3">
        <f t="shared" si="3"/>
        <v>-1.6267747012524713E-2</v>
      </c>
    </row>
    <row r="998" spans="1:3" ht="13.2" x14ac:dyDescent="0.25">
      <c r="A998" s="6">
        <v>996</v>
      </c>
      <c r="B998" s="7">
        <v>435.05999755859301</v>
      </c>
      <c r="C998" s="3">
        <f t="shared" si="3"/>
        <v>2.2007514093892424E-2</v>
      </c>
    </row>
    <row r="999" spans="1:3" ht="13.2" x14ac:dyDescent="0.25">
      <c r="A999" s="6">
        <v>997</v>
      </c>
      <c r="B999" s="7">
        <v>361.95001220703102</v>
      </c>
      <c r="C999" s="3">
        <f t="shared" si="3"/>
        <v>-0.18397783253501226</v>
      </c>
    </row>
    <row r="1000" spans="1:3" ht="13.2" x14ac:dyDescent="0.25">
      <c r="A1000" s="6">
        <v>998</v>
      </c>
      <c r="B1000" s="7">
        <v>383.29000854492102</v>
      </c>
      <c r="C1000" s="3">
        <f t="shared" si="3"/>
        <v>5.7285790649759506E-2</v>
      </c>
    </row>
    <row r="1001" spans="1:3" ht="13.2" x14ac:dyDescent="0.25">
      <c r="A1001" s="6">
        <v>999</v>
      </c>
      <c r="B1001" s="7">
        <v>375.39999389648398</v>
      </c>
      <c r="C1001" s="3">
        <f t="shared" si="3"/>
        <v>-2.0799797220939612E-2</v>
      </c>
    </row>
    <row r="1002" spans="1:3" ht="13.2" x14ac:dyDescent="0.25">
      <c r="A1002" s="6">
        <v>1000</v>
      </c>
      <c r="B1002" s="7">
        <v>399.100006103515</v>
      </c>
      <c r="C1002" s="3">
        <f t="shared" si="3"/>
        <v>6.1219919454177173E-2</v>
      </c>
    </row>
    <row r="1003" spans="1:3" ht="13.2" x14ac:dyDescent="0.25">
      <c r="A1003" s="6">
        <v>1001</v>
      </c>
      <c r="B1003" s="7">
        <v>396.20999145507801</v>
      </c>
      <c r="C1003" s="3">
        <f t="shared" si="3"/>
        <v>-7.267675190711774E-3</v>
      </c>
    </row>
    <row r="1004" spans="1:3" ht="13.2" x14ac:dyDescent="0.25">
      <c r="A1004" s="6">
        <v>1002</v>
      </c>
      <c r="B1004" s="7">
        <v>391.88000488281199</v>
      </c>
      <c r="C1004" s="3">
        <f t="shared" si="3"/>
        <v>-1.0988669220764753E-2</v>
      </c>
    </row>
    <row r="1005" spans="1:3" ht="13.2" x14ac:dyDescent="0.25">
      <c r="A1005" s="6">
        <v>1003</v>
      </c>
      <c r="B1005" s="7">
        <v>388.20001220703102</v>
      </c>
      <c r="C1005" s="3">
        <f t="shared" si="3"/>
        <v>-9.434980756288059E-3</v>
      </c>
    </row>
    <row r="1006" spans="1:3" ht="13.2" x14ac:dyDescent="0.25">
      <c r="A1006" s="6">
        <v>1004</v>
      </c>
      <c r="B1006" s="7">
        <v>390.100006103515</v>
      </c>
      <c r="C1006" s="3">
        <f t="shared" si="3"/>
        <v>4.882429978516613E-3</v>
      </c>
    </row>
    <row r="1007" spans="1:3" ht="13.2" x14ac:dyDescent="0.25">
      <c r="A1007" s="6">
        <v>1005</v>
      </c>
      <c r="B1007" s="7">
        <v>393.36999511718699</v>
      </c>
      <c r="C1007" s="3">
        <f t="shared" si="3"/>
        <v>8.3475002144262067E-3</v>
      </c>
    </row>
    <row r="1008" spans="1:3" ht="13.2" x14ac:dyDescent="0.25">
      <c r="A1008" s="6">
        <v>1006</v>
      </c>
      <c r="B1008" s="7">
        <v>390.489990234375</v>
      </c>
      <c r="C1008" s="3">
        <f t="shared" si="3"/>
        <v>-7.3482966244839991E-3</v>
      </c>
    </row>
    <row r="1009" spans="1:3" ht="13.2" x14ac:dyDescent="0.25">
      <c r="A1009" s="6">
        <v>1007</v>
      </c>
      <c r="B1009" s="7">
        <v>381.579986572265</v>
      </c>
      <c r="C1009" s="3">
        <f t="shared" si="3"/>
        <v>-2.3081843639244776E-2</v>
      </c>
    </row>
    <row r="1010" spans="1:3" ht="13.2" x14ac:dyDescent="0.25">
      <c r="A1010" s="6">
        <v>1008</v>
      </c>
      <c r="B1010" s="7">
        <v>381.72000122070301</v>
      </c>
      <c r="C1010" s="3">
        <f t="shared" si="3"/>
        <v>3.6686663761980644E-4</v>
      </c>
    </row>
    <row r="1011" spans="1:3" ht="13.2" x14ac:dyDescent="0.25">
      <c r="A1011" s="6">
        <v>1009</v>
      </c>
      <c r="B1011" s="7">
        <v>383.92999267578102</v>
      </c>
      <c r="C1011" s="3">
        <f t="shared" si="3"/>
        <v>5.77286647999555E-3</v>
      </c>
    </row>
    <row r="1012" spans="1:3" ht="13.2" x14ac:dyDescent="0.25">
      <c r="A1012" s="6">
        <v>1010</v>
      </c>
      <c r="B1012" s="7">
        <v>375.57000732421801</v>
      </c>
      <c r="C1012" s="3">
        <f t="shared" si="3"/>
        <v>-2.2015333785664157E-2</v>
      </c>
    </row>
    <row r="1013" spans="1:3" ht="13.2" x14ac:dyDescent="0.25">
      <c r="A1013" s="6">
        <v>1011</v>
      </c>
      <c r="B1013" s="7">
        <v>385.010009765625</v>
      </c>
      <c r="C1013" s="3">
        <f t="shared" si="3"/>
        <v>2.4824441899753562E-2</v>
      </c>
    </row>
    <row r="1014" spans="1:3" ht="13.2" x14ac:dyDescent="0.25">
      <c r="A1014" s="6">
        <v>1012</v>
      </c>
      <c r="B1014" s="7">
        <v>383.760009765625</v>
      </c>
      <c r="C1014" s="3">
        <f t="shared" si="3"/>
        <v>-3.2519507000118818E-3</v>
      </c>
    </row>
    <row r="1015" spans="1:3" ht="13.2" x14ac:dyDescent="0.25">
      <c r="A1015" s="6">
        <v>1013</v>
      </c>
      <c r="B1015" s="7">
        <v>380</v>
      </c>
      <c r="C1015" s="3">
        <f t="shared" si="3"/>
        <v>-9.8461299205962749E-3</v>
      </c>
    </row>
    <row r="1016" spans="1:3" ht="13.2" x14ac:dyDescent="0.25">
      <c r="A1016" s="6">
        <v>1014</v>
      </c>
      <c r="B1016" s="7">
        <v>391.63000488281199</v>
      </c>
      <c r="C1016" s="3">
        <f t="shared" si="3"/>
        <v>3.0146276254015961E-2</v>
      </c>
    </row>
    <row r="1017" spans="1:3" ht="13.2" x14ac:dyDescent="0.25">
      <c r="A1017" s="6">
        <v>1015</v>
      </c>
      <c r="B1017" s="7">
        <v>390</v>
      </c>
      <c r="C1017" s="3">
        <f t="shared" si="3"/>
        <v>-4.1707898507552018E-3</v>
      </c>
    </row>
    <row r="1018" spans="1:3" ht="13.2" x14ac:dyDescent="0.25">
      <c r="A1018" s="6">
        <v>1016</v>
      </c>
      <c r="B1018" s="7">
        <v>395</v>
      </c>
      <c r="C1018" s="3">
        <f t="shared" si="3"/>
        <v>1.2739025777429712E-2</v>
      </c>
    </row>
    <row r="1019" spans="1:3" ht="13.2" x14ac:dyDescent="0.25">
      <c r="A1019" s="6">
        <v>1017</v>
      </c>
      <c r="B1019" s="7">
        <v>397.829986572265</v>
      </c>
      <c r="C1019" s="3">
        <f t="shared" si="3"/>
        <v>7.1389797040503494E-3</v>
      </c>
    </row>
    <row r="1020" spans="1:3" ht="13.2" x14ac:dyDescent="0.25">
      <c r="A1020" s="6">
        <v>1018</v>
      </c>
      <c r="B1020" s="7">
        <v>411.20999145507801</v>
      </c>
      <c r="C1020" s="3">
        <f t="shared" si="3"/>
        <v>3.3079267526280084E-2</v>
      </c>
    </row>
    <row r="1021" spans="1:3" ht="13.2" x14ac:dyDescent="0.25">
      <c r="A1021" s="6">
        <v>1019</v>
      </c>
      <c r="B1021" s="7">
        <v>403.10998535156199</v>
      </c>
      <c r="C1021" s="3">
        <f t="shared" si="3"/>
        <v>-1.9894570914587576E-2</v>
      </c>
    </row>
    <row r="1022" spans="1:3" ht="13.2" x14ac:dyDescent="0.25">
      <c r="A1022" s="6">
        <v>1020</v>
      </c>
      <c r="B1022" s="7">
        <v>396.010009765625</v>
      </c>
      <c r="C1022" s="3">
        <f t="shared" si="3"/>
        <v>-1.7769953095925113E-2</v>
      </c>
    </row>
    <row r="1023" spans="1:3" ht="13.2" x14ac:dyDescent="0.25">
      <c r="A1023" s="6">
        <v>1021</v>
      </c>
      <c r="B1023" s="7">
        <v>383.33999633789</v>
      </c>
      <c r="C1023" s="3">
        <f t="shared" ref="C1023:C1260" si="4">LN(B1023/B1022)</f>
        <v>-3.2517173831797072E-2</v>
      </c>
    </row>
    <row r="1024" spans="1:3" ht="13.2" x14ac:dyDescent="0.25">
      <c r="A1024" s="6">
        <v>1022</v>
      </c>
      <c r="B1024" s="7">
        <v>385.61999511718699</v>
      </c>
      <c r="C1024" s="3">
        <f t="shared" si="4"/>
        <v>5.9301016598670925E-3</v>
      </c>
    </row>
    <row r="1025" spans="1:3" ht="13.2" x14ac:dyDescent="0.25">
      <c r="A1025" s="6">
        <v>1023</v>
      </c>
      <c r="B1025" s="7">
        <v>386.10998535156199</v>
      </c>
      <c r="C1025" s="3">
        <f t="shared" si="4"/>
        <v>1.2698490731706022E-3</v>
      </c>
    </row>
    <row r="1026" spans="1:3" ht="13.2" x14ac:dyDescent="0.25">
      <c r="A1026" s="6">
        <v>1024</v>
      </c>
      <c r="B1026" s="7">
        <v>388.02999877929602</v>
      </c>
      <c r="C1026" s="3">
        <f t="shared" si="4"/>
        <v>4.9603880538157796E-3</v>
      </c>
    </row>
    <row r="1027" spans="1:3" ht="13.2" x14ac:dyDescent="0.25">
      <c r="A1027" s="6">
        <v>1025</v>
      </c>
      <c r="B1027" s="7">
        <v>391.489990234375</v>
      </c>
      <c r="C1027" s="3">
        <f t="shared" si="4"/>
        <v>8.877294299713151E-3</v>
      </c>
    </row>
    <row r="1028" spans="1:3" ht="13.2" x14ac:dyDescent="0.25">
      <c r="A1028" s="6">
        <v>1026</v>
      </c>
      <c r="B1028" s="7">
        <v>390.829986572265</v>
      </c>
      <c r="C1028" s="3">
        <f t="shared" si="4"/>
        <v>-1.6872989013746295E-3</v>
      </c>
    </row>
    <row r="1029" spans="1:3" ht="13.2" x14ac:dyDescent="0.25">
      <c r="A1029" s="6">
        <v>1027</v>
      </c>
      <c r="B1029" s="7">
        <v>397.39999389648398</v>
      </c>
      <c r="C1029" s="3">
        <f t="shared" si="4"/>
        <v>1.667066628476056E-2</v>
      </c>
    </row>
    <row r="1030" spans="1:3" ht="13.2" x14ac:dyDescent="0.25">
      <c r="A1030" s="6">
        <v>1028</v>
      </c>
      <c r="B1030" s="7">
        <v>394.66000366210898</v>
      </c>
      <c r="C1030" s="3">
        <f t="shared" si="4"/>
        <v>-6.9186707386664258E-3</v>
      </c>
    </row>
    <row r="1031" spans="1:3" ht="13.2" x14ac:dyDescent="0.25">
      <c r="A1031" s="6">
        <v>1029</v>
      </c>
      <c r="B1031" s="7">
        <v>405.35998535156199</v>
      </c>
      <c r="C1031" s="3">
        <f t="shared" si="4"/>
        <v>2.6750881010363842E-2</v>
      </c>
    </row>
    <row r="1032" spans="1:3" ht="13.2" x14ac:dyDescent="0.25">
      <c r="A1032" s="6">
        <v>1030</v>
      </c>
      <c r="B1032" s="7">
        <v>401.66000366210898</v>
      </c>
      <c r="C1032" s="3">
        <f t="shared" si="4"/>
        <v>-9.1695563048254814E-3</v>
      </c>
    </row>
    <row r="1033" spans="1:3" ht="13.2" x14ac:dyDescent="0.25">
      <c r="A1033" s="6">
        <v>1031</v>
      </c>
      <c r="B1033" s="7">
        <v>403.80999755859301</v>
      </c>
      <c r="C1033" s="3">
        <f t="shared" si="4"/>
        <v>5.3384955352163022E-3</v>
      </c>
    </row>
    <row r="1034" spans="1:3" ht="13.2" x14ac:dyDescent="0.25">
      <c r="A1034" s="6">
        <v>1032</v>
      </c>
      <c r="B1034" s="7">
        <v>398.92999267578102</v>
      </c>
      <c r="C1034" s="3">
        <f t="shared" si="4"/>
        <v>-1.2158519718621707E-2</v>
      </c>
    </row>
    <row r="1035" spans="1:3" ht="13.2" x14ac:dyDescent="0.25">
      <c r="A1035" s="6">
        <v>1033</v>
      </c>
      <c r="B1035" s="7">
        <v>393.510009765625</v>
      </c>
      <c r="C1035" s="3">
        <f t="shared" si="4"/>
        <v>-1.3679439230684407E-2</v>
      </c>
    </row>
    <row r="1036" spans="1:3" ht="13.2" x14ac:dyDescent="0.25">
      <c r="A1036" s="6">
        <v>1034</v>
      </c>
      <c r="B1036" s="7">
        <v>391.04998779296801</v>
      </c>
      <c r="C1036" s="3">
        <f t="shared" si="4"/>
        <v>-6.271107480296273E-3</v>
      </c>
    </row>
    <row r="1037" spans="1:3" ht="13.2" x14ac:dyDescent="0.25">
      <c r="A1037" s="6">
        <v>1035</v>
      </c>
      <c r="B1037" s="7">
        <v>410.04000854492102</v>
      </c>
      <c r="C1037" s="3">
        <f t="shared" si="4"/>
        <v>4.7419338922857046E-2</v>
      </c>
    </row>
    <row r="1038" spans="1:3" ht="13.2" x14ac:dyDescent="0.25">
      <c r="A1038" s="6">
        <v>1036</v>
      </c>
      <c r="B1038" s="7">
        <v>402.92001342773398</v>
      </c>
      <c r="C1038" s="3">
        <f t="shared" si="4"/>
        <v>-1.7516672353903692E-2</v>
      </c>
    </row>
    <row r="1039" spans="1:3" ht="13.2" x14ac:dyDescent="0.25">
      <c r="A1039" s="6">
        <v>1037</v>
      </c>
      <c r="B1039" s="7">
        <v>404.42999267578102</v>
      </c>
      <c r="C1039" s="3">
        <f t="shared" si="4"/>
        <v>3.74058586056814E-3</v>
      </c>
    </row>
    <row r="1040" spans="1:3" ht="13.2" x14ac:dyDescent="0.25">
      <c r="A1040" s="6">
        <v>1038</v>
      </c>
      <c r="B1040" s="7">
        <v>406.70001220703102</v>
      </c>
      <c r="C1040" s="3">
        <f t="shared" si="4"/>
        <v>5.5971926669047337E-3</v>
      </c>
    </row>
    <row r="1041" spans="1:3" ht="13.2" x14ac:dyDescent="0.25">
      <c r="A1041" s="6">
        <v>1039</v>
      </c>
      <c r="B1041" s="7">
        <v>418.95999145507801</v>
      </c>
      <c r="C1041" s="3">
        <f t="shared" si="4"/>
        <v>2.9699586647668905E-2</v>
      </c>
    </row>
    <row r="1042" spans="1:3" ht="13.2" x14ac:dyDescent="0.25">
      <c r="A1042" s="6">
        <v>1040</v>
      </c>
      <c r="B1042" s="7">
        <v>411.01998901367102</v>
      </c>
      <c r="C1042" s="3">
        <f t="shared" si="4"/>
        <v>-1.9133581192329285E-2</v>
      </c>
    </row>
    <row r="1043" spans="1:3" ht="13.2" x14ac:dyDescent="0.25">
      <c r="A1043" s="6">
        <v>1041</v>
      </c>
      <c r="B1043" s="7">
        <v>402.14999389648398</v>
      </c>
      <c r="C1043" s="3">
        <f t="shared" si="4"/>
        <v>-2.1816710210481732E-2</v>
      </c>
    </row>
    <row r="1044" spans="1:3" ht="13.2" x14ac:dyDescent="0.25">
      <c r="A1044" s="6">
        <v>1042</v>
      </c>
      <c r="B1044" s="7">
        <v>400.760009765625</v>
      </c>
      <c r="C1044" s="3">
        <f t="shared" si="4"/>
        <v>-3.4623694140395985E-3</v>
      </c>
    </row>
    <row r="1045" spans="1:3" ht="13.2" x14ac:dyDescent="0.25">
      <c r="A1045" s="6">
        <v>1043</v>
      </c>
      <c r="B1045" s="7">
        <v>394.42001342773398</v>
      </c>
      <c r="C1045" s="3">
        <f t="shared" si="4"/>
        <v>-1.5946403332651064E-2</v>
      </c>
    </row>
    <row r="1046" spans="1:3" ht="13.2" x14ac:dyDescent="0.25">
      <c r="A1046" s="6">
        <v>1044</v>
      </c>
      <c r="B1046" s="7">
        <v>494.64999389648398</v>
      </c>
      <c r="C1046" s="3">
        <f t="shared" si="4"/>
        <v>0.22643406400399696</v>
      </c>
    </row>
    <row r="1047" spans="1:3" ht="13.2" x14ac:dyDescent="0.25">
      <c r="A1047" s="6">
        <v>1045</v>
      </c>
      <c r="B1047" s="7">
        <v>506.11999511718699</v>
      </c>
      <c r="C1047" s="3">
        <f t="shared" si="4"/>
        <v>2.2923356243351133E-2</v>
      </c>
    </row>
    <row r="1048" spans="1:3" ht="13.2" x14ac:dyDescent="0.25">
      <c r="A1048" s="6">
        <v>1046</v>
      </c>
      <c r="B1048" s="7">
        <v>509.97000122070301</v>
      </c>
      <c r="C1048" s="3">
        <f t="shared" si="4"/>
        <v>7.5781171789413926E-3</v>
      </c>
    </row>
    <row r="1049" spans="1:3" ht="13.2" x14ac:dyDescent="0.25">
      <c r="A1049" s="6">
        <v>1047</v>
      </c>
      <c r="B1049" s="7">
        <v>508.29000854492102</v>
      </c>
      <c r="C1049" s="3">
        <f t="shared" si="4"/>
        <v>-3.2997352032259602E-3</v>
      </c>
    </row>
    <row r="1050" spans="1:3" ht="13.2" x14ac:dyDescent="0.25">
      <c r="A1050" s="6">
        <v>1048</v>
      </c>
      <c r="B1050" s="7">
        <v>503.850006103515</v>
      </c>
      <c r="C1050" s="3">
        <f t="shared" si="4"/>
        <v>-8.7735508090727859E-3</v>
      </c>
    </row>
    <row r="1051" spans="1:3" ht="13.2" x14ac:dyDescent="0.25">
      <c r="A1051" s="6">
        <v>1049</v>
      </c>
      <c r="B1051" s="7">
        <v>507.79998779296801</v>
      </c>
      <c r="C1051" s="3">
        <f t="shared" si="4"/>
        <v>7.809028391357685E-3</v>
      </c>
    </row>
    <row r="1052" spans="1:3" ht="13.2" x14ac:dyDescent="0.25">
      <c r="A1052" s="6">
        <v>1050</v>
      </c>
      <c r="B1052" s="7">
        <v>504.76998901367102</v>
      </c>
      <c r="C1052" s="3">
        <f t="shared" si="4"/>
        <v>-5.9847870125615205E-3</v>
      </c>
    </row>
    <row r="1053" spans="1:3" ht="13.2" x14ac:dyDescent="0.25">
      <c r="A1053" s="6">
        <v>1051</v>
      </c>
      <c r="B1053" s="7">
        <v>508.51998901367102</v>
      </c>
      <c r="C1053" s="3">
        <f t="shared" si="4"/>
        <v>7.401666258443019E-3</v>
      </c>
    </row>
    <row r="1054" spans="1:3" ht="13.2" x14ac:dyDescent="0.25">
      <c r="A1054" s="6">
        <v>1052</v>
      </c>
      <c r="B1054" s="7">
        <v>500.27999877929602</v>
      </c>
      <c r="C1054" s="3">
        <f t="shared" si="4"/>
        <v>-1.6336585236740149E-2</v>
      </c>
    </row>
    <row r="1055" spans="1:3" ht="13.2" x14ac:dyDescent="0.25">
      <c r="A1055" s="6">
        <v>1053</v>
      </c>
      <c r="B1055" s="7">
        <v>495.100006103515</v>
      </c>
      <c r="C1055" s="3">
        <f t="shared" si="4"/>
        <v>-1.0408164545444175E-2</v>
      </c>
    </row>
    <row r="1056" spans="1:3" ht="13.2" x14ac:dyDescent="0.25">
      <c r="A1056" s="6">
        <v>1054</v>
      </c>
      <c r="B1056" s="7">
        <v>498.989990234375</v>
      </c>
      <c r="C1056" s="3">
        <f t="shared" si="4"/>
        <v>7.8262612045498867E-3</v>
      </c>
    </row>
    <row r="1057" spans="1:3" ht="13.2" x14ac:dyDescent="0.25">
      <c r="A1057" s="6">
        <v>1055</v>
      </c>
      <c r="B1057" s="7">
        <v>486.08999633789</v>
      </c>
      <c r="C1057" s="3">
        <f t="shared" si="4"/>
        <v>-2.6192251492561547E-2</v>
      </c>
    </row>
    <row r="1058" spans="1:3" ht="13.2" x14ac:dyDescent="0.25">
      <c r="A1058" s="6">
        <v>1056</v>
      </c>
      <c r="B1058" s="7">
        <v>481.92001342773398</v>
      </c>
      <c r="C1058" s="3">
        <f t="shared" si="4"/>
        <v>-8.6156313727409947E-3</v>
      </c>
    </row>
    <row r="1059" spans="1:3" ht="13.2" x14ac:dyDescent="0.25">
      <c r="A1059" s="6">
        <v>1057</v>
      </c>
      <c r="B1059" s="7">
        <v>474.67001342773398</v>
      </c>
      <c r="C1059" s="3">
        <f t="shared" si="4"/>
        <v>-1.5158298994837052E-2</v>
      </c>
    </row>
    <row r="1060" spans="1:3" ht="13.2" x14ac:dyDescent="0.25">
      <c r="A1060" s="6">
        <v>1058</v>
      </c>
      <c r="B1060" s="7">
        <v>483.64001464843699</v>
      </c>
      <c r="C1060" s="3">
        <f t="shared" si="4"/>
        <v>1.8721004554309043E-2</v>
      </c>
    </row>
    <row r="1061" spans="1:3" ht="13.2" x14ac:dyDescent="0.25">
      <c r="A1061" s="6">
        <v>1059</v>
      </c>
      <c r="B1061" s="7">
        <v>482.66000366210898</v>
      </c>
      <c r="C1061" s="3">
        <f t="shared" si="4"/>
        <v>-2.0283789791250583E-3</v>
      </c>
    </row>
    <row r="1062" spans="1:3" ht="13.2" x14ac:dyDescent="0.25">
      <c r="A1062" s="6">
        <v>1060</v>
      </c>
      <c r="B1062" s="7">
        <v>474.489990234375</v>
      </c>
      <c r="C1062" s="3">
        <f t="shared" si="4"/>
        <v>-1.7071957183812658E-2</v>
      </c>
    </row>
    <row r="1063" spans="1:3" ht="13.2" x14ac:dyDescent="0.25">
      <c r="A1063" s="6">
        <v>1061</v>
      </c>
      <c r="B1063" s="7">
        <v>480.39001464843699</v>
      </c>
      <c r="C1063" s="3">
        <f t="shared" si="4"/>
        <v>1.2357782064294567E-2</v>
      </c>
    </row>
    <row r="1064" spans="1:3" ht="13.2" x14ac:dyDescent="0.25">
      <c r="A1064" s="6">
        <v>1062</v>
      </c>
      <c r="B1064" s="7">
        <v>479.38000488281199</v>
      </c>
      <c r="C1064" s="3">
        <f t="shared" si="4"/>
        <v>-2.1046919947704901E-3</v>
      </c>
    </row>
    <row r="1065" spans="1:3" ht="13.2" x14ac:dyDescent="0.25">
      <c r="A1065" s="6">
        <v>1063</v>
      </c>
      <c r="B1065" s="7">
        <v>473.94000244140602</v>
      </c>
      <c r="C1065" s="3">
        <f t="shared" si="4"/>
        <v>-1.141287594484542E-2</v>
      </c>
    </row>
    <row r="1066" spans="1:3" ht="13.2" x14ac:dyDescent="0.25">
      <c r="A1066" s="6">
        <v>1064</v>
      </c>
      <c r="B1066" s="7">
        <v>468</v>
      </c>
      <c r="C1066" s="3">
        <f t="shared" si="4"/>
        <v>-1.2612440638033679E-2</v>
      </c>
    </row>
    <row r="1067" spans="1:3" ht="13.2" x14ac:dyDescent="0.25">
      <c r="A1067" s="6">
        <v>1065</v>
      </c>
      <c r="B1067" s="7">
        <v>464</v>
      </c>
      <c r="C1067" s="3">
        <f t="shared" si="4"/>
        <v>-8.5837436913914419E-3</v>
      </c>
    </row>
    <row r="1068" spans="1:3" ht="13.2" x14ac:dyDescent="0.25">
      <c r="A1068" s="6">
        <v>1066</v>
      </c>
      <c r="B1068" s="7">
        <v>469.260009765625</v>
      </c>
      <c r="C1068" s="3">
        <f t="shared" si="4"/>
        <v>1.1272454426010797E-2</v>
      </c>
    </row>
    <row r="1069" spans="1:3" ht="13.2" x14ac:dyDescent="0.25">
      <c r="A1069" s="6">
        <v>1067</v>
      </c>
      <c r="B1069" s="7">
        <v>471</v>
      </c>
      <c r="C1069" s="3">
        <f t="shared" si="4"/>
        <v>3.7010873641516433E-3</v>
      </c>
    </row>
    <row r="1070" spans="1:3" ht="13.2" x14ac:dyDescent="0.25">
      <c r="A1070" s="6">
        <v>1068</v>
      </c>
      <c r="B1070" s="7">
        <v>478.77999877929602</v>
      </c>
      <c r="C1070" s="3">
        <f t="shared" si="4"/>
        <v>1.6383105150947642E-2</v>
      </c>
    </row>
    <row r="1071" spans="1:3" ht="13.2" x14ac:dyDescent="0.25">
      <c r="A1071" s="6">
        <v>1069</v>
      </c>
      <c r="B1071" s="7">
        <v>469.32000732421801</v>
      </c>
      <c r="C1071" s="3">
        <f t="shared" si="4"/>
        <v>-1.995634500592092E-2</v>
      </c>
    </row>
    <row r="1072" spans="1:3" ht="13.2" x14ac:dyDescent="0.25">
      <c r="A1072" s="6">
        <v>1070</v>
      </c>
      <c r="B1072" s="7">
        <v>474.39999389648398</v>
      </c>
      <c r="C1072" s="3">
        <f t="shared" si="4"/>
        <v>1.0765980656312324E-2</v>
      </c>
    </row>
    <row r="1073" spans="1:3" ht="13.2" x14ac:dyDescent="0.25">
      <c r="A1073" s="6">
        <v>1071</v>
      </c>
      <c r="B1073" s="7">
        <v>474.51998901367102</v>
      </c>
      <c r="C1073" s="3">
        <f t="shared" si="4"/>
        <v>2.5290882263560399E-4</v>
      </c>
    </row>
    <row r="1074" spans="1:3" ht="13.2" x14ac:dyDescent="0.25">
      <c r="A1074" s="6">
        <v>1072</v>
      </c>
      <c r="B1074" s="7">
        <v>490.079986572265</v>
      </c>
      <c r="C1074" s="3">
        <f t="shared" si="4"/>
        <v>3.2264872045004771E-2</v>
      </c>
    </row>
    <row r="1075" spans="1:3" ht="13.2" x14ac:dyDescent="0.25">
      <c r="A1075" s="6">
        <v>1073</v>
      </c>
      <c r="B1075" s="7">
        <v>502.73001098632801</v>
      </c>
      <c r="C1075" s="3">
        <f t="shared" si="4"/>
        <v>2.5484652826026227E-2</v>
      </c>
    </row>
    <row r="1076" spans="1:3" ht="13.2" x14ac:dyDescent="0.25">
      <c r="A1076" s="6">
        <v>1074</v>
      </c>
      <c r="B1076" s="7">
        <v>505.58999633789</v>
      </c>
      <c r="C1076" s="3">
        <f t="shared" si="4"/>
        <v>5.6727884013740822E-3</v>
      </c>
    </row>
    <row r="1077" spans="1:3" ht="13.2" x14ac:dyDescent="0.25">
      <c r="A1077" s="6">
        <v>1075</v>
      </c>
      <c r="B1077" s="7">
        <v>501.17999267578102</v>
      </c>
      <c r="C1077" s="3">
        <f t="shared" si="4"/>
        <v>-8.7607535308769548E-3</v>
      </c>
    </row>
    <row r="1078" spans="1:3" ht="13.2" x14ac:dyDescent="0.25">
      <c r="A1078" s="6">
        <v>1076</v>
      </c>
      <c r="B1078" s="7">
        <v>500.989990234375</v>
      </c>
      <c r="C1078" s="3">
        <f t="shared" si="4"/>
        <v>-3.7918206875601888E-4</v>
      </c>
    </row>
    <row r="1079" spans="1:3" ht="13.2" x14ac:dyDescent="0.25">
      <c r="A1079" s="6">
        <v>1077</v>
      </c>
      <c r="B1079" s="7">
        <v>509.45001220703102</v>
      </c>
      <c r="C1079" s="3">
        <f t="shared" si="4"/>
        <v>1.6745615068324862E-2</v>
      </c>
    </row>
    <row r="1080" spans="1:3" ht="13.2" x14ac:dyDescent="0.25">
      <c r="A1080" s="6">
        <v>1078</v>
      </c>
      <c r="B1080" s="7">
        <v>519</v>
      </c>
      <c r="C1080" s="3">
        <f t="shared" si="4"/>
        <v>1.8572146784399064E-2</v>
      </c>
    </row>
    <row r="1081" spans="1:3" ht="13.2" x14ac:dyDescent="0.25">
      <c r="A1081" s="6">
        <v>1079</v>
      </c>
      <c r="B1081" s="7">
        <v>530.84997558593705</v>
      </c>
      <c r="C1081" s="3">
        <f t="shared" si="4"/>
        <v>2.2575566303180965E-2</v>
      </c>
    </row>
    <row r="1082" spans="1:3" ht="13.2" x14ac:dyDescent="0.25">
      <c r="A1082" s="6">
        <v>1080</v>
      </c>
      <c r="B1082" s="7">
        <v>539.78997802734295</v>
      </c>
      <c r="C1082" s="3">
        <f t="shared" si="4"/>
        <v>1.6700684857530845E-2</v>
      </c>
    </row>
    <row r="1083" spans="1:3" ht="13.2" x14ac:dyDescent="0.25">
      <c r="A1083" s="6">
        <v>1081</v>
      </c>
      <c r="B1083" s="7">
        <v>535.5</v>
      </c>
      <c r="C1083" s="3">
        <f t="shared" si="4"/>
        <v>-7.97924443879699E-3</v>
      </c>
    </row>
    <row r="1084" spans="1:3" ht="13.2" x14ac:dyDescent="0.25">
      <c r="A1084" s="6">
        <v>1082</v>
      </c>
      <c r="B1084" s="7">
        <v>521.03997802734295</v>
      </c>
      <c r="C1084" s="3">
        <f t="shared" si="4"/>
        <v>-2.7374117820426435E-2</v>
      </c>
    </row>
    <row r="1085" spans="1:3" ht="13.2" x14ac:dyDescent="0.25">
      <c r="A1085" s="6">
        <v>1083</v>
      </c>
      <c r="B1085" s="7">
        <v>509.32000732421801</v>
      </c>
      <c r="C1085" s="3">
        <f t="shared" si="4"/>
        <v>-2.2750254981756719E-2</v>
      </c>
    </row>
    <row r="1086" spans="1:3" ht="13.2" x14ac:dyDescent="0.25">
      <c r="A1086" s="6">
        <v>1084</v>
      </c>
      <c r="B1086" s="7">
        <v>507.30999755859301</v>
      </c>
      <c r="C1086" s="3">
        <f t="shared" si="4"/>
        <v>-3.9542653178618646E-3</v>
      </c>
    </row>
    <row r="1087" spans="1:3" ht="13.2" x14ac:dyDescent="0.25">
      <c r="A1087" s="6">
        <v>1085</v>
      </c>
      <c r="B1087" s="7">
        <v>507.829986572265</v>
      </c>
      <c r="C1087" s="3">
        <f t="shared" si="4"/>
        <v>1.0244676936769265E-3</v>
      </c>
    </row>
    <row r="1088" spans="1:3" ht="13.2" x14ac:dyDescent="0.25">
      <c r="A1088" s="6">
        <v>1086</v>
      </c>
      <c r="B1088" s="7">
        <v>510.70999145507801</v>
      </c>
      <c r="C1088" s="3">
        <f t="shared" si="4"/>
        <v>5.6551782363017484E-3</v>
      </c>
    </row>
    <row r="1089" spans="1:3" ht="13.2" x14ac:dyDescent="0.25">
      <c r="A1089" s="6">
        <v>1087</v>
      </c>
      <c r="B1089" s="7">
        <v>515.760009765625</v>
      </c>
      <c r="C1089" s="3">
        <f t="shared" si="4"/>
        <v>9.8396622390641026E-3</v>
      </c>
    </row>
    <row r="1090" spans="1:3" ht="13.2" x14ac:dyDescent="0.25">
      <c r="A1090" s="6">
        <v>1088</v>
      </c>
      <c r="B1090" s="7">
        <v>522.66998291015602</v>
      </c>
      <c r="C1090" s="3">
        <f t="shared" si="4"/>
        <v>1.3308697138928629E-2</v>
      </c>
    </row>
    <row r="1091" spans="1:3" ht="13.2" x14ac:dyDescent="0.25">
      <c r="A1091" s="6">
        <v>1089</v>
      </c>
      <c r="B1091" s="7">
        <v>513.14001464843705</v>
      </c>
      <c r="C1091" s="3">
        <f t="shared" si="4"/>
        <v>-1.8401516106517066E-2</v>
      </c>
    </row>
    <row r="1092" spans="1:3" ht="13.2" x14ac:dyDescent="0.25">
      <c r="A1092" s="6">
        <v>1090</v>
      </c>
      <c r="B1092" s="7">
        <v>504.17001342773398</v>
      </c>
      <c r="C1092" s="3">
        <f t="shared" si="4"/>
        <v>-1.7635201550588776E-2</v>
      </c>
    </row>
    <row r="1093" spans="1:3" ht="13.2" x14ac:dyDescent="0.25">
      <c r="A1093" s="6">
        <v>1091</v>
      </c>
      <c r="B1093" s="7">
        <v>514.19000244140602</v>
      </c>
      <c r="C1093" s="3">
        <f t="shared" si="4"/>
        <v>1.9679312286393132E-2</v>
      </c>
    </row>
    <row r="1094" spans="1:3" ht="13.2" x14ac:dyDescent="0.25">
      <c r="A1094" s="6">
        <v>1092</v>
      </c>
      <c r="B1094" s="7">
        <v>510</v>
      </c>
      <c r="C1094" s="3">
        <f t="shared" si="4"/>
        <v>-8.1821259866455866E-3</v>
      </c>
    </row>
    <row r="1095" spans="1:3" ht="13.2" x14ac:dyDescent="0.25">
      <c r="A1095" s="6">
        <v>1093</v>
      </c>
      <c r="B1095" s="7">
        <v>509</v>
      </c>
      <c r="C1095" s="3">
        <f t="shared" si="4"/>
        <v>-1.9627091678487058E-3</v>
      </c>
    </row>
    <row r="1096" spans="1:3" ht="13.2" x14ac:dyDescent="0.25">
      <c r="A1096" s="6">
        <v>1094</v>
      </c>
      <c r="B1096" s="7">
        <v>494.30999755859301</v>
      </c>
      <c r="C1096" s="3">
        <f t="shared" si="4"/>
        <v>-2.9285170752092984E-2</v>
      </c>
    </row>
    <row r="1097" spans="1:3" ht="13.2" x14ac:dyDescent="0.25">
      <c r="A1097" s="6">
        <v>1095</v>
      </c>
      <c r="B1097" s="7">
        <v>479.989990234375</v>
      </c>
      <c r="C1097" s="3">
        <f t="shared" si="4"/>
        <v>-2.9397595792319549E-2</v>
      </c>
    </row>
    <row r="1098" spans="1:3" ht="13.2" x14ac:dyDescent="0.25">
      <c r="A1098" s="6">
        <v>1096</v>
      </c>
      <c r="B1098" s="7">
        <v>500.010009765625</v>
      </c>
      <c r="C1098" s="3">
        <f t="shared" si="4"/>
        <v>4.0862867746943296E-2</v>
      </c>
    </row>
    <row r="1099" spans="1:3" ht="13.2" x14ac:dyDescent="0.25">
      <c r="A1099" s="6">
        <v>1097</v>
      </c>
      <c r="B1099" s="7">
        <v>488.05999755859301</v>
      </c>
      <c r="C1099" s="3">
        <f t="shared" si="4"/>
        <v>-2.4189773640334936E-2</v>
      </c>
    </row>
    <row r="1100" spans="1:3" ht="13.2" x14ac:dyDescent="0.25">
      <c r="A1100" s="6">
        <v>1098</v>
      </c>
      <c r="B1100" s="7">
        <v>485.26998901367102</v>
      </c>
      <c r="C1100" s="3">
        <f t="shared" si="4"/>
        <v>-5.7329296844617116E-3</v>
      </c>
    </row>
    <row r="1101" spans="1:3" ht="13.2" x14ac:dyDescent="0.25">
      <c r="A1101" s="6">
        <v>1099</v>
      </c>
      <c r="B1101" s="7">
        <v>492.95001220703102</v>
      </c>
      <c r="C1101" s="3">
        <f t="shared" si="4"/>
        <v>1.570235935601666E-2</v>
      </c>
    </row>
    <row r="1102" spans="1:3" ht="13.2" x14ac:dyDescent="0.25">
      <c r="A1102" s="6">
        <v>1100</v>
      </c>
      <c r="B1102" s="7">
        <v>495.80999755859301</v>
      </c>
      <c r="C1102" s="3">
        <f t="shared" si="4"/>
        <v>5.7850101124932796E-3</v>
      </c>
    </row>
    <row r="1103" spans="1:3" ht="13.2" x14ac:dyDescent="0.25">
      <c r="A1103" s="6">
        <v>1101</v>
      </c>
      <c r="B1103" s="7">
        <v>490.239990234375</v>
      </c>
      <c r="C1103" s="3">
        <f t="shared" si="4"/>
        <v>-1.1297736704685393E-2</v>
      </c>
    </row>
    <row r="1104" spans="1:3" ht="13.2" x14ac:dyDescent="0.25">
      <c r="A1104" s="6">
        <v>1102</v>
      </c>
      <c r="B1104" s="7">
        <v>496.42999267578102</v>
      </c>
      <c r="C1104" s="3">
        <f t="shared" si="4"/>
        <v>1.254742469141897E-2</v>
      </c>
    </row>
    <row r="1105" spans="1:3" ht="13.2" x14ac:dyDescent="0.25">
      <c r="A1105" s="6">
        <v>1103</v>
      </c>
      <c r="B1105" s="7">
        <v>495.29998779296801</v>
      </c>
      <c r="C1105" s="3">
        <f t="shared" si="4"/>
        <v>-2.2788569350424637E-3</v>
      </c>
    </row>
    <row r="1106" spans="1:3" ht="13.2" x14ac:dyDescent="0.25">
      <c r="A1106" s="6">
        <v>1104</v>
      </c>
      <c r="B1106" s="7">
        <v>496.36999511718699</v>
      </c>
      <c r="C1106" s="3">
        <f t="shared" si="4"/>
        <v>2.1579915857177735E-3</v>
      </c>
    </row>
    <row r="1107" spans="1:3" ht="13.2" x14ac:dyDescent="0.25">
      <c r="A1107" s="6">
        <v>1105</v>
      </c>
      <c r="B1107" s="7">
        <v>508.98001098632801</v>
      </c>
      <c r="C1107" s="3">
        <f t="shared" si="4"/>
        <v>2.5087138098512131E-2</v>
      </c>
    </row>
    <row r="1108" spans="1:3" ht="13.2" x14ac:dyDescent="0.25">
      <c r="A1108" s="6">
        <v>1106</v>
      </c>
      <c r="B1108" s="7">
        <v>512.530029296875</v>
      </c>
      <c r="C1108" s="3">
        <f t="shared" si="4"/>
        <v>6.9505584133287227E-3</v>
      </c>
    </row>
    <row r="1109" spans="1:3" ht="13.2" x14ac:dyDescent="0.25">
      <c r="A1109" s="6">
        <v>1107</v>
      </c>
      <c r="B1109" s="7">
        <v>510.850006103515</v>
      </c>
      <c r="C1109" s="3">
        <f t="shared" si="4"/>
        <v>-3.2832860608204084E-3</v>
      </c>
    </row>
    <row r="1110" spans="1:3" ht="13.2" x14ac:dyDescent="0.25">
      <c r="A1110" s="6">
        <v>1108</v>
      </c>
      <c r="B1110" s="7">
        <v>506.850006103515</v>
      </c>
      <c r="C1110" s="3">
        <f t="shared" si="4"/>
        <v>-7.8609031147336781E-3</v>
      </c>
    </row>
    <row r="1111" spans="1:3" ht="13.2" x14ac:dyDescent="0.25">
      <c r="A1111" s="6">
        <v>1109</v>
      </c>
      <c r="B1111" s="7">
        <v>510</v>
      </c>
      <c r="C1111" s="3">
        <f t="shared" si="4"/>
        <v>6.1956118479091059E-3</v>
      </c>
    </row>
    <row r="1112" spans="1:3" ht="13.2" x14ac:dyDescent="0.25">
      <c r="A1112" s="6">
        <v>1110</v>
      </c>
      <c r="B1112" s="7">
        <v>509.989990234375</v>
      </c>
      <c r="C1112" s="3">
        <f t="shared" si="4"/>
        <v>-1.9627184033467173E-5</v>
      </c>
    </row>
    <row r="1113" spans="1:3" ht="13.2" x14ac:dyDescent="0.25">
      <c r="A1113" s="6">
        <v>1111</v>
      </c>
      <c r="B1113" s="7">
        <v>517.20001220703102</v>
      </c>
      <c r="C1113" s="3">
        <f t="shared" si="4"/>
        <v>1.4038571965512258E-2</v>
      </c>
    </row>
    <row r="1114" spans="1:3" ht="13.2" x14ac:dyDescent="0.25">
      <c r="A1114" s="6">
        <v>1112</v>
      </c>
      <c r="B1114" s="7">
        <v>519.59002685546795</v>
      </c>
      <c r="C1114" s="3">
        <f t="shared" si="4"/>
        <v>4.6104202237594229E-3</v>
      </c>
    </row>
    <row r="1115" spans="1:3" ht="13.2" x14ac:dyDescent="0.25">
      <c r="A1115" s="6">
        <v>1113</v>
      </c>
      <c r="B1115" s="7">
        <v>524.91998291015602</v>
      </c>
      <c r="C1115" s="3">
        <f t="shared" si="4"/>
        <v>1.0205746747430829E-2</v>
      </c>
    </row>
    <row r="1116" spans="1:3" ht="13.2" x14ac:dyDescent="0.25">
      <c r="A1116" s="6">
        <v>1114</v>
      </c>
      <c r="B1116" s="7">
        <v>525.59997558593705</v>
      </c>
      <c r="C1116" s="3">
        <f t="shared" si="4"/>
        <v>1.2945832494676078E-3</v>
      </c>
    </row>
    <row r="1117" spans="1:3" ht="13.2" x14ac:dyDescent="0.25">
      <c r="A1117" s="6">
        <v>1115</v>
      </c>
      <c r="B1117" s="7">
        <v>528.66998291015602</v>
      </c>
      <c r="C1117" s="3">
        <f t="shared" si="4"/>
        <v>5.8239656304281502E-3</v>
      </c>
    </row>
    <row r="1118" spans="1:3" ht="13.2" x14ac:dyDescent="0.25">
      <c r="A1118" s="6">
        <v>1116</v>
      </c>
      <c r="B1118" s="7">
        <v>536.63000488281205</v>
      </c>
      <c r="C1118" s="3">
        <f t="shared" si="4"/>
        <v>1.4944466743004226E-2</v>
      </c>
    </row>
    <row r="1119" spans="1:3" ht="13.2" x14ac:dyDescent="0.25">
      <c r="A1119" s="6">
        <v>1117</v>
      </c>
      <c r="B1119" s="7">
        <v>535.75</v>
      </c>
      <c r="C1119" s="3">
        <f t="shared" si="4"/>
        <v>-1.641218740254104E-3</v>
      </c>
    </row>
    <row r="1120" spans="1:3" ht="13.2" x14ac:dyDescent="0.25">
      <c r="A1120" s="6">
        <v>1118</v>
      </c>
      <c r="B1120" s="7">
        <v>544.65997314453102</v>
      </c>
      <c r="C1120" s="3">
        <f t="shared" si="4"/>
        <v>1.6494063114311841E-2</v>
      </c>
    </row>
    <row r="1121" spans="1:3" ht="13.2" x14ac:dyDescent="0.25">
      <c r="A1121" s="6">
        <v>1119</v>
      </c>
      <c r="B1121" s="7">
        <v>541.280029296875</v>
      </c>
      <c r="C1121" s="3">
        <f t="shared" si="4"/>
        <v>-6.2249383104257495E-3</v>
      </c>
    </row>
    <row r="1122" spans="1:3" ht="13.2" x14ac:dyDescent="0.25">
      <c r="A1122" s="6">
        <v>1120</v>
      </c>
      <c r="B1122" s="7">
        <v>539.89001464843705</v>
      </c>
      <c r="C1122" s="3">
        <f t="shared" si="4"/>
        <v>-2.5713169211116819E-3</v>
      </c>
    </row>
    <row r="1123" spans="1:3" ht="13.2" x14ac:dyDescent="0.25">
      <c r="A1123" s="6">
        <v>1121</v>
      </c>
      <c r="B1123" s="7">
        <v>537.38000488281205</v>
      </c>
      <c r="C1123" s="3">
        <f t="shared" si="4"/>
        <v>-4.6599538875554411E-3</v>
      </c>
    </row>
    <row r="1124" spans="1:3" ht="13.2" x14ac:dyDescent="0.25">
      <c r="A1124" s="6">
        <v>1122</v>
      </c>
      <c r="B1124" s="7">
        <v>531.79998779296795</v>
      </c>
      <c r="C1124" s="3">
        <f t="shared" si="4"/>
        <v>-1.0438032494164485E-2</v>
      </c>
    </row>
    <row r="1125" spans="1:3" ht="13.2" x14ac:dyDescent="0.25">
      <c r="A1125" s="6">
        <v>1123</v>
      </c>
      <c r="B1125" s="7">
        <v>527.510009765625</v>
      </c>
      <c r="C1125" s="3">
        <f t="shared" si="4"/>
        <v>-8.099614825553875E-3</v>
      </c>
    </row>
    <row r="1126" spans="1:3" ht="13.2" x14ac:dyDescent="0.25">
      <c r="A1126" s="6">
        <v>1124</v>
      </c>
      <c r="B1126" s="7">
        <v>526.03997802734295</v>
      </c>
      <c r="C1126" s="3">
        <f t="shared" si="4"/>
        <v>-2.7906273253595318E-3</v>
      </c>
    </row>
    <row r="1127" spans="1:3" ht="13.2" x14ac:dyDescent="0.25">
      <c r="A1127" s="6">
        <v>1125</v>
      </c>
      <c r="B1127" s="7">
        <v>525.09002685546795</v>
      </c>
      <c r="C1127" s="3">
        <f t="shared" si="4"/>
        <v>-1.8074860884701783E-3</v>
      </c>
    </row>
    <row r="1128" spans="1:3" ht="13.2" x14ac:dyDescent="0.25">
      <c r="A1128" s="6">
        <v>1126</v>
      </c>
      <c r="B1128" s="7">
        <v>526.469970703125</v>
      </c>
      <c r="C1128" s="3">
        <f t="shared" si="4"/>
        <v>2.6245666305084758E-3</v>
      </c>
    </row>
    <row r="1129" spans="1:3" ht="13.2" x14ac:dyDescent="0.25">
      <c r="A1129" s="6">
        <v>1127</v>
      </c>
      <c r="B1129" s="7">
        <v>513.760009765625</v>
      </c>
      <c r="C1129" s="3">
        <f t="shared" si="4"/>
        <v>-2.4438044896516277E-2</v>
      </c>
    </row>
    <row r="1130" spans="1:3" ht="13.2" x14ac:dyDescent="0.25">
      <c r="A1130" s="6">
        <v>1128</v>
      </c>
      <c r="B1130" s="7">
        <v>526.78997802734295</v>
      </c>
      <c r="C1130" s="3">
        <f t="shared" si="4"/>
        <v>2.5045696093070929E-2</v>
      </c>
    </row>
    <row r="1131" spans="1:3" ht="13.2" x14ac:dyDescent="0.25">
      <c r="A1131" s="6">
        <v>1129</v>
      </c>
      <c r="B1131" s="7">
        <v>525.510009765625</v>
      </c>
      <c r="C1131" s="3">
        <f t="shared" si="4"/>
        <v>-2.4327072276166574E-3</v>
      </c>
    </row>
    <row r="1132" spans="1:3" ht="13.2" x14ac:dyDescent="0.25">
      <c r="A1132" s="6">
        <v>1130</v>
      </c>
      <c r="B1132" s="7">
        <v>540.09997558593705</v>
      </c>
      <c r="C1132" s="3">
        <f t="shared" si="4"/>
        <v>2.738502418118385E-2</v>
      </c>
    </row>
    <row r="1133" spans="1:3" ht="13.2" x14ac:dyDescent="0.25">
      <c r="A1133" s="6">
        <v>1131</v>
      </c>
      <c r="B1133" s="7">
        <v>574.69000244140602</v>
      </c>
      <c r="C1133" s="3">
        <f t="shared" si="4"/>
        <v>6.2076506831725178E-2</v>
      </c>
    </row>
    <row r="1134" spans="1:3" ht="13.2" x14ac:dyDescent="0.25">
      <c r="A1134" s="6">
        <v>1132</v>
      </c>
      <c r="B1134" s="7">
        <v>578.739990234375</v>
      </c>
      <c r="C1134" s="3">
        <f t="shared" si="4"/>
        <v>7.022540531801528E-3</v>
      </c>
    </row>
    <row r="1135" spans="1:3" ht="13.2" x14ac:dyDescent="0.25">
      <c r="A1135" s="6">
        <v>1133</v>
      </c>
      <c r="B1135" s="7">
        <v>597.15002441406205</v>
      </c>
      <c r="C1135" s="3">
        <f t="shared" si="4"/>
        <v>3.1315069239224509E-2</v>
      </c>
    </row>
    <row r="1136" spans="1:3" ht="13.2" x14ac:dyDescent="0.25">
      <c r="A1136" s="6">
        <v>1134</v>
      </c>
      <c r="B1136" s="7">
        <v>608.85998535156205</v>
      </c>
      <c r="C1136" s="3">
        <f t="shared" si="4"/>
        <v>1.9419953167271301E-2</v>
      </c>
    </row>
    <row r="1137" spans="1:3" ht="13.2" x14ac:dyDescent="0.25">
      <c r="A1137" s="6">
        <v>1135</v>
      </c>
      <c r="B1137" s="7">
        <v>605.989990234375</v>
      </c>
      <c r="C1137" s="3">
        <f t="shared" si="4"/>
        <v>-4.7248639981733679E-3</v>
      </c>
    </row>
    <row r="1138" spans="1:3" ht="13.2" x14ac:dyDescent="0.25">
      <c r="A1138" s="6">
        <v>1136</v>
      </c>
      <c r="B1138" s="7">
        <v>589.90002441406205</v>
      </c>
      <c r="C1138" s="3">
        <f t="shared" si="4"/>
        <v>-2.6910395772027348E-2</v>
      </c>
    </row>
    <row r="1139" spans="1:3" ht="13.2" x14ac:dyDescent="0.25">
      <c r="A1139" s="6">
        <v>1137</v>
      </c>
      <c r="B1139" s="7">
        <v>570.44000244140602</v>
      </c>
      <c r="C1139" s="3">
        <f t="shared" si="4"/>
        <v>-3.3545075247378667E-2</v>
      </c>
    </row>
    <row r="1140" spans="1:3" ht="13.2" x14ac:dyDescent="0.25">
      <c r="A1140" s="6">
        <v>1138</v>
      </c>
      <c r="B1140" s="7">
        <v>575.20001220703102</v>
      </c>
      <c r="C1140" s="3">
        <f t="shared" si="4"/>
        <v>8.3098304806432759E-3</v>
      </c>
    </row>
    <row r="1141" spans="1:3" ht="13.2" x14ac:dyDescent="0.25">
      <c r="A1141" s="6">
        <v>1139</v>
      </c>
      <c r="B1141" s="7">
        <v>582.34002685546795</v>
      </c>
      <c r="C1141" s="3">
        <f t="shared" si="4"/>
        <v>1.233668808472525E-2</v>
      </c>
    </row>
    <row r="1142" spans="1:3" ht="13.2" x14ac:dyDescent="0.25">
      <c r="A1142" s="6">
        <v>1140</v>
      </c>
      <c r="B1142" s="7">
        <v>565.989990234375</v>
      </c>
      <c r="C1142" s="3">
        <f t="shared" si="4"/>
        <v>-2.8478122765277197E-2</v>
      </c>
    </row>
    <row r="1143" spans="1:3" ht="13.2" x14ac:dyDescent="0.25">
      <c r="A1143" s="6">
        <v>1141</v>
      </c>
      <c r="B1143" s="7">
        <v>578.63000488281205</v>
      </c>
      <c r="C1143" s="3">
        <f t="shared" si="4"/>
        <v>2.2086855979351228E-2</v>
      </c>
    </row>
    <row r="1144" spans="1:3" ht="13.2" x14ac:dyDescent="0.25">
      <c r="A1144" s="6">
        <v>1142</v>
      </c>
      <c r="B1144" s="7">
        <v>581.39001464843705</v>
      </c>
      <c r="C1144" s="3">
        <f t="shared" si="4"/>
        <v>4.7585643821246512E-3</v>
      </c>
    </row>
    <row r="1145" spans="1:3" ht="13.2" x14ac:dyDescent="0.25">
      <c r="A1145" s="6">
        <v>1143</v>
      </c>
      <c r="B1145" s="7">
        <v>585.15002441406205</v>
      </c>
      <c r="C1145" s="3">
        <f t="shared" si="4"/>
        <v>6.4464530335172389E-3</v>
      </c>
    </row>
    <row r="1146" spans="1:3" ht="13.2" x14ac:dyDescent="0.25">
      <c r="A1146" s="6">
        <v>1144</v>
      </c>
      <c r="B1146" s="7">
        <v>589.22998046875</v>
      </c>
      <c r="C1146" s="3">
        <f t="shared" si="4"/>
        <v>6.9483002986300019E-3</v>
      </c>
    </row>
    <row r="1147" spans="1:3" ht="13.2" x14ac:dyDescent="0.25">
      <c r="A1147" s="6">
        <v>1145</v>
      </c>
      <c r="B1147" s="7">
        <v>591.79998779296795</v>
      </c>
      <c r="C1147" s="3">
        <f t="shared" si="4"/>
        <v>4.3521526970084811E-3</v>
      </c>
    </row>
    <row r="1148" spans="1:3" ht="13.2" x14ac:dyDescent="0.25">
      <c r="A1148" s="6">
        <v>1146</v>
      </c>
      <c r="B1148" s="7">
        <v>579.35998535156205</v>
      </c>
      <c r="C1148" s="3">
        <f t="shared" si="4"/>
        <v>-2.1244698605650109E-2</v>
      </c>
    </row>
    <row r="1149" spans="1:3" ht="13.2" x14ac:dyDescent="0.25">
      <c r="A1149" s="6">
        <v>1147</v>
      </c>
      <c r="B1149" s="7">
        <v>593.92999267578102</v>
      </c>
      <c r="C1149" s="3">
        <f t="shared" si="4"/>
        <v>2.4837434235226108E-2</v>
      </c>
    </row>
    <row r="1150" spans="1:3" ht="13.2" x14ac:dyDescent="0.25">
      <c r="A1150" s="6">
        <v>1148</v>
      </c>
      <c r="B1150" s="7">
        <v>586.94000244140602</v>
      </c>
      <c r="C1150" s="3">
        <f t="shared" si="4"/>
        <v>-1.1838850856124053E-2</v>
      </c>
    </row>
    <row r="1151" spans="1:3" ht="13.2" x14ac:dyDescent="0.25">
      <c r="A1151" s="6">
        <v>1149</v>
      </c>
      <c r="B1151" s="7">
        <v>588.02001953125</v>
      </c>
      <c r="C1151" s="3">
        <f t="shared" si="4"/>
        <v>1.838390028294752E-3</v>
      </c>
    </row>
    <row r="1152" spans="1:3" ht="13.2" x14ac:dyDescent="0.25">
      <c r="A1152" s="6">
        <v>1150</v>
      </c>
      <c r="B1152" s="7">
        <v>577.96002197265602</v>
      </c>
      <c r="C1152" s="3">
        <f t="shared" si="4"/>
        <v>-1.7256293997884177E-2</v>
      </c>
    </row>
    <row r="1153" spans="1:3" ht="13.2" x14ac:dyDescent="0.25">
      <c r="A1153" s="6">
        <v>1151</v>
      </c>
      <c r="B1153" s="7">
        <v>583.32000732421795</v>
      </c>
      <c r="C1153" s="3">
        <f t="shared" si="4"/>
        <v>9.2312332584368745E-3</v>
      </c>
    </row>
    <row r="1154" spans="1:3" ht="13.2" x14ac:dyDescent="0.25">
      <c r="A1154" s="6">
        <v>1152</v>
      </c>
      <c r="B1154" s="7">
        <v>581.55999755859295</v>
      </c>
      <c r="C1154" s="3">
        <f t="shared" si="4"/>
        <v>-3.0217895362599115E-3</v>
      </c>
    </row>
    <row r="1155" spans="1:3" ht="13.2" x14ac:dyDescent="0.25">
      <c r="A1155" s="6">
        <v>1153</v>
      </c>
      <c r="B1155" s="7">
        <v>556.510009765625</v>
      </c>
      <c r="C1155" s="3">
        <f t="shared" si="4"/>
        <v>-4.4028986311133604E-2</v>
      </c>
    </row>
    <row r="1156" spans="1:3" ht="13.2" x14ac:dyDescent="0.25">
      <c r="A1156" s="6">
        <v>1154</v>
      </c>
      <c r="B1156" s="7">
        <v>568.69000244140602</v>
      </c>
      <c r="C1156" s="3">
        <f t="shared" si="4"/>
        <v>2.1650316933703881E-2</v>
      </c>
    </row>
    <row r="1157" spans="1:3" ht="13.2" x14ac:dyDescent="0.25">
      <c r="A1157" s="6">
        <v>1155</v>
      </c>
      <c r="B1157" s="7">
        <v>545.52001953125</v>
      </c>
      <c r="C1157" s="3">
        <f t="shared" si="4"/>
        <v>-4.1595970472371679E-2</v>
      </c>
    </row>
    <row r="1158" spans="1:3" ht="13.2" x14ac:dyDescent="0.25">
      <c r="A1158" s="6">
        <v>1156</v>
      </c>
      <c r="B1158" s="7">
        <v>558.47998046875</v>
      </c>
      <c r="C1158" s="3">
        <f t="shared" si="4"/>
        <v>2.3479268674596581E-2</v>
      </c>
    </row>
    <row r="1159" spans="1:3" ht="13.2" x14ac:dyDescent="0.25">
      <c r="A1159" s="6">
        <v>1157</v>
      </c>
      <c r="B1159" s="7">
        <v>571.69000244140602</v>
      </c>
      <c r="C1159" s="3">
        <f t="shared" si="4"/>
        <v>2.3378118006015625E-2</v>
      </c>
    </row>
    <row r="1160" spans="1:3" ht="13.2" x14ac:dyDescent="0.25">
      <c r="A1160" s="6">
        <v>1158</v>
      </c>
      <c r="B1160" s="7">
        <v>572.719970703125</v>
      </c>
      <c r="C1160" s="3">
        <f t="shared" si="4"/>
        <v>1.7999992380004345E-3</v>
      </c>
    </row>
    <row r="1161" spans="1:3" ht="13.2" x14ac:dyDescent="0.25">
      <c r="A1161" s="6">
        <v>1159</v>
      </c>
      <c r="B1161" s="7">
        <v>535.92999267578102</v>
      </c>
      <c r="C1161" s="3">
        <f t="shared" si="4"/>
        <v>-6.6393348073033515E-2</v>
      </c>
    </row>
    <row r="1162" spans="1:3" ht="13.2" x14ac:dyDescent="0.25">
      <c r="A1162" s="6">
        <v>1160</v>
      </c>
      <c r="B1162" s="7">
        <v>555.20001220703102</v>
      </c>
      <c r="C1162" s="3">
        <f t="shared" si="4"/>
        <v>3.5324889318350421E-2</v>
      </c>
    </row>
    <row r="1163" spans="1:3" ht="13.2" x14ac:dyDescent="0.25">
      <c r="A1163" s="6">
        <v>1161</v>
      </c>
      <c r="B1163" s="7">
        <v>575.34002685546795</v>
      </c>
      <c r="C1163" s="3">
        <f t="shared" si="4"/>
        <v>3.5632785891882804E-2</v>
      </c>
    </row>
    <row r="1164" spans="1:3" ht="13.2" x14ac:dyDescent="0.25">
      <c r="A1164" s="6">
        <v>1162</v>
      </c>
      <c r="B1164" s="7">
        <v>578.53997802734295</v>
      </c>
      <c r="C1164" s="3">
        <f t="shared" si="4"/>
        <v>5.5464335314784887E-3</v>
      </c>
    </row>
    <row r="1165" spans="1:3" ht="13.2" x14ac:dyDescent="0.25">
      <c r="A1165" s="6">
        <v>1163</v>
      </c>
      <c r="B1165" s="7">
        <v>565.96002197265602</v>
      </c>
      <c r="C1165" s="3">
        <f t="shared" si="4"/>
        <v>-2.198420745124156E-2</v>
      </c>
    </row>
    <row r="1166" spans="1:3" ht="13.2" x14ac:dyDescent="0.25">
      <c r="A1166" s="6">
        <v>1164</v>
      </c>
      <c r="B1166" s="7">
        <v>568.489990234375</v>
      </c>
      <c r="C1166" s="3">
        <f t="shared" si="4"/>
        <v>4.4602625567415986E-3</v>
      </c>
    </row>
    <row r="1167" spans="1:3" ht="13.2" x14ac:dyDescent="0.25">
      <c r="A1167" s="6">
        <v>1165</v>
      </c>
      <c r="B1167" s="7">
        <v>568.030029296875</v>
      </c>
      <c r="C1167" s="3">
        <f t="shared" si="4"/>
        <v>-8.0941990410698386E-4</v>
      </c>
    </row>
    <row r="1168" spans="1:3" ht="13.2" x14ac:dyDescent="0.25">
      <c r="A1168" s="6">
        <v>1166</v>
      </c>
      <c r="B1168" s="7">
        <v>568.88000488281205</v>
      </c>
      <c r="C1168" s="3">
        <f t="shared" si="4"/>
        <v>1.495238354388299E-3</v>
      </c>
    </row>
    <row r="1169" spans="1:3" ht="13.2" x14ac:dyDescent="0.25">
      <c r="A1169" s="6">
        <v>1167</v>
      </c>
      <c r="B1169" s="7">
        <v>564.59997558593705</v>
      </c>
      <c r="C1169" s="3">
        <f t="shared" si="4"/>
        <v>-7.5520515804208804E-3</v>
      </c>
    </row>
    <row r="1170" spans="1:3" ht="13.2" x14ac:dyDescent="0.25">
      <c r="A1170" s="6">
        <v>1168</v>
      </c>
      <c r="B1170" s="7">
        <v>564.03997802734295</v>
      </c>
      <c r="C1170" s="3">
        <f t="shared" si="4"/>
        <v>-9.9234056486417342E-4</v>
      </c>
    </row>
    <row r="1171" spans="1:3" ht="13.2" x14ac:dyDescent="0.25">
      <c r="A1171" s="6">
        <v>1169</v>
      </c>
      <c r="B1171" s="7">
        <v>565.44000244140602</v>
      </c>
      <c r="C1171" s="3">
        <f t="shared" si="4"/>
        <v>2.4790614358619545E-3</v>
      </c>
    </row>
    <row r="1172" spans="1:3" ht="13.2" x14ac:dyDescent="0.25">
      <c r="A1172" s="6">
        <v>1170</v>
      </c>
      <c r="B1172" s="7">
        <v>575.760009765625</v>
      </c>
      <c r="C1172" s="3">
        <f t="shared" si="4"/>
        <v>1.8086730711784328E-2</v>
      </c>
    </row>
    <row r="1173" spans="1:3" ht="13.2" x14ac:dyDescent="0.25">
      <c r="A1173" s="6">
        <v>1171</v>
      </c>
      <c r="B1173" s="7">
        <v>563.41998291015602</v>
      </c>
      <c r="C1173" s="3">
        <f t="shared" si="4"/>
        <v>-2.166560092341133E-2</v>
      </c>
    </row>
    <row r="1174" spans="1:3" ht="13.2" x14ac:dyDescent="0.25">
      <c r="A1174" s="6">
        <v>1172</v>
      </c>
      <c r="B1174" s="7">
        <v>574.44000244140602</v>
      </c>
      <c r="C1174" s="3">
        <f t="shared" si="4"/>
        <v>1.9370334205065936E-2</v>
      </c>
    </row>
    <row r="1175" spans="1:3" ht="13.2" x14ac:dyDescent="0.25">
      <c r="A1175" s="6">
        <v>1173</v>
      </c>
      <c r="B1175" s="7">
        <v>575.5</v>
      </c>
      <c r="C1175" s="3">
        <f t="shared" si="4"/>
        <v>1.8435707194567254E-3</v>
      </c>
    </row>
    <row r="1176" spans="1:3" ht="13.2" x14ac:dyDescent="0.25">
      <c r="A1176" s="6">
        <v>1174</v>
      </c>
      <c r="B1176" s="7">
        <v>576.46002197265602</v>
      </c>
      <c r="C1176" s="3">
        <f t="shared" si="4"/>
        <v>1.6667630414205442E-3</v>
      </c>
    </row>
    <row r="1177" spans="1:3" ht="13.2" x14ac:dyDescent="0.25">
      <c r="A1177" s="6">
        <v>1175</v>
      </c>
      <c r="B1177" s="7">
        <v>556</v>
      </c>
      <c r="C1177" s="3">
        <f t="shared" si="4"/>
        <v>-3.6137696952775501E-2</v>
      </c>
    </row>
    <row r="1178" spans="1:3" ht="13.2" x14ac:dyDescent="0.25">
      <c r="A1178" s="6">
        <v>1176</v>
      </c>
      <c r="B1178" s="7">
        <v>547.80999755859295</v>
      </c>
      <c r="C1178" s="3">
        <f t="shared" si="4"/>
        <v>-1.4839787207357735E-2</v>
      </c>
    </row>
    <row r="1179" spans="1:3" ht="13.2" x14ac:dyDescent="0.25">
      <c r="A1179" s="6">
        <v>1177</v>
      </c>
      <c r="B1179" s="7">
        <v>547.13000488281205</v>
      </c>
      <c r="C1179" s="3">
        <f t="shared" si="4"/>
        <v>-1.2420639700526969E-3</v>
      </c>
    </row>
    <row r="1180" spans="1:3" ht="13.2" x14ac:dyDescent="0.25">
      <c r="A1180" s="6">
        <v>1178</v>
      </c>
      <c r="B1180" s="7">
        <v>551.54998779296795</v>
      </c>
      <c r="C1180" s="3">
        <f t="shared" si="4"/>
        <v>8.0460312099873994E-3</v>
      </c>
    </row>
    <row r="1181" spans="1:3" ht="13.2" x14ac:dyDescent="0.25">
      <c r="A1181" s="6">
        <v>1179</v>
      </c>
      <c r="B1181" s="7">
        <v>554.33001708984295</v>
      </c>
      <c r="C1181" s="3">
        <f t="shared" si="4"/>
        <v>5.0277338242021834E-3</v>
      </c>
    </row>
    <row r="1182" spans="1:3" ht="13.2" x14ac:dyDescent="0.25">
      <c r="A1182" s="6">
        <v>1180</v>
      </c>
      <c r="B1182" s="7">
        <v>537.030029296875</v>
      </c>
      <c r="C1182" s="3">
        <f t="shared" si="4"/>
        <v>-3.1706194683636703E-2</v>
      </c>
    </row>
    <row r="1183" spans="1:3" ht="13.2" x14ac:dyDescent="0.25">
      <c r="A1183" s="6">
        <v>1181</v>
      </c>
      <c r="B1183" s="7">
        <v>543.719970703125</v>
      </c>
      <c r="C1183" s="3">
        <f t="shared" si="4"/>
        <v>1.2380341161037461E-2</v>
      </c>
    </row>
    <row r="1184" spans="1:3" ht="13.2" x14ac:dyDescent="0.25">
      <c r="A1184" s="6">
        <v>1182</v>
      </c>
      <c r="B1184" s="7">
        <v>541.95001220703102</v>
      </c>
      <c r="C1184" s="3">
        <f t="shared" si="4"/>
        <v>-3.2605857987284747E-3</v>
      </c>
    </row>
    <row r="1185" spans="1:3" ht="13.2" x14ac:dyDescent="0.25">
      <c r="A1185" s="6">
        <v>1183</v>
      </c>
      <c r="B1185" s="7">
        <v>532.83001708984295</v>
      </c>
      <c r="C1185" s="3">
        <f t="shared" si="4"/>
        <v>-1.6971312764964289E-2</v>
      </c>
    </row>
    <row r="1186" spans="1:3" ht="13.2" x14ac:dyDescent="0.25">
      <c r="A1186" s="6">
        <v>1184</v>
      </c>
      <c r="B1186" s="7">
        <v>540.96002197265602</v>
      </c>
      <c r="C1186" s="3">
        <f t="shared" si="4"/>
        <v>1.514292355639946E-2</v>
      </c>
    </row>
    <row r="1187" spans="1:3" ht="13.2" x14ac:dyDescent="0.25">
      <c r="A1187" s="6">
        <v>1185</v>
      </c>
      <c r="B1187" s="7">
        <v>542.91998291015602</v>
      </c>
      <c r="C1187" s="3">
        <f t="shared" si="4"/>
        <v>3.6165683746479335E-3</v>
      </c>
    </row>
    <row r="1188" spans="1:3" ht="13.2" x14ac:dyDescent="0.25">
      <c r="A1188" s="6">
        <v>1186</v>
      </c>
      <c r="B1188" s="7">
        <v>557.72998046875</v>
      </c>
      <c r="C1188" s="3">
        <f t="shared" si="4"/>
        <v>2.6912991338932771E-2</v>
      </c>
    </row>
    <row r="1189" spans="1:3" ht="13.2" x14ac:dyDescent="0.25">
      <c r="A1189" s="6">
        <v>1187</v>
      </c>
      <c r="B1189" s="7">
        <v>550.010009765625</v>
      </c>
      <c r="C1189" s="3">
        <f t="shared" si="4"/>
        <v>-1.3938461656279995E-2</v>
      </c>
    </row>
    <row r="1190" spans="1:3" ht="13.2" x14ac:dyDescent="0.25">
      <c r="A1190" s="6">
        <v>1188</v>
      </c>
      <c r="B1190" s="7">
        <v>558.989990234375</v>
      </c>
      <c r="C1190" s="3">
        <f t="shared" si="4"/>
        <v>1.6195088802536069E-2</v>
      </c>
    </row>
    <row r="1191" spans="1:3" ht="13.2" x14ac:dyDescent="0.25">
      <c r="A1191" s="6">
        <v>1189</v>
      </c>
      <c r="B1191" s="7">
        <v>553.989990234375</v>
      </c>
      <c r="C1191" s="3">
        <f t="shared" si="4"/>
        <v>-8.9849480222518284E-3</v>
      </c>
    </row>
    <row r="1192" spans="1:3" ht="13.2" x14ac:dyDescent="0.25">
      <c r="A1192" s="6">
        <v>1190</v>
      </c>
      <c r="B1192" s="7">
        <v>557.91998291015602</v>
      </c>
      <c r="C1192" s="3">
        <f t="shared" si="4"/>
        <v>7.0689338809340457E-3</v>
      </c>
    </row>
    <row r="1193" spans="1:3" ht="13.2" x14ac:dyDescent="0.25">
      <c r="A1193" s="6">
        <v>1191</v>
      </c>
      <c r="B1193" s="7">
        <v>553.03997802734295</v>
      </c>
      <c r="C1193" s="3">
        <f t="shared" si="4"/>
        <v>-8.7852603896629144E-3</v>
      </c>
    </row>
    <row r="1194" spans="1:3" ht="13.2" x14ac:dyDescent="0.25">
      <c r="A1194" s="6">
        <v>1192</v>
      </c>
      <c r="B1194" s="7">
        <v>554.010009765625</v>
      </c>
      <c r="C1194" s="3">
        <f t="shared" si="4"/>
        <v>1.7524628467290606E-3</v>
      </c>
    </row>
    <row r="1195" spans="1:3" ht="13.2" x14ac:dyDescent="0.25">
      <c r="A1195" s="6">
        <v>1193</v>
      </c>
      <c r="B1195" s="7">
        <v>556.40002441406205</v>
      </c>
      <c r="C1195" s="3">
        <f t="shared" si="4"/>
        <v>4.3047491748484466E-3</v>
      </c>
    </row>
    <row r="1196" spans="1:3" ht="13.2" x14ac:dyDescent="0.25">
      <c r="A1196" s="6">
        <v>1194</v>
      </c>
      <c r="B1196" s="7">
        <v>567.57000732421795</v>
      </c>
      <c r="C1196" s="3">
        <f t="shared" si="4"/>
        <v>1.9876598743053753E-2</v>
      </c>
    </row>
    <row r="1197" spans="1:3" ht="13.2" x14ac:dyDescent="0.25">
      <c r="A1197" s="6">
        <v>1195</v>
      </c>
      <c r="B1197" s="7">
        <v>567.52001953125</v>
      </c>
      <c r="C1197" s="3">
        <f t="shared" si="4"/>
        <v>-8.8077230558948144E-5</v>
      </c>
    </row>
    <row r="1198" spans="1:3" ht="13.2" x14ac:dyDescent="0.25">
      <c r="A1198" s="6">
        <v>1196</v>
      </c>
      <c r="B1198" s="7">
        <v>570</v>
      </c>
      <c r="C1198" s="3">
        <f t="shared" si="4"/>
        <v>4.3603353881981341E-3</v>
      </c>
    </row>
    <row r="1199" spans="1:3" ht="13.2" x14ac:dyDescent="0.25">
      <c r="A1199" s="6">
        <v>1197</v>
      </c>
      <c r="B1199" s="7">
        <v>559.67999267578102</v>
      </c>
      <c r="C1199" s="3">
        <f t="shared" si="4"/>
        <v>-1.8271182084799133E-2</v>
      </c>
    </row>
    <row r="1200" spans="1:3" ht="13.2" x14ac:dyDescent="0.25">
      <c r="A1200" s="6">
        <v>1198</v>
      </c>
      <c r="B1200" s="7">
        <v>559.71002197265602</v>
      </c>
      <c r="C1200" s="3">
        <f t="shared" si="4"/>
        <v>5.3652965435242039E-5</v>
      </c>
    </row>
    <row r="1201" spans="1:3" ht="13.2" x14ac:dyDescent="0.25">
      <c r="A1201" s="6">
        <v>1199</v>
      </c>
      <c r="B1201" s="7">
        <v>549.969970703125</v>
      </c>
      <c r="C1201" s="3">
        <f t="shared" si="4"/>
        <v>-1.7555153694870658E-2</v>
      </c>
    </row>
    <row r="1202" spans="1:3" ht="13.2" x14ac:dyDescent="0.25">
      <c r="A1202" s="6">
        <v>1200</v>
      </c>
      <c r="B1202" s="7">
        <v>554.59997558593705</v>
      </c>
      <c r="C1202" s="3">
        <f t="shared" si="4"/>
        <v>8.3834111462859316E-3</v>
      </c>
    </row>
    <row r="1203" spans="1:3" ht="13.2" x14ac:dyDescent="0.25">
      <c r="A1203" s="6">
        <v>1201</v>
      </c>
      <c r="B1203" s="7">
        <v>559.54998779296795</v>
      </c>
      <c r="C1203" s="3">
        <f t="shared" si="4"/>
        <v>8.8857782875866598E-3</v>
      </c>
    </row>
    <row r="1204" spans="1:3" ht="13.2" x14ac:dyDescent="0.25">
      <c r="A1204" s="6">
        <v>1202</v>
      </c>
      <c r="B1204" s="7">
        <v>548.67999267578102</v>
      </c>
      <c r="C1204" s="3">
        <f t="shared" si="4"/>
        <v>-1.9617487186826557E-2</v>
      </c>
    </row>
    <row r="1205" spans="1:3" ht="13.2" x14ac:dyDescent="0.25">
      <c r="A1205" s="6">
        <v>1203</v>
      </c>
      <c r="B1205" s="7">
        <v>534</v>
      </c>
      <c r="C1205" s="3">
        <f t="shared" si="4"/>
        <v>-2.7119541301212479E-2</v>
      </c>
    </row>
    <row r="1206" spans="1:3" ht="13.2" x14ac:dyDescent="0.25">
      <c r="A1206" s="6">
        <v>1204</v>
      </c>
      <c r="B1206" s="7">
        <v>527.34997558593705</v>
      </c>
      <c r="C1206" s="3">
        <f t="shared" si="4"/>
        <v>-1.2531420533321163E-2</v>
      </c>
    </row>
    <row r="1207" spans="1:3" ht="13.2" x14ac:dyDescent="0.25">
      <c r="A1207" s="6">
        <v>1205</v>
      </c>
      <c r="B1207" s="7">
        <v>532.52001953125</v>
      </c>
      <c r="C1207" s="3">
        <f t="shared" si="4"/>
        <v>9.7560738138682303E-3</v>
      </c>
    </row>
    <row r="1208" spans="1:3" ht="13.2" x14ac:dyDescent="0.25">
      <c r="A1208" s="6">
        <v>1206</v>
      </c>
      <c r="B1208" s="7">
        <v>520.510009765625</v>
      </c>
      <c r="C1208" s="3">
        <f t="shared" si="4"/>
        <v>-2.2811373312755727E-2</v>
      </c>
    </row>
    <row r="1209" spans="1:3" ht="13.2" x14ac:dyDescent="0.25">
      <c r="A1209" s="6">
        <v>1207</v>
      </c>
      <c r="B1209" s="7">
        <v>522.54998779296795</v>
      </c>
      <c r="C1209" s="3">
        <f t="shared" si="4"/>
        <v>3.9115307520208682E-3</v>
      </c>
    </row>
    <row r="1210" spans="1:3" ht="13.2" x14ac:dyDescent="0.25">
      <c r="A1210" s="6">
        <v>1208</v>
      </c>
      <c r="B1210" s="7">
        <v>511.52999877929602</v>
      </c>
      <c r="C1210" s="3">
        <f t="shared" si="4"/>
        <v>-2.1314417368215273E-2</v>
      </c>
    </row>
    <row r="1211" spans="1:3" ht="13.2" x14ac:dyDescent="0.25">
      <c r="A1211" s="6">
        <v>1209</v>
      </c>
      <c r="B1211" s="7">
        <v>513.77001953125</v>
      </c>
      <c r="C1211" s="3">
        <f t="shared" si="4"/>
        <v>4.3695001968617917E-3</v>
      </c>
    </row>
    <row r="1212" spans="1:3" ht="13.2" x14ac:dyDescent="0.25">
      <c r="A1212" s="6">
        <v>1210</v>
      </c>
      <c r="B1212" s="7">
        <v>522.27001953125</v>
      </c>
      <c r="C1212" s="3">
        <f t="shared" si="4"/>
        <v>1.6409000426926522E-2</v>
      </c>
    </row>
    <row r="1213" spans="1:3" ht="13.2" x14ac:dyDescent="0.25">
      <c r="A1213" s="6">
        <v>1211</v>
      </c>
      <c r="B1213" s="7">
        <v>524.42999267578102</v>
      </c>
      <c r="C1213" s="3">
        <f t="shared" si="4"/>
        <v>4.1272115895656068E-3</v>
      </c>
    </row>
    <row r="1214" spans="1:3" ht="13.2" x14ac:dyDescent="0.25">
      <c r="A1214" s="6">
        <v>1212</v>
      </c>
      <c r="B1214" s="7">
        <v>524.19000244140602</v>
      </c>
      <c r="C1214" s="3">
        <f t="shared" si="4"/>
        <v>-4.577258486059156E-4</v>
      </c>
    </row>
    <row r="1215" spans="1:3" ht="13.2" x14ac:dyDescent="0.25">
      <c r="A1215" s="6">
        <v>1213</v>
      </c>
      <c r="B1215" s="7">
        <v>525.25</v>
      </c>
      <c r="C1215" s="3">
        <f t="shared" si="4"/>
        <v>2.0201210485699724E-3</v>
      </c>
    </row>
    <row r="1216" spans="1:3" ht="13.2" x14ac:dyDescent="0.25">
      <c r="A1216" s="6">
        <v>1214</v>
      </c>
      <c r="B1216" s="7">
        <v>531.60998535156205</v>
      </c>
      <c r="C1216" s="3">
        <f t="shared" si="4"/>
        <v>1.2035770518387671E-2</v>
      </c>
    </row>
    <row r="1217" spans="1:3" ht="13.2" x14ac:dyDescent="0.25">
      <c r="A1217" s="6">
        <v>1215</v>
      </c>
      <c r="B1217" s="7">
        <v>531.010009765625</v>
      </c>
      <c r="C1217" s="3">
        <f t="shared" si="4"/>
        <v>-1.1292383965111679E-3</v>
      </c>
    </row>
    <row r="1218" spans="1:3" ht="13.2" x14ac:dyDescent="0.25">
      <c r="A1218" s="6">
        <v>1216</v>
      </c>
      <c r="B1218" s="7">
        <v>530.969970703125</v>
      </c>
      <c r="C1218" s="3">
        <f t="shared" si="4"/>
        <v>-7.5404552355733429E-5</v>
      </c>
    </row>
    <row r="1219" spans="1:3" ht="13.2" x14ac:dyDescent="0.25">
      <c r="A1219" s="6">
        <v>1217</v>
      </c>
      <c r="B1219" s="7">
        <v>527.09002685546795</v>
      </c>
      <c r="C1219" s="3">
        <f t="shared" si="4"/>
        <v>-7.3341043951144734E-3</v>
      </c>
    </row>
    <row r="1220" spans="1:3" ht="13.2" x14ac:dyDescent="0.25">
      <c r="A1220" s="6">
        <v>1218</v>
      </c>
      <c r="B1220" s="7">
        <v>527.239990234375</v>
      </c>
      <c r="C1220" s="3">
        <f t="shared" si="4"/>
        <v>2.8447142258610327E-4</v>
      </c>
    </row>
    <row r="1221" spans="1:3" ht="13.2" x14ac:dyDescent="0.25">
      <c r="A1221" s="6">
        <v>1219</v>
      </c>
      <c r="B1221" s="7">
        <v>529.59997558593705</v>
      </c>
      <c r="C1221" s="3">
        <f t="shared" si="4"/>
        <v>4.4661242016336856E-3</v>
      </c>
    </row>
    <row r="1222" spans="1:3" ht="13.2" x14ac:dyDescent="0.25">
      <c r="A1222" s="6">
        <v>1220</v>
      </c>
      <c r="B1222" s="7">
        <v>522.010009765625</v>
      </c>
      <c r="C1222" s="3">
        <f t="shared" si="4"/>
        <v>-1.4435195028733932E-2</v>
      </c>
    </row>
    <row r="1223" spans="1:3" ht="13.2" x14ac:dyDescent="0.25">
      <c r="A1223" s="6">
        <v>1221</v>
      </c>
      <c r="B1223" s="7">
        <v>532.010009765625</v>
      </c>
      <c r="C1223" s="3">
        <f t="shared" si="4"/>
        <v>1.8975541018555198E-2</v>
      </c>
    </row>
    <row r="1224" spans="1:3" ht="13.2" x14ac:dyDescent="0.25">
      <c r="A1224" s="6">
        <v>1222</v>
      </c>
      <c r="B1224" s="7">
        <v>533.57000732421795</v>
      </c>
      <c r="C1224" s="3">
        <f t="shared" si="4"/>
        <v>2.927980345108975E-3</v>
      </c>
    </row>
    <row r="1225" spans="1:3" ht="13.2" x14ac:dyDescent="0.25">
      <c r="A1225" s="6">
        <v>1223</v>
      </c>
      <c r="B1225" s="7">
        <v>527.719970703125</v>
      </c>
      <c r="C1225" s="3">
        <f t="shared" si="4"/>
        <v>-1.1024500359037792E-2</v>
      </c>
    </row>
    <row r="1226" spans="1:3" ht="13.2" x14ac:dyDescent="0.25">
      <c r="A1226" s="6">
        <v>1224</v>
      </c>
      <c r="B1226" s="7">
        <v>529.989990234375</v>
      </c>
      <c r="C1226" s="3">
        <f t="shared" si="4"/>
        <v>4.2923355179539805E-3</v>
      </c>
    </row>
    <row r="1227" spans="1:3" ht="13.2" x14ac:dyDescent="0.25">
      <c r="A1227" s="6">
        <v>1225</v>
      </c>
      <c r="B1227" s="7">
        <v>526.40002441406205</v>
      </c>
      <c r="C1227" s="3">
        <f t="shared" si="4"/>
        <v>-6.7966936271786947E-3</v>
      </c>
    </row>
    <row r="1228" spans="1:3" ht="13.2" x14ac:dyDescent="0.25">
      <c r="A1228" s="6">
        <v>1226</v>
      </c>
      <c r="B1228" s="7">
        <v>529.16998291015602</v>
      </c>
      <c r="C1228" s="3">
        <f t="shared" si="4"/>
        <v>5.2482826055267537E-3</v>
      </c>
    </row>
    <row r="1229" spans="1:3" ht="13.2" x14ac:dyDescent="0.25">
      <c r="A1229" s="6">
        <v>1227</v>
      </c>
      <c r="B1229" s="7">
        <v>525.65997314453102</v>
      </c>
      <c r="C1229" s="3">
        <f t="shared" si="4"/>
        <v>-6.6551441786521755E-3</v>
      </c>
    </row>
    <row r="1230" spans="1:3" ht="13.2" x14ac:dyDescent="0.25">
      <c r="A1230" s="6">
        <v>1228</v>
      </c>
      <c r="B1230" s="7">
        <v>516.05999755859295</v>
      </c>
      <c r="C1230" s="3">
        <f t="shared" si="4"/>
        <v>-1.8431531756693896E-2</v>
      </c>
    </row>
    <row r="1231" spans="1:3" ht="13.2" x14ac:dyDescent="0.25">
      <c r="A1231" s="6">
        <v>1229</v>
      </c>
      <c r="B1231" s="7">
        <v>519.52001953125</v>
      </c>
      <c r="C1231" s="3">
        <f t="shared" si="4"/>
        <v>6.6823128887498785E-3</v>
      </c>
    </row>
    <row r="1232" spans="1:3" ht="13.2" x14ac:dyDescent="0.25">
      <c r="A1232" s="6">
        <v>1230</v>
      </c>
      <c r="B1232" s="7">
        <v>526.32000732421795</v>
      </c>
      <c r="C1232" s="3">
        <f t="shared" si="4"/>
        <v>1.3004060744311036E-2</v>
      </c>
    </row>
    <row r="1233" spans="1:3" ht="13.2" x14ac:dyDescent="0.25">
      <c r="A1233" s="6">
        <v>1231</v>
      </c>
      <c r="B1233" s="7">
        <v>529.71002197265602</v>
      </c>
      <c r="C1233" s="3">
        <f t="shared" si="4"/>
        <v>6.4203217697089256E-3</v>
      </c>
    </row>
    <row r="1234" spans="1:3" ht="13.2" x14ac:dyDescent="0.25">
      <c r="A1234" s="6">
        <v>1232</v>
      </c>
      <c r="B1234" s="7">
        <v>543.010009765625</v>
      </c>
      <c r="C1234" s="3">
        <f t="shared" si="4"/>
        <v>2.4798025491511711E-2</v>
      </c>
    </row>
    <row r="1235" spans="1:3" ht="13.2" x14ac:dyDescent="0.25">
      <c r="A1235" s="6">
        <v>1233</v>
      </c>
      <c r="B1235" s="7">
        <v>540.78997802734295</v>
      </c>
      <c r="C1235" s="3">
        <f t="shared" si="4"/>
        <v>-4.096761152000002E-3</v>
      </c>
    </row>
    <row r="1236" spans="1:3" ht="13.2" x14ac:dyDescent="0.25">
      <c r="A1236" s="6">
        <v>1234</v>
      </c>
      <c r="B1236" s="7">
        <v>554.59002685546795</v>
      </c>
      <c r="C1236" s="3">
        <f t="shared" si="4"/>
        <v>2.519815762691038E-2</v>
      </c>
    </row>
    <row r="1237" spans="1:3" ht="13.2" x14ac:dyDescent="0.25">
      <c r="A1237" s="6">
        <v>1235</v>
      </c>
      <c r="B1237" s="7">
        <v>560.219970703125</v>
      </c>
      <c r="C1237" s="3">
        <f t="shared" si="4"/>
        <v>1.0100360998808325E-2</v>
      </c>
    </row>
    <row r="1238" spans="1:3" ht="13.2" x14ac:dyDescent="0.25">
      <c r="A1238" s="6">
        <v>1236</v>
      </c>
      <c r="B1238" s="7">
        <v>556.60998535156205</v>
      </c>
      <c r="C1238" s="3">
        <f t="shared" si="4"/>
        <v>-6.4647225919235414E-3</v>
      </c>
    </row>
    <row r="1239" spans="1:3" ht="13.2" x14ac:dyDescent="0.25">
      <c r="A1239" s="6">
        <v>1237</v>
      </c>
      <c r="B1239" s="7">
        <v>562.59002685546795</v>
      </c>
      <c r="C1239" s="3">
        <f t="shared" si="4"/>
        <v>1.0686380178694771E-2</v>
      </c>
    </row>
    <row r="1240" spans="1:3" ht="13.2" x14ac:dyDescent="0.25">
      <c r="A1240" s="6">
        <v>1238</v>
      </c>
      <c r="B1240" s="7">
        <v>569.44000244140602</v>
      </c>
      <c r="C1240" s="3">
        <f t="shared" si="4"/>
        <v>1.210225703390746E-2</v>
      </c>
    </row>
    <row r="1241" spans="1:3" ht="13.2" x14ac:dyDescent="0.25">
      <c r="A1241" s="6">
        <v>1239</v>
      </c>
      <c r="B1241" s="7">
        <v>565.260009765625</v>
      </c>
      <c r="C1241" s="3">
        <f t="shared" si="4"/>
        <v>-7.3676064842900495E-3</v>
      </c>
    </row>
    <row r="1242" spans="1:3" ht="13.2" x14ac:dyDescent="0.25">
      <c r="A1242" s="6">
        <v>1240</v>
      </c>
      <c r="B1242" s="7">
        <v>560.10998535156205</v>
      </c>
      <c r="C1242" s="3">
        <f t="shared" si="4"/>
        <v>-9.1526527067036009E-3</v>
      </c>
    </row>
    <row r="1243" spans="1:3" ht="13.2" x14ac:dyDescent="0.25">
      <c r="A1243" s="6">
        <v>1241</v>
      </c>
      <c r="B1243" s="7">
        <v>562.530029296875</v>
      </c>
      <c r="C1243" s="3">
        <f t="shared" si="4"/>
        <v>4.3113512120216309E-3</v>
      </c>
    </row>
    <row r="1244" spans="1:3" ht="13.2" x14ac:dyDescent="0.25">
      <c r="A1244" s="6">
        <v>1242</v>
      </c>
      <c r="B1244" s="7">
        <v>561.530029296875</v>
      </c>
      <c r="C1244" s="3">
        <f t="shared" si="4"/>
        <v>-1.7792648287251035E-3</v>
      </c>
    </row>
    <row r="1245" spans="1:3" ht="13.2" x14ac:dyDescent="0.25">
      <c r="A1245" s="6">
        <v>1243</v>
      </c>
      <c r="B1245" s="7">
        <v>556.40997314453102</v>
      </c>
      <c r="C1245" s="3">
        <f t="shared" si="4"/>
        <v>-9.1598689378736692E-3</v>
      </c>
    </row>
    <row r="1246" spans="1:3" ht="13.2" x14ac:dyDescent="0.25">
      <c r="A1246" s="6">
        <v>1244</v>
      </c>
      <c r="B1246" s="7">
        <v>531.90997314453102</v>
      </c>
      <c r="C1246" s="3">
        <f t="shared" si="4"/>
        <v>-4.5031132694480926E-2</v>
      </c>
    </row>
    <row r="1247" spans="1:3" ht="13.2" x14ac:dyDescent="0.25">
      <c r="A1247" s="6">
        <v>1245</v>
      </c>
      <c r="B1247" s="7">
        <v>523.36999511718705</v>
      </c>
      <c r="C1247" s="3">
        <f t="shared" si="4"/>
        <v>-1.6185590024608176E-2</v>
      </c>
    </row>
    <row r="1248" spans="1:3" ht="13.2" x14ac:dyDescent="0.25">
      <c r="A1248" s="6">
        <v>1246</v>
      </c>
      <c r="B1248" s="7">
        <v>535</v>
      </c>
      <c r="C1248" s="3">
        <f t="shared" si="4"/>
        <v>2.1978085311403245E-2</v>
      </c>
    </row>
    <row r="1249" spans="1:3" ht="13.2" x14ac:dyDescent="0.25">
      <c r="A1249" s="6">
        <v>1247</v>
      </c>
      <c r="B1249" s="7">
        <v>537.82000732421795</v>
      </c>
      <c r="C1249" s="3">
        <f t="shared" si="4"/>
        <v>5.2571984115529647E-3</v>
      </c>
    </row>
    <row r="1250" spans="1:3" ht="13.2" x14ac:dyDescent="0.25">
      <c r="A1250" s="6">
        <v>1248</v>
      </c>
      <c r="B1250" s="7">
        <v>525.30999755859295</v>
      </c>
      <c r="C1250" s="3">
        <f t="shared" si="4"/>
        <v>-2.3535385435485043E-2</v>
      </c>
    </row>
    <row r="1251" spans="1:3" ht="13.2" x14ac:dyDescent="0.25">
      <c r="A1251" s="6">
        <v>1249</v>
      </c>
      <c r="B1251" s="7">
        <v>536.47998046875</v>
      </c>
      <c r="C1251" s="3">
        <f t="shared" si="4"/>
        <v>2.1040686439546607E-2</v>
      </c>
    </row>
    <row r="1252" spans="1:3" ht="13.2" x14ac:dyDescent="0.25">
      <c r="A1252" s="6">
        <v>1250</v>
      </c>
      <c r="B1252" s="7">
        <v>539.60998535156205</v>
      </c>
      <c r="C1252" s="3">
        <f t="shared" si="4"/>
        <v>5.8173829500250112E-3</v>
      </c>
    </row>
    <row r="1253" spans="1:3" ht="13.2" x14ac:dyDescent="0.25">
      <c r="A1253" s="6">
        <v>1251</v>
      </c>
      <c r="B1253" s="7">
        <v>541</v>
      </c>
      <c r="C1253" s="3">
        <f t="shared" si="4"/>
        <v>2.5726495848354698E-3</v>
      </c>
    </row>
    <row r="1254" spans="1:3" ht="13.2" x14ac:dyDescent="0.25">
      <c r="A1254" s="6">
        <v>1252</v>
      </c>
      <c r="B1254" s="7">
        <v>545.66998291015602</v>
      </c>
      <c r="C1254" s="3">
        <f t="shared" si="4"/>
        <v>8.5950872543671137E-3</v>
      </c>
    </row>
    <row r="1255" spans="1:3" ht="13.2" x14ac:dyDescent="0.25">
      <c r="A1255" s="6">
        <v>1253</v>
      </c>
      <c r="B1255" s="7">
        <v>548.71002197265602</v>
      </c>
      <c r="C1255" s="3">
        <f t="shared" si="4"/>
        <v>5.5557427374213156E-3</v>
      </c>
    </row>
    <row r="1256" spans="1:3" ht="13.2" x14ac:dyDescent="0.25">
      <c r="A1256" s="6">
        <v>1254</v>
      </c>
      <c r="B1256" s="7">
        <v>558.47998046875</v>
      </c>
      <c r="C1256" s="3">
        <f t="shared" si="4"/>
        <v>1.7648663851718965E-2</v>
      </c>
    </row>
    <row r="1257" spans="1:3" ht="13.2" x14ac:dyDescent="0.25">
      <c r="A1257" s="6">
        <v>1255</v>
      </c>
      <c r="B1257" s="7">
        <v>550.65002441406205</v>
      </c>
      <c r="C1257" s="3">
        <f t="shared" si="4"/>
        <v>-1.4119329742231127E-2</v>
      </c>
    </row>
    <row r="1258" spans="1:3" ht="13.2" x14ac:dyDescent="0.25">
      <c r="A1258" s="6">
        <v>1256</v>
      </c>
      <c r="B1258" s="7">
        <v>557</v>
      </c>
      <c r="C1258" s="3">
        <f t="shared" si="4"/>
        <v>1.1465796979526372E-2</v>
      </c>
    </row>
    <row r="1259" spans="1:3" ht="13.2" x14ac:dyDescent="0.25">
      <c r="A1259" s="6">
        <v>1257</v>
      </c>
      <c r="B1259" s="7">
        <v>558.11999511718705</v>
      </c>
      <c r="C1259" s="3">
        <f t="shared" si="4"/>
        <v>2.0087443480424094E-3</v>
      </c>
    </row>
    <row r="1260" spans="1:3" ht="13.2" x14ac:dyDescent="0.25">
      <c r="A1260" s="6">
        <v>1258</v>
      </c>
      <c r="B1260" s="7">
        <v>551.29998779296795</v>
      </c>
      <c r="C1260" s="3">
        <f t="shared" si="4"/>
        <v>-1.2294880821956289E-2</v>
      </c>
    </row>
    <row r="1261" spans="1:3" ht="13.8" x14ac:dyDescent="0.3">
      <c r="A1261" s="1"/>
      <c r="B1261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AG57"/>
  <sheetViews>
    <sheetView tabSelected="1" topLeftCell="M1" zoomScaleNormal="100" workbookViewId="0">
      <selection activeCell="Q4" sqref="Q4"/>
    </sheetView>
  </sheetViews>
  <sheetFormatPr baseColWidth="10" defaultColWidth="12.6640625" defaultRowHeight="15.75" customHeight="1" x14ac:dyDescent="0.25"/>
  <cols>
    <col min="2" max="4" width="18.33203125" bestFit="1" customWidth="1"/>
    <col min="5" max="6" width="19" bestFit="1" customWidth="1"/>
    <col min="8" max="8" width="19" bestFit="1" customWidth="1"/>
    <col min="9" max="9" width="13.109375" customWidth="1"/>
    <col min="10" max="10" width="14.44140625" customWidth="1"/>
    <col min="11" max="11" width="16.21875" customWidth="1"/>
    <col min="12" max="12" width="21.88671875" customWidth="1"/>
    <col min="14" max="14" width="20.109375" bestFit="1" customWidth="1"/>
    <col min="17" max="17" width="14.6640625" customWidth="1"/>
    <col min="18" max="18" width="13.109375" customWidth="1"/>
    <col min="19" max="19" width="14.109375" customWidth="1"/>
    <col min="20" max="20" width="13.88671875" bestFit="1" customWidth="1"/>
    <col min="21" max="21" width="13.21875" bestFit="1" customWidth="1"/>
    <col min="22" max="22" width="12.6640625" bestFit="1" customWidth="1"/>
    <col min="23" max="23" width="12.21875" customWidth="1"/>
    <col min="26" max="26" width="15.88671875" customWidth="1"/>
    <col min="29" max="29" width="14.21875" bestFit="1" customWidth="1"/>
  </cols>
  <sheetData>
    <row r="2" spans="1:30" x14ac:dyDescent="0.25">
      <c r="B2" s="64" t="s">
        <v>13</v>
      </c>
      <c r="C2" s="65"/>
      <c r="D2" s="65"/>
      <c r="E2" s="65"/>
      <c r="F2" s="65"/>
      <c r="K2" s="14" t="s">
        <v>14</v>
      </c>
      <c r="O2" s="15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3</v>
      </c>
      <c r="W2" s="16" t="s">
        <v>4</v>
      </c>
      <c r="X2" s="16" t="s">
        <v>2</v>
      </c>
      <c r="Z2" s="15" t="s">
        <v>21</v>
      </c>
      <c r="AB2" s="15" t="s">
        <v>22</v>
      </c>
      <c r="AC2" s="15" t="s">
        <v>23</v>
      </c>
      <c r="AD2" s="17"/>
    </row>
    <row r="3" spans="1:30" x14ac:dyDescent="0.25">
      <c r="A3" s="18"/>
      <c r="B3" s="18" t="s">
        <v>24</v>
      </c>
      <c r="C3" s="18" t="s">
        <v>25</v>
      </c>
      <c r="D3" s="18" t="s">
        <v>26</v>
      </c>
      <c r="E3" s="18" t="s">
        <v>27</v>
      </c>
      <c r="F3" s="18" t="s">
        <v>28</v>
      </c>
      <c r="G3" s="19"/>
      <c r="J3" s="3" t="s">
        <v>29</v>
      </c>
      <c r="K3" s="5">
        <f>BIMBO!F1</f>
        <v>5.1938849544619294E-4</v>
      </c>
      <c r="O3" s="3">
        <v>1</v>
      </c>
      <c r="P3" s="20" t="s">
        <v>30</v>
      </c>
      <c r="Q3" s="21">
        <f t="array" ref="Q3:U3">TRANSPOSE(K13:K17)</f>
        <v>0.1665949049823435</v>
      </c>
      <c r="R3" s="21">
        <v>4.3885534145191162E-2</v>
      </c>
      <c r="S3" s="21">
        <v>0.11711950276245729</v>
      </c>
      <c r="T3" s="21">
        <v>0.50748512123608136</v>
      </c>
      <c r="U3" s="21">
        <v>0.16491493687392669</v>
      </c>
      <c r="V3" s="21" cm="1">
        <f t="array" ref="V3">MMULT(MMULT(TRANSPOSE(K13:K17),B4:F8),K13:K17)</f>
        <v>1.5480907513243798E-4</v>
      </c>
      <c r="W3" s="21">
        <f t="shared" ref="W3:W22" si="0">SQRT(V3)</f>
        <v>1.2442229508108183E-2</v>
      </c>
      <c r="X3" s="21">
        <f>SUMPRODUCT(K3:K7,K13:K17)</f>
        <v>4.3729233469990396E-4</v>
      </c>
      <c r="Y3" s="22">
        <f>X3</f>
        <v>4.3729233469990396E-4</v>
      </c>
      <c r="Z3" s="3">
        <f>(X22-X3)/19</f>
        <v>8.7794519748421761E-6</v>
      </c>
      <c r="AA3" s="71" t="s">
        <v>62</v>
      </c>
      <c r="AB3" s="23">
        <v>0</v>
      </c>
      <c r="AC3" s="24">
        <f>K24</f>
        <v>2.833333333333333E-4</v>
      </c>
    </row>
    <row r="4" spans="1:30" x14ac:dyDescent="0.25">
      <c r="A4" s="18" t="s">
        <v>24</v>
      </c>
      <c r="B4" s="25">
        <f>_xlfn.VAR.S(BIMBO!C:C)</f>
        <v>4.6028741970920167E-4</v>
      </c>
      <c r="C4" s="26">
        <f>B5</f>
        <v>1.8784824566055579E-4</v>
      </c>
      <c r="D4" s="27">
        <f>B6</f>
        <v>1.1613404812106514E-4</v>
      </c>
      <c r="E4" s="28">
        <f>B7</f>
        <v>8.2977446436808923E-5</v>
      </c>
      <c r="F4" s="29">
        <f>B8</f>
        <v>8.5937237805356801E-5</v>
      </c>
      <c r="G4" s="19">
        <v>1</v>
      </c>
      <c r="J4" s="3" t="s">
        <v>25</v>
      </c>
      <c r="K4" s="5">
        <f>GrupoCarso!F1</f>
        <v>5.0333562542119209E-4</v>
      </c>
      <c r="M4" t="e" cm="1">
        <f t="array" ref="M4">MMULT(TRANSPOSE(Q4:U4),$B$4:$F$8)</f>
        <v>#VALUE!</v>
      </c>
      <c r="O4" s="3">
        <v>2</v>
      </c>
      <c r="Q4" s="21">
        <f>P27</f>
        <v>0.17523692137735919</v>
      </c>
      <c r="R4" s="21">
        <f t="shared" ref="Q4:U4" si="1">Q27</f>
        <v>4.759090802820487E-2</v>
      </c>
      <c r="S4" s="21">
        <f t="shared" si="1"/>
        <v>0.13795409350028054</v>
      </c>
      <c r="T4" s="21">
        <f t="shared" si="1"/>
        <v>0.4727492755305216</v>
      </c>
      <c r="U4" s="21">
        <f t="shared" si="1"/>
        <v>0.16646880156363369</v>
      </c>
      <c r="V4" s="21" cm="1">
        <f t="array" ref="V4">MMULT(MMULT(Q4:U4, $B$4:$F$8), TRANSPOSE(Q4:U4))</f>
        <v>1.5527370287452344E-4</v>
      </c>
      <c r="W4" s="21">
        <f t="shared" si="0"/>
        <v>1.2460886921665065E-2</v>
      </c>
      <c r="X4" s="21" cm="1">
        <f t="array" ref="X4">SUMPRODUCT($K$3:$K$7, TRANSPOSE(Q4:U4))</f>
        <v>4.4607178667474627E-4</v>
      </c>
      <c r="Y4" s="22">
        <f t="shared" ref="Y4:Y22" si="2">Y3+$Z$3</f>
        <v>4.4607178667474616E-4</v>
      </c>
      <c r="AA4" s="71" t="s">
        <v>63</v>
      </c>
      <c r="AB4" s="30">
        <f>W22</f>
        <v>1.7959390023753342E-2</v>
      </c>
      <c r="AC4" s="30">
        <f t="shared" ref="AC4" si="3">X22</f>
        <v>6.041019222219053E-4</v>
      </c>
    </row>
    <row r="5" spans="1:30" x14ac:dyDescent="0.25">
      <c r="A5" s="18" t="s">
        <v>25</v>
      </c>
      <c r="B5" s="26">
        <f>COVAR(BIMBO!C:C,GrupoCarso!C:C)</f>
        <v>1.8784824566055579E-4</v>
      </c>
      <c r="C5" s="25">
        <f>_xlfn.VAR.S(GrupoCarso!C:C)</f>
        <v>6.1694380570537699E-4</v>
      </c>
      <c r="D5" s="31">
        <f>C6</f>
        <v>1.5556552587629217E-4</v>
      </c>
      <c r="E5" s="32">
        <f>C7</f>
        <v>1.1115052286694473E-4</v>
      </c>
      <c r="F5" s="33">
        <f>C8</f>
        <v>1.3226583866717077E-4</v>
      </c>
      <c r="G5" s="19">
        <v>1</v>
      </c>
      <c r="J5" s="3" t="s">
        <v>26</v>
      </c>
      <c r="K5" s="11">
        <f>GrupoMexico!F1</f>
        <v>6.5383253785100475E-4</v>
      </c>
      <c r="O5" s="3">
        <v>3</v>
      </c>
      <c r="Q5" s="21">
        <f t="shared" ref="Q5:U5" si="4">P28</f>
        <v>0.1838789377723733</v>
      </c>
      <c r="R5" s="21">
        <f t="shared" si="4"/>
        <v>5.1296281911218794E-2</v>
      </c>
      <c r="S5" s="21">
        <f t="shared" si="4"/>
        <v>0.15878868423810433</v>
      </c>
      <c r="T5" s="21">
        <f t="shared" si="4"/>
        <v>0.43801342982496316</v>
      </c>
      <c r="U5" s="21">
        <f t="shared" si="4"/>
        <v>0.16802266625334047</v>
      </c>
      <c r="V5" s="21" cm="1">
        <f t="array" ref="V5">MMULT(MMULT(Q5:U5, $B$4:$F$8), TRANSPOSE(Q5:U5))</f>
        <v>1.566675861007799E-4</v>
      </c>
      <c r="W5" s="21">
        <f t="shared" si="0"/>
        <v>1.2516692298717737E-2</v>
      </c>
      <c r="X5" s="21" cm="1">
        <f t="array" ref="X5">SUMPRODUCT($K$3:$K$7, TRANSPOSE(Q5:U5))</f>
        <v>4.5485123864958852E-4</v>
      </c>
      <c r="Y5" s="22">
        <f t="shared" si="2"/>
        <v>4.5485123864958836E-4</v>
      </c>
      <c r="AA5" s="70"/>
      <c r="AB5" s="34"/>
    </row>
    <row r="6" spans="1:30" x14ac:dyDescent="0.25">
      <c r="A6" s="18" t="s">
        <v>26</v>
      </c>
      <c r="B6" s="27">
        <f>COVAR(GrupoMexico!C:C,BIMBO!C:C)</f>
        <v>1.1613404812106514E-4</v>
      </c>
      <c r="C6" s="31">
        <f>COVAR(GrupoMexico!C:C,GrupoCarso!C:C)</f>
        <v>1.5556552587629217E-4</v>
      </c>
      <c r="D6" s="25">
        <f>_xlfn.VAR.S(GrupoMexico!C:C)</f>
        <v>5.8922951502286727E-4</v>
      </c>
      <c r="E6" s="35">
        <f>D7</f>
        <v>7.4863852898006958E-5</v>
      </c>
      <c r="F6" s="36">
        <f>D8</f>
        <v>1.3117125323090347E-4</v>
      </c>
      <c r="G6" s="19">
        <v>1</v>
      </c>
      <c r="J6" s="3" t="s">
        <v>27</v>
      </c>
      <c r="K6" s="11">
        <f>FEMSA!F1</f>
        <v>3.4343852163724262E-4</v>
      </c>
      <c r="O6" s="3">
        <v>4</v>
      </c>
      <c r="Q6" s="21">
        <f t="shared" ref="Q6:U6" si="5">P29</f>
        <v>0.1925209541673874</v>
      </c>
      <c r="R6" s="21">
        <f t="shared" si="5"/>
        <v>5.5001655794232746E-2</v>
      </c>
      <c r="S6" s="21">
        <f t="shared" si="5"/>
        <v>0.17962327497592789</v>
      </c>
      <c r="T6" s="21">
        <f t="shared" si="5"/>
        <v>0.40327758411940451</v>
      </c>
      <c r="U6" s="21">
        <f t="shared" si="5"/>
        <v>0.16957653094304725</v>
      </c>
      <c r="V6" s="21" cm="1">
        <f t="array" ref="V6">MMULT(MMULT(Q6:U6, $B$4:$F$8), TRANSPOSE(Q6:U6))</f>
        <v>1.5899072481120717E-4</v>
      </c>
      <c r="W6" s="21">
        <f t="shared" si="0"/>
        <v>1.2609152422395693E-2</v>
      </c>
      <c r="X6" s="21" cm="1">
        <f t="array" ref="X6">SUMPRODUCT($K$3:$K$7, TRANSPOSE(Q6:U6))</f>
        <v>4.6363069062443061E-4</v>
      </c>
      <c r="Y6" s="22">
        <f t="shared" si="2"/>
        <v>4.6363069062443056E-4</v>
      </c>
      <c r="AB6" s="15" t="s">
        <v>22</v>
      </c>
      <c r="AC6" s="15" t="s">
        <v>23</v>
      </c>
    </row>
    <row r="7" spans="1:30" x14ac:dyDescent="0.25">
      <c r="A7" s="18" t="s">
        <v>27</v>
      </c>
      <c r="B7" s="28">
        <f>COVAR(FEMSA!C:C,BIMBO!C:C)</f>
        <v>8.2977446436808923E-5</v>
      </c>
      <c r="C7" s="32">
        <f>COVAR(FEMSA!C:C,GrupoCarso!C:C)</f>
        <v>1.1115052286694473E-4</v>
      </c>
      <c r="D7" s="35">
        <f>COVAR(FEMSA!C:C,GrupoMexico!C:C)</f>
        <v>7.4863852898006958E-5</v>
      </c>
      <c r="E7" s="25">
        <f>_xlfn.VAR.S(FEMSA!C:C)</f>
        <v>2.2409003598098797E-4</v>
      </c>
      <c r="F7" s="37">
        <f>E8</f>
        <v>8.2570925443771722E-5</v>
      </c>
      <c r="G7" s="19">
        <v>1</v>
      </c>
      <c r="J7" s="3" t="s">
        <v>28</v>
      </c>
      <c r="K7" s="11">
        <f>ASUR!F1</f>
        <v>4.7181428703727164E-4</v>
      </c>
      <c r="O7" s="3">
        <v>5</v>
      </c>
      <c r="Q7" s="21">
        <f t="shared" ref="Q7:U7" si="6">P30</f>
        <v>0.20116297056240151</v>
      </c>
      <c r="R7" s="21">
        <f t="shared" si="6"/>
        <v>5.8707029677246669E-2</v>
      </c>
      <c r="S7" s="21">
        <f t="shared" si="6"/>
        <v>0.20045786571375168</v>
      </c>
      <c r="T7" s="21">
        <f t="shared" si="6"/>
        <v>0.36854173841384608</v>
      </c>
      <c r="U7" s="21">
        <f t="shared" si="6"/>
        <v>0.17113039563275401</v>
      </c>
      <c r="V7" s="21" cm="1">
        <f t="array" ref="V7">MMULT(MMULT(Q7:U7, $B$4:$F$8), TRANSPOSE(Q7:U7))</f>
        <v>1.6224311900580552E-4</v>
      </c>
      <c r="W7" s="21">
        <f t="shared" si="0"/>
        <v>1.2737469097344477E-2</v>
      </c>
      <c r="X7" s="21" cm="1">
        <f t="array" ref="X7">SUMPRODUCT($K$3:$K$7, TRANSPOSE(Q7:U7))</f>
        <v>4.7241014259927287E-4</v>
      </c>
      <c r="Y7" s="22">
        <f t="shared" si="2"/>
        <v>4.7241014259927276E-4</v>
      </c>
      <c r="AB7" s="30">
        <v>1.7959390023753356E-2</v>
      </c>
      <c r="AC7" s="30">
        <f>X22</f>
        <v>6.041019222219053E-4</v>
      </c>
    </row>
    <row r="8" spans="1:30" x14ac:dyDescent="0.25">
      <c r="A8" s="18" t="s">
        <v>28</v>
      </c>
      <c r="B8" s="29">
        <f>COVAR(ASUR!C:C,BIMBO!C:C)</f>
        <v>8.5937237805356801E-5</v>
      </c>
      <c r="C8" s="33">
        <f>COVAR(ASUR!C:C,GrupoCarso!C:C)</f>
        <v>1.3226583866717077E-4</v>
      </c>
      <c r="D8" s="36">
        <f>COVAR(ASUR!C:C,GrupoMexico!C:C)</f>
        <v>1.3117125323090347E-4</v>
      </c>
      <c r="E8" s="37">
        <f>COVAR(ASUR!C:C,FEMSA!C:C)</f>
        <v>8.2570925443771722E-5</v>
      </c>
      <c r="F8" s="25">
        <f>_xlfn.VAR.S(ASUR!C:C)</f>
        <v>4.6946374652155474E-4</v>
      </c>
      <c r="G8" s="19">
        <v>1</v>
      </c>
      <c r="O8" s="3">
        <v>6</v>
      </c>
      <c r="Q8" s="21">
        <f t="shared" ref="Q8:U8" si="7">P31</f>
        <v>0.20980498695741562</v>
      </c>
      <c r="R8" s="21">
        <f t="shared" si="7"/>
        <v>6.2412403560260621E-2</v>
      </c>
      <c r="S8" s="21">
        <f t="shared" si="7"/>
        <v>0.22129245645157547</v>
      </c>
      <c r="T8" s="21">
        <f t="shared" si="7"/>
        <v>0.33380589270828742</v>
      </c>
      <c r="U8" s="21">
        <f t="shared" si="7"/>
        <v>0.17268426032246076</v>
      </c>
      <c r="V8" s="21" cm="1">
        <f t="array" ref="V8">MMULT(MMULT(Q8:U8, $B$4:$F$8), TRANSPOSE(Q8:U8))</f>
        <v>1.6642476868457474E-4</v>
      </c>
      <c r="W8" s="21">
        <f t="shared" si="0"/>
        <v>1.2900572416934635E-2</v>
      </c>
      <c r="X8" s="21" cm="1">
        <f t="array" ref="X8">SUMPRODUCT($K$3:$K$7, TRANSPOSE(Q8:U8))</f>
        <v>4.8118959457411507E-4</v>
      </c>
      <c r="Y8" s="22">
        <f t="shared" si="2"/>
        <v>4.8118959457411496E-4</v>
      </c>
      <c r="AB8" s="38">
        <v>0.02</v>
      </c>
      <c r="AC8" s="30">
        <f>K26*(AB8-AB7)+AC7</f>
        <v>6.0457864115297092E-4</v>
      </c>
    </row>
    <row r="9" spans="1:30" x14ac:dyDescent="0.25">
      <c r="A9" s="19"/>
      <c r="B9" s="19">
        <v>1</v>
      </c>
      <c r="C9" s="19">
        <v>1</v>
      </c>
      <c r="D9" s="19">
        <v>1</v>
      </c>
      <c r="E9" s="19">
        <v>1</v>
      </c>
      <c r="F9" s="19">
        <v>1</v>
      </c>
      <c r="G9" s="19">
        <v>0</v>
      </c>
      <c r="O9" s="3">
        <v>7</v>
      </c>
      <c r="Q9" s="21">
        <f t="shared" ref="Q9:U9" si="8">P32</f>
        <v>0.21844700335242967</v>
      </c>
      <c r="R9" s="21">
        <f t="shared" si="8"/>
        <v>6.6117777443274545E-2</v>
      </c>
      <c r="S9" s="21">
        <f t="shared" si="8"/>
        <v>0.24212704718939904</v>
      </c>
      <c r="T9" s="21">
        <f t="shared" si="8"/>
        <v>0.29907004700272921</v>
      </c>
      <c r="U9" s="21">
        <f t="shared" si="8"/>
        <v>0.17423812501216751</v>
      </c>
      <c r="V9" s="21" cm="1">
        <f t="array" ref="V9">MMULT(MMULT(Q9:U9, $B$4:$F$8), TRANSPOSE(Q9:U9))</f>
        <v>1.7153567384751487E-4</v>
      </c>
      <c r="W9" s="21">
        <f t="shared" si="0"/>
        <v>1.3097162816713965E-2</v>
      </c>
      <c r="X9" s="21" cm="1">
        <f t="array" ref="X9">SUMPRODUCT($K$3:$K$7, TRANSPOSE(Q9:U9))</f>
        <v>4.8996904654895733E-4</v>
      </c>
      <c r="Y9" s="22">
        <f t="shared" si="2"/>
        <v>4.8996904654895711E-4</v>
      </c>
    </row>
    <row r="10" spans="1:30" x14ac:dyDescent="0.25">
      <c r="O10" s="3">
        <v>8</v>
      </c>
      <c r="Q10" s="21">
        <f t="shared" ref="Q10:U10" si="9">P33</f>
        <v>0.22708901974744378</v>
      </c>
      <c r="R10" s="21">
        <f t="shared" si="9"/>
        <v>6.9823151326288468E-2</v>
      </c>
      <c r="S10" s="21">
        <f t="shared" si="9"/>
        <v>0.26296163792722282</v>
      </c>
      <c r="T10" s="21">
        <f t="shared" si="9"/>
        <v>0.26433420129717056</v>
      </c>
      <c r="U10" s="21">
        <f t="shared" si="9"/>
        <v>0.17579198970187426</v>
      </c>
      <c r="V10" s="21" cm="1">
        <f t="array" ref="V10">MMULT(MMULT(Q10:U10, $B$4:$F$8), TRANSPOSE(Q10:U10))</f>
        <v>1.7757583449462598E-4</v>
      </c>
      <c r="W10" s="21">
        <f t="shared" si="0"/>
        <v>1.3325758308427554E-2</v>
      </c>
      <c r="X10" s="21" cm="1">
        <f t="array" ref="X10">SUMPRODUCT($K$3:$K$7, TRANSPOSE(Q10:U10))</f>
        <v>4.9874849852379942E-4</v>
      </c>
      <c r="Y10" s="22">
        <f t="shared" si="2"/>
        <v>4.9874849852379931E-4</v>
      </c>
    </row>
    <row r="11" spans="1:30" x14ac:dyDescent="0.25">
      <c r="O11" s="3">
        <v>9</v>
      </c>
      <c r="Q11" s="21">
        <f t="shared" ref="Q11:U11" si="10">P34</f>
        <v>0.23573103614245788</v>
      </c>
      <c r="R11" s="21">
        <f t="shared" si="10"/>
        <v>7.352852520930242E-2</v>
      </c>
      <c r="S11" s="21">
        <f t="shared" si="10"/>
        <v>0.28379622866504661</v>
      </c>
      <c r="T11" s="21">
        <f t="shared" si="10"/>
        <v>0.2295983555916119</v>
      </c>
      <c r="U11" s="21">
        <f t="shared" si="10"/>
        <v>0.17734585439158104</v>
      </c>
      <c r="V11" s="21" cm="1">
        <f t="array" ref="V11">MMULT(MMULT(Q11:U11, $B$4:$F$8), TRANSPOSE(Q11:U11))</f>
        <v>1.8454525062590801E-4</v>
      </c>
      <c r="W11" s="21">
        <f t="shared" si="0"/>
        <v>1.3584743303644276E-2</v>
      </c>
      <c r="X11" s="21" cm="1">
        <f t="array" ref="X11">SUMPRODUCT($K$3:$K$7, TRANSPOSE(Q11:U11))</f>
        <v>5.0752795049864162E-4</v>
      </c>
      <c r="Y11" s="22">
        <f t="shared" si="2"/>
        <v>5.0752795049864151E-4</v>
      </c>
    </row>
    <row r="12" spans="1:30" x14ac:dyDescent="0.25">
      <c r="B12" s="66" t="s">
        <v>31</v>
      </c>
      <c r="C12" s="65"/>
      <c r="D12" s="65"/>
      <c r="E12" s="65"/>
      <c r="F12" s="65"/>
      <c r="G12" s="65"/>
      <c r="I12" s="39" t="s">
        <v>32</v>
      </c>
      <c r="K12" s="40" t="s">
        <v>33</v>
      </c>
      <c r="O12" s="3">
        <v>10</v>
      </c>
      <c r="Q12" s="21">
        <f t="shared" ref="Q12:U12" si="11">P35</f>
        <v>0.24437305253747199</v>
      </c>
      <c r="R12" s="21">
        <f t="shared" si="11"/>
        <v>7.7233899092316344E-2</v>
      </c>
      <c r="S12" s="21">
        <f t="shared" si="11"/>
        <v>0.30463081940287018</v>
      </c>
      <c r="T12" s="21">
        <f t="shared" si="11"/>
        <v>0.19486250988605347</v>
      </c>
      <c r="U12" s="21">
        <f t="shared" si="11"/>
        <v>0.17889971908128782</v>
      </c>
      <c r="V12" s="21" cm="1">
        <f t="array" ref="V12">MMULT(MMULT(Q12:U12, $B$4:$F$8), TRANSPOSE(Q12:U12))</f>
        <v>1.9244392224136096E-4</v>
      </c>
      <c r="W12" s="21">
        <f t="shared" si="0"/>
        <v>1.3872415876168108E-2</v>
      </c>
      <c r="X12" s="21" cm="1">
        <f t="array" ref="X12">SUMPRODUCT($K$3:$K$7, TRANSPOSE(Q12:U12))</f>
        <v>5.1630740247348371E-4</v>
      </c>
      <c r="Y12" s="22">
        <f t="shared" si="2"/>
        <v>5.1630740247348371E-4</v>
      </c>
    </row>
    <row r="13" spans="1:30" x14ac:dyDescent="0.25">
      <c r="B13" s="41">
        <f t="array" ref="B13:G18">MINVERSE(B4:G9)</f>
        <v>2425.5898469746417</v>
      </c>
      <c r="C13" s="41">
        <v>-650.32383062180577</v>
      </c>
      <c r="D13" s="41">
        <v>-381.41022256988958</v>
      </c>
      <c r="E13" s="41">
        <v>-1073.5972023853049</v>
      </c>
      <c r="F13" s="41">
        <v>-320.25859139764202</v>
      </c>
      <c r="G13" s="41">
        <v>0.1665949049823435</v>
      </c>
      <c r="I13" s="3">
        <v>0</v>
      </c>
      <c r="K13" s="3">
        <f t="array" ref="K13:K18">MMULT(B13:G18,I13:I18)</f>
        <v>0.1665949049823435</v>
      </c>
      <c r="O13" s="3">
        <v>11</v>
      </c>
      <c r="Q13" s="21">
        <f t="shared" ref="Q13:U13" si="12">P36</f>
        <v>0.25301506893248604</v>
      </c>
      <c r="R13" s="21">
        <f t="shared" si="12"/>
        <v>8.0939272975330295E-2</v>
      </c>
      <c r="S13" s="21">
        <f t="shared" si="12"/>
        <v>0.32546541014069397</v>
      </c>
      <c r="T13" s="21">
        <f t="shared" si="12"/>
        <v>0.16012666418049504</v>
      </c>
      <c r="U13" s="21">
        <f t="shared" si="12"/>
        <v>0.18045358377099457</v>
      </c>
      <c r="V13" s="21" cm="1">
        <f t="array" ref="V13">MMULT(MMULT(Q13:U13, $B$4:$F$8), TRANSPOSE(Q13:U13))</f>
        <v>2.012718493409849E-4</v>
      </c>
      <c r="W13" s="21">
        <f t="shared" si="0"/>
        <v>1.4187031026292461E-2</v>
      </c>
      <c r="X13" s="21" cm="1">
        <f t="array" ref="X13">SUMPRODUCT($K$3:$K$7, TRANSPOSE(Q13:U13))</f>
        <v>5.2508685444832613E-4</v>
      </c>
      <c r="Y13" s="22">
        <f t="shared" si="2"/>
        <v>5.2508685444832592E-4</v>
      </c>
    </row>
    <row r="14" spans="1:30" x14ac:dyDescent="0.25">
      <c r="B14" s="41">
        <v>-650.32383062180577</v>
      </c>
      <c r="C14" s="41">
        <v>2030.3936839017085</v>
      </c>
      <c r="D14" s="41">
        <v>-315.6947268414113</v>
      </c>
      <c r="E14" s="41">
        <v>-735.46307434532741</v>
      </c>
      <c r="F14" s="41">
        <v>-328.91205209316422</v>
      </c>
      <c r="G14" s="41">
        <v>4.3885534145191162E-2</v>
      </c>
      <c r="I14" s="3">
        <v>0</v>
      </c>
      <c r="K14" s="3">
        <v>4.3885534145191162E-2</v>
      </c>
      <c r="O14" s="3">
        <v>12</v>
      </c>
      <c r="Q14" s="21">
        <f t="shared" ref="Q14:U14" si="13">P37</f>
        <v>0.26165708532750021</v>
      </c>
      <c r="R14" s="21">
        <f t="shared" si="13"/>
        <v>8.4644646858344219E-2</v>
      </c>
      <c r="S14" s="21">
        <f t="shared" si="13"/>
        <v>0.34630000087851776</v>
      </c>
      <c r="T14" s="21">
        <f t="shared" si="13"/>
        <v>0.12539081847493661</v>
      </c>
      <c r="U14" s="21">
        <f t="shared" si="13"/>
        <v>0.18200744846070133</v>
      </c>
      <c r="V14" s="21" cm="1">
        <f t="array" ref="V14">MMULT(MMULT(Q14:U14, $B$4:$F$8), TRANSPOSE(Q14:U14))</f>
        <v>2.1102903192477982E-4</v>
      </c>
      <c r="W14" s="21">
        <f t="shared" si="0"/>
        <v>1.452683833202462E-2</v>
      </c>
      <c r="X14" s="21" cm="1">
        <f t="array" ref="X14">SUMPRODUCT($K$3:$K$7, TRANSPOSE(Q14:U14))</f>
        <v>5.3386630642316844E-4</v>
      </c>
      <c r="Y14" s="22">
        <f t="shared" si="2"/>
        <v>5.3386630642316812E-4</v>
      </c>
    </row>
    <row r="15" spans="1:30" x14ac:dyDescent="0.25">
      <c r="B15" s="41">
        <v>-381.41022256988924</v>
      </c>
      <c r="C15" s="41">
        <v>-315.69472684141135</v>
      </c>
      <c r="D15" s="41">
        <v>1850.3597748394684</v>
      </c>
      <c r="E15" s="41">
        <v>-661.96830888919988</v>
      </c>
      <c r="F15" s="41">
        <v>-491.28651653896799</v>
      </c>
      <c r="G15" s="41">
        <v>0.11711950276245729</v>
      </c>
      <c r="I15" s="3">
        <v>0</v>
      </c>
      <c r="K15" s="3">
        <v>0.11711950276245729</v>
      </c>
      <c r="O15" s="3">
        <v>13</v>
      </c>
      <c r="Q15" s="21">
        <f t="shared" ref="Q15:U15" si="14">P38</f>
        <v>0.27029910172251426</v>
      </c>
      <c r="R15" s="21">
        <f t="shared" si="14"/>
        <v>8.8350020741358171E-2</v>
      </c>
      <c r="S15" s="21">
        <f t="shared" si="14"/>
        <v>0.36713459161634154</v>
      </c>
      <c r="T15" s="21">
        <f t="shared" si="14"/>
        <v>9.0654972769377729E-2</v>
      </c>
      <c r="U15" s="21">
        <f t="shared" si="14"/>
        <v>0.18356131315040808</v>
      </c>
      <c r="V15" s="21" cm="1">
        <f t="array" ref="V15">MMULT(MMULT(Q15:U15, $B$4:$F$8), TRANSPOSE(Q15:U15))</f>
        <v>2.2171546999274553E-4</v>
      </c>
      <c r="W15" s="21">
        <f t="shared" si="0"/>
        <v>1.4890113162523162E-2</v>
      </c>
      <c r="X15" s="21" cm="1">
        <f t="array" ref="X15">SUMPRODUCT($K$3:$K$7, TRANSPOSE(Q15:U15))</f>
        <v>5.4264575839801043E-4</v>
      </c>
      <c r="Y15" s="22">
        <f t="shared" si="2"/>
        <v>5.4264575839801032E-4</v>
      </c>
    </row>
    <row r="16" spans="1:30" x14ac:dyDescent="0.25">
      <c r="B16" s="41">
        <v>-1073.5972023853044</v>
      </c>
      <c r="C16" s="41">
        <v>-735.46307434532741</v>
      </c>
      <c r="D16" s="41">
        <v>-661.96830888919965</v>
      </c>
      <c r="E16" s="41">
        <v>3595.759734765476</v>
      </c>
      <c r="F16" s="41">
        <v>-1124.7311491456437</v>
      </c>
      <c r="G16" s="41">
        <v>0.50748512123608136</v>
      </c>
      <c r="I16" s="3">
        <v>0</v>
      </c>
      <c r="K16" s="3">
        <v>0.50748512123608136</v>
      </c>
      <c r="O16" s="3">
        <v>14</v>
      </c>
      <c r="Q16" s="21">
        <f t="shared" ref="Q16:U16" si="15">P39</f>
        <v>0.27894111811752842</v>
      </c>
      <c r="R16" s="21">
        <f t="shared" si="15"/>
        <v>9.2055394624372122E-2</v>
      </c>
      <c r="S16" s="21">
        <f t="shared" si="15"/>
        <v>0.38796918235416511</v>
      </c>
      <c r="T16" s="21">
        <f t="shared" si="15"/>
        <v>5.5919127063819296E-2</v>
      </c>
      <c r="U16" s="21">
        <f t="shared" si="15"/>
        <v>0.18511517784011486</v>
      </c>
      <c r="V16" s="21" cm="1">
        <f t="array" ref="V16">MMULT(MMULT(Q16:U16, $B$4:$F$8), TRANSPOSE(Q16:U16))</f>
        <v>2.3333116354488221E-4</v>
      </c>
      <c r="W16" s="21">
        <f t="shared" si="0"/>
        <v>1.5275181293355644E-2</v>
      </c>
      <c r="X16" s="21" cm="1">
        <f t="array" ref="X16">SUMPRODUCT($K$3:$K$7, TRANSPOSE(Q16:U16))</f>
        <v>5.5142521037285263E-4</v>
      </c>
      <c r="Y16" s="22">
        <f t="shared" si="2"/>
        <v>5.5142521037285252E-4</v>
      </c>
    </row>
    <row r="17" spans="2:25" x14ac:dyDescent="0.25">
      <c r="B17" s="41">
        <v>-320.25859139764225</v>
      </c>
      <c r="C17" s="41">
        <v>-328.91205209316411</v>
      </c>
      <c r="D17" s="41">
        <v>-491.28651653896793</v>
      </c>
      <c r="E17" s="41">
        <v>-1124.7311491456437</v>
      </c>
      <c r="F17" s="41">
        <v>2265.188309175418</v>
      </c>
      <c r="G17" s="41">
        <v>0.16491493687392669</v>
      </c>
      <c r="I17" s="3">
        <v>0</v>
      </c>
      <c r="K17" s="3">
        <v>0.16491493687392669</v>
      </c>
      <c r="O17" s="3">
        <v>15</v>
      </c>
      <c r="Q17" s="21">
        <f t="shared" ref="Q17:U17" si="16">P40</f>
        <v>0.28758313451254247</v>
      </c>
      <c r="R17" s="21">
        <f t="shared" si="16"/>
        <v>9.5760768507386046E-2</v>
      </c>
      <c r="S17" s="21">
        <f t="shared" si="16"/>
        <v>0.4088037730919889</v>
      </c>
      <c r="T17" s="21">
        <f t="shared" si="16"/>
        <v>2.1183281358260864E-2</v>
      </c>
      <c r="U17" s="21">
        <f t="shared" si="16"/>
        <v>0.18666904252982161</v>
      </c>
      <c r="V17" s="21" cm="1">
        <f t="array" ref="V17">MMULT(MMULT(Q17:U17, $B$4:$F$8), TRANSPOSE(Q17:U17))</f>
        <v>2.4587611258118983E-4</v>
      </c>
      <c r="W17" s="21">
        <f t="shared" si="0"/>
        <v>1.5680437257334052E-2</v>
      </c>
      <c r="X17" s="21" cm="1">
        <f t="array" ref="X17">SUMPRODUCT($K$3:$K$7, TRANSPOSE(Q17:U17))</f>
        <v>5.6020466234769483E-4</v>
      </c>
      <c r="Y17" s="22">
        <f t="shared" si="2"/>
        <v>5.6020466234769472E-4</v>
      </c>
    </row>
    <row r="18" spans="2:25" x14ac:dyDescent="0.25">
      <c r="B18" s="41">
        <v>0.16659490498234344</v>
      </c>
      <c r="C18" s="41">
        <v>4.3885534145191231E-2</v>
      </c>
      <c r="D18" s="41">
        <v>0.11711950276245726</v>
      </c>
      <c r="E18" s="41">
        <v>0.50748512123608136</v>
      </c>
      <c r="F18" s="41">
        <v>0.16491493687392675</v>
      </c>
      <c r="G18" s="41">
        <v>-1.5480907513243798E-4</v>
      </c>
      <c r="I18" s="3">
        <v>1</v>
      </c>
      <c r="K18" s="3">
        <v>-1.5480907513243798E-4</v>
      </c>
      <c r="O18" s="3">
        <v>16</v>
      </c>
      <c r="Q18" s="21">
        <f t="shared" ref="Q18:U18" si="17">P41</f>
        <v>0.29622515090755663</v>
      </c>
      <c r="R18" s="21">
        <f t="shared" si="17"/>
        <v>9.9466142390399997E-2</v>
      </c>
      <c r="S18" s="21">
        <f t="shared" si="17"/>
        <v>0.42963836382981269</v>
      </c>
      <c r="T18" s="21">
        <f t="shared" si="17"/>
        <v>-1.3552564347297569E-2</v>
      </c>
      <c r="U18" s="21">
        <f t="shared" si="17"/>
        <v>0.18822290721952839</v>
      </c>
      <c r="V18" s="21" cm="1">
        <f t="array" ref="V18">MMULT(MMULT(Q18:U18, $B$4:$F$8), TRANSPOSE(Q18:U18))</f>
        <v>2.5935031710166859E-4</v>
      </c>
      <c r="W18" s="21">
        <f t="shared" si="0"/>
        <v>1.6104357084393919E-2</v>
      </c>
      <c r="X18" s="21" cm="1">
        <f t="array" ref="X18">SUMPRODUCT($K$3:$K$7, TRANSPOSE(Q18:U18))</f>
        <v>5.6898411432253714E-4</v>
      </c>
      <c r="Y18" s="22">
        <f t="shared" si="2"/>
        <v>5.6898411432253692E-4</v>
      </c>
    </row>
    <row r="19" spans="2:25" x14ac:dyDescent="0.25">
      <c r="O19" s="3">
        <v>17</v>
      </c>
      <c r="Q19" s="21">
        <f t="shared" ref="Q19:U19" si="18">P42</f>
        <v>0.30486716730257069</v>
      </c>
      <c r="R19" s="21">
        <f t="shared" si="18"/>
        <v>0.10317151627341392</v>
      </c>
      <c r="S19" s="21">
        <f t="shared" si="18"/>
        <v>0.45047295456763647</v>
      </c>
      <c r="T19" s="21">
        <f t="shared" si="18"/>
        <v>-4.8288410052856445E-2</v>
      </c>
      <c r="U19" s="21">
        <f t="shared" si="18"/>
        <v>0.18977677190923514</v>
      </c>
      <c r="V19" s="21" cm="1">
        <f t="array" ref="V19">MMULT(MMULT(Q19:U19, $B$4:$F$8), TRANSPOSE(Q19:U19))</f>
        <v>2.7375377710631805E-4</v>
      </c>
      <c r="W19" s="21">
        <f t="shared" si="0"/>
        <v>1.6545506251134115E-2</v>
      </c>
      <c r="X19" s="21" cm="1">
        <f t="array" ref="X19">SUMPRODUCT($K$3:$K$7, TRANSPOSE(Q19:U19))</f>
        <v>5.7776356629737934E-4</v>
      </c>
      <c r="Y19" s="22">
        <f t="shared" si="2"/>
        <v>5.7776356629737912E-4</v>
      </c>
    </row>
    <row r="20" spans="2:25" x14ac:dyDescent="0.25">
      <c r="O20" s="3">
        <v>18</v>
      </c>
      <c r="Q20" s="21">
        <f t="shared" ref="Q20:U20" si="19">P43</f>
        <v>0.31350918369758485</v>
      </c>
      <c r="R20" s="21">
        <f t="shared" si="19"/>
        <v>0.10687689015642787</v>
      </c>
      <c r="S20" s="21">
        <f t="shared" si="19"/>
        <v>0.47130754530546026</v>
      </c>
      <c r="T20" s="21">
        <f t="shared" si="19"/>
        <v>-8.3024255758414878E-2</v>
      </c>
      <c r="U20" s="21">
        <f t="shared" si="19"/>
        <v>0.19133063659894189</v>
      </c>
      <c r="V20" s="21" cm="1">
        <f t="array" ref="V20">MMULT(MMULT(Q20:U20, $B$4:$F$8), TRANSPOSE(Q20:U20))</f>
        <v>2.890864925951387E-4</v>
      </c>
      <c r="W20" s="21">
        <f t="shared" si="0"/>
        <v>1.7002543709549425E-2</v>
      </c>
      <c r="X20" s="21" cm="1">
        <f t="array" ref="X20">SUMPRODUCT($K$3:$K$7, TRANSPOSE(Q20:U20))</f>
        <v>5.8654301827222154E-4</v>
      </c>
      <c r="Y20" s="22">
        <f t="shared" si="2"/>
        <v>5.8654301827222133E-4</v>
      </c>
    </row>
    <row r="21" spans="2:25" x14ac:dyDescent="0.25">
      <c r="B21" s="42"/>
      <c r="C21" s="42"/>
      <c r="D21" s="42"/>
      <c r="E21" s="42"/>
      <c r="F21" s="42"/>
      <c r="G21" s="42"/>
      <c r="H21" s="42"/>
      <c r="O21" s="3">
        <v>19</v>
      </c>
      <c r="P21" s="3"/>
      <c r="Q21" s="21">
        <f t="shared" ref="Q21:U21" si="20">P44</f>
        <v>0.3221512000925989</v>
      </c>
      <c r="R21" s="21">
        <f t="shared" si="20"/>
        <v>0.11058226403944182</v>
      </c>
      <c r="S21" s="21">
        <f t="shared" si="20"/>
        <v>0.49214213604328383</v>
      </c>
      <c r="T21" s="21">
        <f t="shared" si="20"/>
        <v>-0.11776010146397331</v>
      </c>
      <c r="U21" s="21">
        <f t="shared" si="20"/>
        <v>0.19288450128864867</v>
      </c>
      <c r="V21" s="21" cm="1">
        <f t="array" ref="V21">MMULT(MMULT(Q21:U21, $B$4:$F$8), TRANSPOSE(Q21:U21))</f>
        <v>3.0534846356812995E-4</v>
      </c>
      <c r="W21" s="21">
        <f t="shared" si="0"/>
        <v>1.7474222831591966E-2</v>
      </c>
      <c r="X21" s="21" cm="1">
        <f t="array" ref="X21">SUMPRODUCT($K$3:$K$7, TRANSPOSE(Q21:U21))</f>
        <v>5.9532247024706374E-4</v>
      </c>
      <c r="Y21" s="22">
        <f t="shared" si="2"/>
        <v>5.9532247024706353E-4</v>
      </c>
    </row>
    <row r="22" spans="2:25" x14ac:dyDescent="0.25">
      <c r="B22" s="67" t="s">
        <v>34</v>
      </c>
      <c r="C22" s="65"/>
      <c r="D22" s="65"/>
      <c r="E22" s="65"/>
      <c r="F22" s="65"/>
      <c r="G22" s="65"/>
      <c r="H22" s="65"/>
      <c r="O22" s="3">
        <v>20</v>
      </c>
      <c r="P22" s="20" t="s">
        <v>35</v>
      </c>
      <c r="Q22" s="21">
        <f t="array" ref="Q22:U22">TRANSPOSE(L32:L36)</f>
        <v>0.33079321648761073</v>
      </c>
      <c r="R22" s="21">
        <v>0.11428763792245587</v>
      </c>
      <c r="S22" s="21">
        <v>0.51297672678110695</v>
      </c>
      <c r="T22" s="21">
        <v>-0.15249594716952861</v>
      </c>
      <c r="U22" s="21">
        <v>0.19443836597835495</v>
      </c>
      <c r="V22" s="21" cm="1">
        <f t="array" ref="V22">MMULT(MMULT(TRANSPOSE(L32:L36),B4:F8),L32:L36)</f>
        <v>3.2253969002529103E-4</v>
      </c>
      <c r="W22" s="21">
        <f>SQRT(V22)</f>
        <v>1.7959390023753342E-2</v>
      </c>
      <c r="X22" s="21" cm="1">
        <f t="array" ref="X22">SUMPRODUCT($K$3:$K$7, TRANSPOSE(Q22:U22))</f>
        <v>6.041019222219053E-4</v>
      </c>
      <c r="Y22" s="22">
        <f t="shared" si="2"/>
        <v>6.0410192222190573E-4</v>
      </c>
    </row>
    <row r="23" spans="2:25" x14ac:dyDescent="0.25">
      <c r="B23" s="25">
        <f>_xlfn.VAR.S(BIMBO!C:C)</f>
        <v>4.6028741970920167E-4</v>
      </c>
      <c r="C23" s="26">
        <f>B24</f>
        <v>1.8784824566055579E-4</v>
      </c>
      <c r="D23" s="27">
        <f>B25</f>
        <v>1.1613404812106514E-4</v>
      </c>
      <c r="E23" s="28">
        <f>B26</f>
        <v>8.2977446436808923E-5</v>
      </c>
      <c r="F23" s="29">
        <f>B27</f>
        <v>8.5937237805356801E-5</v>
      </c>
      <c r="G23" s="19">
        <v>1</v>
      </c>
      <c r="H23" s="43">
        <f t="array" ref="H23:H27">TRANSPOSE(B29:F29)</f>
        <v>5.1938849544619294E-4</v>
      </c>
      <c r="J23" s="44" t="s">
        <v>36</v>
      </c>
      <c r="K23" s="45">
        <f>0.102</f>
        <v>0.10199999999999999</v>
      </c>
    </row>
    <row r="24" spans="2:25" x14ac:dyDescent="0.25">
      <c r="B24" s="26">
        <f>COVAR(BIMBO!C:C,GrupoCarso!C:C)</f>
        <v>1.8784824566055579E-4</v>
      </c>
      <c r="C24" s="25">
        <f>_xlfn.VAR.S(GrupoCarso!C:C)</f>
        <v>6.1694380570537699E-4</v>
      </c>
      <c r="D24" s="31">
        <f>C25</f>
        <v>1.5556552587629217E-4</v>
      </c>
      <c r="E24" s="32">
        <f>C26</f>
        <v>1.1115052286694473E-4</v>
      </c>
      <c r="F24" s="33">
        <f>C27</f>
        <v>1.3226583866717077E-4</v>
      </c>
      <c r="G24" s="19">
        <v>1</v>
      </c>
      <c r="H24" s="43">
        <v>5.0333562542119209E-4</v>
      </c>
      <c r="J24" s="19" t="s">
        <v>37</v>
      </c>
      <c r="K24" s="43">
        <f>K23/360</f>
        <v>2.833333333333333E-4</v>
      </c>
    </row>
    <row r="25" spans="2:25" x14ac:dyDescent="0.25">
      <c r="B25" s="27">
        <f>COVAR(GrupoMexico!C:C,BIMBO!C:C)</f>
        <v>1.1613404812106514E-4</v>
      </c>
      <c r="C25" s="31">
        <f>COVAR(GrupoMexico!C:C,GrupoCarso!C:C)</f>
        <v>1.5556552587629217E-4</v>
      </c>
      <c r="D25" s="25">
        <f>_xlfn.VAR.S(GrupoMexico!C:C)</f>
        <v>5.8922951502286727E-4</v>
      </c>
      <c r="E25" s="35">
        <f>D26</f>
        <v>7.4863852898006958E-5</v>
      </c>
      <c r="F25" s="36">
        <f>D27</f>
        <v>1.3117125323090347E-4</v>
      </c>
      <c r="G25" s="19">
        <v>1</v>
      </c>
      <c r="H25" s="46">
        <v>6.5383253785100475E-4</v>
      </c>
      <c r="J25" s="19" t="s">
        <v>38</v>
      </c>
      <c r="K25" s="45">
        <v>8.8999999999999996E-2</v>
      </c>
    </row>
    <row r="26" spans="2:25" x14ac:dyDescent="0.25">
      <c r="B26" s="28">
        <f>COVAR(FEMSA!C:C,BIMBO!C:C)</f>
        <v>8.2977446436808923E-5</v>
      </c>
      <c r="C26" s="32">
        <f>COVAR(FEMSA!C:C,GrupoCarso!C:C)</f>
        <v>1.1115052286694473E-4</v>
      </c>
      <c r="D26" s="35">
        <f>COVAR(FEMSA!C:C,GrupoMexico!C:C)</f>
        <v>7.4863852898006958E-5</v>
      </c>
      <c r="E26" s="25">
        <f>_xlfn.VAR.S(FEMSA!C:C)</f>
        <v>2.2409003598098797E-4</v>
      </c>
      <c r="F26" s="37">
        <f>E27</f>
        <v>8.2570925443771722E-5</v>
      </c>
      <c r="G26" s="19">
        <v>1</v>
      </c>
      <c r="H26" s="46">
        <v>3.4343852163724262E-4</v>
      </c>
      <c r="J26" s="19" t="s">
        <v>39</v>
      </c>
      <c r="K26" s="47">
        <f>(1+K25)^(1/365)-1</f>
        <v>2.3361589750847678E-4</v>
      </c>
      <c r="P26" s="48" t="s">
        <v>24</v>
      </c>
      <c r="Q26" s="48" t="s">
        <v>25</v>
      </c>
      <c r="R26" s="48" t="s">
        <v>26</v>
      </c>
      <c r="S26" s="48" t="s">
        <v>27</v>
      </c>
      <c r="T26" s="48" t="s">
        <v>28</v>
      </c>
      <c r="U26" s="49"/>
      <c r="V26" s="49"/>
      <c r="W26" s="49"/>
    </row>
    <row r="27" spans="2:25" x14ac:dyDescent="0.25">
      <c r="B27" s="29">
        <f>COVAR(ASUR!C:C,BIMBO!C:C)</f>
        <v>8.5937237805356801E-5</v>
      </c>
      <c r="C27" s="33">
        <f>COVAR(ASUR!C:C,GrupoCarso!C:C)</f>
        <v>1.3226583866717077E-4</v>
      </c>
      <c r="D27" s="36">
        <f>COVAR(ASUR!C:C,GrupoMexico!C:C)</f>
        <v>1.3117125323090347E-4</v>
      </c>
      <c r="E27" s="37">
        <f>COVAR(ASUR!C:C,FEMSA!C:C)</f>
        <v>8.2570925443771722E-5</v>
      </c>
      <c r="F27" s="25">
        <f>_xlfn.VAR.S(ASUR!C:C)</f>
        <v>4.6946374652155474E-4</v>
      </c>
      <c r="G27" s="19">
        <v>1</v>
      </c>
      <c r="H27" s="46">
        <v>4.7181428703727164E-4</v>
      </c>
      <c r="J27" s="50" t="s">
        <v>40</v>
      </c>
      <c r="P27" s="49">
        <f t="array" ref="P27:V27">TRANSPOSE(MMULT($B$41:$H$47,B51:B57))</f>
        <v>0.17523692137735919</v>
      </c>
      <c r="Q27" s="49">
        <v>4.759090802820487E-2</v>
      </c>
      <c r="R27" s="49">
        <v>0.13795409350028054</v>
      </c>
      <c r="S27" s="49">
        <v>0.4727492755305216</v>
      </c>
      <c r="T27" s="49">
        <v>0.16646880156363369</v>
      </c>
      <c r="U27" s="49">
        <v>-1.3166661126509053E-4</v>
      </c>
      <c r="V27" s="49">
        <v>-5.2922180497925186E-2</v>
      </c>
      <c r="W27" s="49">
        <f t="shared" ref="W27:W44" si="21">SUM(P27:T27)</f>
        <v>1</v>
      </c>
    </row>
    <row r="28" spans="2:25" x14ac:dyDescent="0.25">
      <c r="B28" s="19">
        <v>1</v>
      </c>
      <c r="C28" s="19">
        <v>1</v>
      </c>
      <c r="D28" s="19">
        <v>1</v>
      </c>
      <c r="E28" s="19">
        <v>1</v>
      </c>
      <c r="F28" s="19">
        <v>1</v>
      </c>
      <c r="G28" s="19">
        <v>0</v>
      </c>
      <c r="H28" s="19">
        <v>0</v>
      </c>
      <c r="P28" s="49">
        <f t="array" ref="P28:V28">TRANSPOSE(MMULT($B$41:$H$47,C51:C57))</f>
        <v>0.1838789377723733</v>
      </c>
      <c r="Q28" s="49">
        <v>5.1296281911218794E-2</v>
      </c>
      <c r="R28" s="49">
        <v>0.15878868423810433</v>
      </c>
      <c r="S28" s="49">
        <v>0.43801342982496316</v>
      </c>
      <c r="T28" s="49">
        <v>0.16802266625334047</v>
      </c>
      <c r="U28" s="49">
        <v>-1.0852414739774292E-4</v>
      </c>
      <c r="V28" s="49">
        <v>-0.10584436099585082</v>
      </c>
      <c r="W28" s="49">
        <f t="shared" si="21"/>
        <v>1</v>
      </c>
    </row>
    <row r="29" spans="2:25" x14ac:dyDescent="0.25">
      <c r="B29" s="43">
        <f t="array" ref="B29:F29">TRANSPOSE(K3:K7)</f>
        <v>5.1938849544619294E-4</v>
      </c>
      <c r="C29" s="43">
        <v>5.0333562542119209E-4</v>
      </c>
      <c r="D29" s="46">
        <v>6.5383253785100475E-4</v>
      </c>
      <c r="E29" s="46">
        <v>3.4343852163724262E-4</v>
      </c>
      <c r="F29" s="46">
        <v>4.7181428703727164E-4</v>
      </c>
      <c r="G29" s="19">
        <v>0</v>
      </c>
      <c r="H29" s="19">
        <v>0</v>
      </c>
      <c r="P29" s="49">
        <f t="array" ref="P29:V29">TRANSPOSE(MMULT($B$41:$H$47,D51:D57))</f>
        <v>0.1925209541673874</v>
      </c>
      <c r="Q29" s="49">
        <v>5.5001655794232746E-2</v>
      </c>
      <c r="R29" s="49">
        <v>0.17962327497592789</v>
      </c>
      <c r="S29" s="49">
        <v>0.40327758411940451</v>
      </c>
      <c r="T29" s="49">
        <v>0.16957653094304725</v>
      </c>
      <c r="U29" s="49">
        <v>-8.5381683530395304E-5</v>
      </c>
      <c r="V29" s="49">
        <v>-0.15876654149377645</v>
      </c>
      <c r="W29" s="49">
        <f t="shared" si="21"/>
        <v>0.99999999999999978</v>
      </c>
    </row>
    <row r="30" spans="2:25" x14ac:dyDescent="0.25">
      <c r="P30" s="51">
        <f t="array" ref="P30:V30">TRANSPOSE(MMULT($B$41:$H$47,E51:E57))</f>
        <v>0.20116297056240151</v>
      </c>
      <c r="Q30" s="49">
        <v>5.8707029677246669E-2</v>
      </c>
      <c r="R30" s="49">
        <v>0.20045786571375168</v>
      </c>
      <c r="S30" s="49">
        <v>0.36854173841384608</v>
      </c>
      <c r="T30" s="49">
        <v>0.17113039563275401</v>
      </c>
      <c r="U30" s="49">
        <v>-6.2239219663047692E-5</v>
      </c>
      <c r="V30" s="49">
        <v>-0.21168872199170208</v>
      </c>
      <c r="W30" s="49">
        <f t="shared" si="21"/>
        <v>0.99999999999999989</v>
      </c>
    </row>
    <row r="31" spans="2:25" x14ac:dyDescent="0.25">
      <c r="B31" s="68" t="s">
        <v>41</v>
      </c>
      <c r="C31" s="65"/>
      <c r="D31" s="65"/>
      <c r="E31" s="65"/>
      <c r="F31" s="65"/>
      <c r="H31" s="52" t="s">
        <v>42</v>
      </c>
      <c r="J31" s="3" t="s">
        <v>43</v>
      </c>
      <c r="L31" s="53" t="s">
        <v>44</v>
      </c>
      <c r="P31" s="51">
        <f t="array" ref="P31:V31">TRANSPOSE(MMULT($B$41:$H$47,F51:F57))</f>
        <v>0.20980498695741562</v>
      </c>
      <c r="Q31" s="49">
        <v>6.2412403560260621E-2</v>
      </c>
      <c r="R31" s="49">
        <v>0.22129245645157547</v>
      </c>
      <c r="S31" s="49">
        <v>0.33380589270828742</v>
      </c>
      <c r="T31" s="49">
        <v>0.17268426032246076</v>
      </c>
      <c r="U31" s="49">
        <v>-3.9096755795700079E-5</v>
      </c>
      <c r="V31" s="49">
        <v>-0.26461090248962771</v>
      </c>
      <c r="W31" s="49">
        <f t="shared" si="21"/>
        <v>0.99999999999999989</v>
      </c>
    </row>
    <row r="32" spans="2:25" x14ac:dyDescent="0.25">
      <c r="B32" s="54">
        <f t="array" ref="B32:F36">MINVERSE(B23:F27)</f>
        <v>2604.8678533985731</v>
      </c>
      <c r="C32" s="54">
        <v>-603.097229824902</v>
      </c>
      <c r="D32" s="54">
        <v>-255.3742494358923</v>
      </c>
      <c r="E32" s="54">
        <v>-527.47653420127904</v>
      </c>
      <c r="F32" s="54">
        <v>-142.78845138694075</v>
      </c>
      <c r="H32" s="5">
        <f t="shared" ref="H32:H36" si="22">K3-$K$24</f>
        <v>2.3605516211285964E-4</v>
      </c>
      <c r="J32" s="3">
        <f t="array" ref="J32:J36">MMULT(B32:F36,H32:H36)</f>
        <v>0.32897679432358434</v>
      </c>
      <c r="L32" s="3">
        <f t="shared" ref="L32:L36" si="23">J32/$J$37</f>
        <v>0.33079321648761073</v>
      </c>
      <c r="P32" s="51">
        <f t="array" ref="P32:V32">TRANSPOSE(MMULT($B$41:$H$47,G51:G57))</f>
        <v>0.21844700335242967</v>
      </c>
      <c r="Q32" s="49">
        <v>6.6117777443274545E-2</v>
      </c>
      <c r="R32" s="49">
        <v>0.24212704718939904</v>
      </c>
      <c r="S32" s="49">
        <v>0.29907004700272921</v>
      </c>
      <c r="T32" s="49">
        <v>0.17423812501216751</v>
      </c>
      <c r="U32" s="49">
        <v>-1.5954291928352684E-5</v>
      </c>
      <c r="V32" s="49">
        <v>-0.31753308298755289</v>
      </c>
      <c r="W32" s="49">
        <f t="shared" si="21"/>
        <v>1</v>
      </c>
    </row>
    <row r="33" spans="2:33" x14ac:dyDescent="0.25">
      <c r="B33" s="54">
        <v>-603.097229824902</v>
      </c>
      <c r="C33" s="54">
        <v>2042.8344281252696</v>
      </c>
      <c r="D33" s="54">
        <v>-282.49349536869221</v>
      </c>
      <c r="E33" s="54">
        <v>-591.60034797008302</v>
      </c>
      <c r="F33" s="54">
        <v>-282.16169145028033</v>
      </c>
      <c r="H33" s="5">
        <f t="shared" si="22"/>
        <v>2.2000229208785879E-4</v>
      </c>
      <c r="J33" s="3">
        <v>0.11366007185323346</v>
      </c>
      <c r="L33" s="3">
        <f t="shared" si="23"/>
        <v>0.11428763792245587</v>
      </c>
      <c r="P33" s="49">
        <f t="array" ref="P33:V33">TRANSPOSE(MMULT($B$41:$H$47,H51:H57))</f>
        <v>0.22708901974744378</v>
      </c>
      <c r="Q33" s="49">
        <v>6.9823151326288468E-2</v>
      </c>
      <c r="R33" s="49">
        <v>0.26296163792722282</v>
      </c>
      <c r="S33" s="49">
        <v>0.26433420129717056</v>
      </c>
      <c r="T33" s="49">
        <v>0.17579198970187426</v>
      </c>
      <c r="U33" s="49">
        <v>7.1881719389949288E-6</v>
      </c>
      <c r="V33" s="49">
        <v>-0.37045526348547853</v>
      </c>
      <c r="W33" s="49">
        <f t="shared" si="21"/>
        <v>0.99999999999999989</v>
      </c>
    </row>
    <row r="34" spans="2:33" x14ac:dyDescent="0.25">
      <c r="B34" s="54">
        <v>-255.37424943589227</v>
      </c>
      <c r="C34" s="54">
        <v>-282.49349536869221</v>
      </c>
      <c r="D34" s="54">
        <v>1938.9655488587916</v>
      </c>
      <c r="E34" s="54">
        <v>-278.03471192359689</v>
      </c>
      <c r="F34" s="54">
        <v>-366.52150913709113</v>
      </c>
      <c r="H34" s="11">
        <f t="shared" si="22"/>
        <v>3.7049920451767145E-4</v>
      </c>
      <c r="J34" s="3">
        <v>0.51015991479793321</v>
      </c>
      <c r="L34" s="3">
        <f t="shared" si="23"/>
        <v>0.51297672678110695</v>
      </c>
      <c r="P34" s="49">
        <f t="array" ref="P34:V34">TRANSPOSE(MMULT($B$41:$H$47,I51:I57))</f>
        <v>0.23573103614245788</v>
      </c>
      <c r="Q34" s="49">
        <v>7.352852520930242E-2</v>
      </c>
      <c r="R34" s="49">
        <v>0.28379622866504661</v>
      </c>
      <c r="S34" s="49">
        <v>0.2295983555916119</v>
      </c>
      <c r="T34" s="49">
        <v>0.17734585439158104</v>
      </c>
      <c r="U34" s="49">
        <v>3.0330635806342541E-5</v>
      </c>
      <c r="V34" s="49">
        <v>-0.42337744398340416</v>
      </c>
      <c r="W34" s="49">
        <f t="shared" si="21"/>
        <v>0.99999999999999989</v>
      </c>
      <c r="AB34" s="3" t="s">
        <v>45</v>
      </c>
    </row>
    <row r="35" spans="2:33" x14ac:dyDescent="0.25">
      <c r="B35" s="54">
        <v>-527.4765342012787</v>
      </c>
      <c r="C35" s="54">
        <v>-591.60034797008313</v>
      </c>
      <c r="D35" s="54">
        <v>-278.03471192359689</v>
      </c>
      <c r="E35" s="54">
        <v>5259.3647143551771</v>
      </c>
      <c r="F35" s="54">
        <v>-584.11764401677681</v>
      </c>
      <c r="H35" s="11">
        <f t="shared" si="22"/>
        <v>6.0105188303909325E-5</v>
      </c>
      <c r="J35" s="3">
        <v>-0.15165857504532332</v>
      </c>
      <c r="L35" s="3">
        <f t="shared" si="23"/>
        <v>-0.15249594716952861</v>
      </c>
      <c r="P35" s="49">
        <f t="array" ref="P35:V35">TRANSPOSE(MMULT($B$41:$H$47,J51:J57))</f>
        <v>0.24437305253747199</v>
      </c>
      <c r="Q35" s="49">
        <v>7.7233899092316344E-2</v>
      </c>
      <c r="R35" s="49">
        <v>0.30463081940287018</v>
      </c>
      <c r="S35" s="49">
        <v>0.19486250988605347</v>
      </c>
      <c r="T35" s="49">
        <v>0.17889971908128782</v>
      </c>
      <c r="U35" s="49">
        <v>5.3473099673690154E-5</v>
      </c>
      <c r="V35" s="49">
        <v>-0.47629962448132979</v>
      </c>
      <c r="W35" s="49">
        <f t="shared" si="21"/>
        <v>0.99999999999999978</v>
      </c>
    </row>
    <row r="36" spans="2:33" x14ac:dyDescent="0.25">
      <c r="B36" s="54">
        <v>-142.78845138694081</v>
      </c>
      <c r="C36" s="54">
        <v>-282.16169145028033</v>
      </c>
      <c r="D36" s="54">
        <v>-366.52150913709113</v>
      </c>
      <c r="E36" s="54">
        <v>-584.11764401677681</v>
      </c>
      <c r="F36" s="54">
        <v>2440.8688135700377</v>
      </c>
      <c r="H36" s="11">
        <f t="shared" si="22"/>
        <v>1.8848095370393834E-4</v>
      </c>
      <c r="J36" s="3">
        <v>0.19337068339027086</v>
      </c>
      <c r="L36" s="3">
        <f t="shared" si="23"/>
        <v>0.19443836597835495</v>
      </c>
      <c r="P36" s="49">
        <f t="array" ref="P36:V36">TRANSPOSE(MMULT($B$41:$H$47,K51:K57))</f>
        <v>0.25301506893248604</v>
      </c>
      <c r="Q36" s="49">
        <v>8.0939272975330295E-2</v>
      </c>
      <c r="R36" s="49">
        <v>0.32546541014069397</v>
      </c>
      <c r="S36" s="49">
        <v>0.16012666418049504</v>
      </c>
      <c r="T36" s="49">
        <v>0.18045358377099457</v>
      </c>
      <c r="U36" s="49">
        <v>7.6615563541037766E-5</v>
      </c>
      <c r="V36" s="49">
        <v>-0.52922180497925542</v>
      </c>
      <c r="W36" s="49">
        <f t="shared" si="21"/>
        <v>1</v>
      </c>
    </row>
    <row r="37" spans="2:33" x14ac:dyDescent="0.25">
      <c r="J37" s="55">
        <f>SUM(J32:J36)</f>
        <v>0.99450888931969861</v>
      </c>
      <c r="P37" s="51">
        <f t="array" ref="P37:V37">TRANSPOSE(MMULT($B$41:$H$47,L51:L57))</f>
        <v>0.26165708532750021</v>
      </c>
      <c r="Q37" s="49">
        <v>8.4644646858344219E-2</v>
      </c>
      <c r="R37" s="49">
        <v>0.34630000087851776</v>
      </c>
      <c r="S37" s="49">
        <v>0.12539081847493661</v>
      </c>
      <c r="T37" s="49">
        <v>0.18200744846070133</v>
      </c>
      <c r="U37" s="49">
        <v>9.9758027408385378E-5</v>
      </c>
      <c r="V37" s="49">
        <v>-0.58214398547718105</v>
      </c>
      <c r="W37" s="49">
        <f t="shared" si="21"/>
        <v>1</v>
      </c>
    </row>
    <row r="38" spans="2:33" x14ac:dyDescent="0.25">
      <c r="P38" s="51">
        <f t="array" ref="P38:V38">TRANSPOSE(MMULT($B$41:$H$47,M51:M57))</f>
        <v>0.27029910172251426</v>
      </c>
      <c r="Q38" s="49">
        <v>8.8350020741358171E-2</v>
      </c>
      <c r="R38" s="49">
        <v>0.36713459161634154</v>
      </c>
      <c r="S38" s="49">
        <v>9.0654972769377729E-2</v>
      </c>
      <c r="T38" s="49">
        <v>0.18356131315040808</v>
      </c>
      <c r="U38" s="49">
        <v>1.2290049127573299E-4</v>
      </c>
      <c r="V38" s="49">
        <v>-0.63506616597510623</v>
      </c>
      <c r="W38" s="49">
        <f t="shared" si="21"/>
        <v>0.99999999999999978</v>
      </c>
    </row>
    <row r="39" spans="2:33" x14ac:dyDescent="0.25">
      <c r="P39" s="51">
        <f t="array" ref="P39:V39">TRANSPOSE(MMULT($B$41:$H$47,N51:N57))</f>
        <v>0.27894111811752842</v>
      </c>
      <c r="Q39" s="49">
        <v>9.2055394624372122E-2</v>
      </c>
      <c r="R39" s="49">
        <v>0.38796918235416511</v>
      </c>
      <c r="S39" s="49">
        <v>5.5919127063819296E-2</v>
      </c>
      <c r="T39" s="49">
        <v>0.18511517784011486</v>
      </c>
      <c r="U39" s="49">
        <v>1.460429551430806E-4</v>
      </c>
      <c r="V39" s="49">
        <v>-0.68798834647303186</v>
      </c>
      <c r="W39" s="49">
        <f t="shared" si="21"/>
        <v>0.99999999999999989</v>
      </c>
    </row>
    <row r="40" spans="2:33" x14ac:dyDescent="0.25">
      <c r="B40" s="69" t="s">
        <v>46</v>
      </c>
      <c r="C40" s="65"/>
      <c r="D40" s="65"/>
      <c r="E40" s="65"/>
      <c r="F40" s="65"/>
      <c r="G40" s="65"/>
      <c r="H40" s="65"/>
      <c r="J40" s="14" t="s">
        <v>47</v>
      </c>
      <c r="L40" s="14" t="s">
        <v>48</v>
      </c>
      <c r="P40" s="51">
        <f t="array" ref="P40:V40">TRANSPOSE(MMULT($B$41:$H$47,O51:O57))</f>
        <v>0.28758313451254247</v>
      </c>
      <c r="Q40" s="49">
        <v>9.5760768507386046E-2</v>
      </c>
      <c r="R40" s="49">
        <v>0.4088037730919889</v>
      </c>
      <c r="S40" s="49">
        <v>2.1183281358260864E-2</v>
      </c>
      <c r="T40" s="49">
        <v>0.18666904252982161</v>
      </c>
      <c r="U40" s="49">
        <v>1.6918541901042822E-4</v>
      </c>
      <c r="V40" s="49">
        <v>-0.74091052697095749</v>
      </c>
      <c r="W40" s="49">
        <f t="shared" si="21"/>
        <v>0.99999999999999989</v>
      </c>
      <c r="AF40" s="3"/>
      <c r="AG40" s="3"/>
    </row>
    <row r="41" spans="2:33" x14ac:dyDescent="0.25">
      <c r="B41" s="25">
        <f t="array" ref="B41:H47">MINVERSE(B23:H29)</f>
        <v>2264.8494507243595</v>
      </c>
      <c r="C41" s="26">
        <v>-719.24330947800559</v>
      </c>
      <c r="D41" s="27">
        <v>-768.93093739315725</v>
      </c>
      <c r="E41" s="28">
        <v>-427.51492857459527</v>
      </c>
      <c r="F41" s="29">
        <v>-349.1602752786041</v>
      </c>
      <c r="G41" s="19">
        <v>-0.26385195396963279</v>
      </c>
      <c r="H41" s="46">
        <v>984.34576779713313</v>
      </c>
      <c r="J41" s="3">
        <v>0</v>
      </c>
      <c r="L41" s="3">
        <f t="array" ref="L41:L47">MMULT(B41:H47,J41:J47)</f>
        <v>-0.32904036575467233</v>
      </c>
      <c r="P41" s="51">
        <f t="array" ref="P41:V41">TRANSPOSE(MMULT($B$41:$H$47,P51:P57))</f>
        <v>0.29622515090755663</v>
      </c>
      <c r="Q41" s="49">
        <v>9.9466142390399997E-2</v>
      </c>
      <c r="R41" s="49">
        <v>0.42963836382981269</v>
      </c>
      <c r="S41" s="49">
        <v>-1.3552564347297569E-2</v>
      </c>
      <c r="T41" s="49">
        <v>0.18822290721952839</v>
      </c>
      <c r="U41" s="49">
        <v>1.9232788287777583E-4</v>
      </c>
      <c r="V41" s="49">
        <v>-0.79383270746888313</v>
      </c>
      <c r="W41" s="49">
        <f t="shared" si="21"/>
        <v>1</v>
      </c>
    </row>
    <row r="42" spans="2:33" x14ac:dyDescent="0.25">
      <c r="B42" s="26">
        <v>-719.24330947800615</v>
      </c>
      <c r="C42" s="25">
        <v>2000.8435852543566</v>
      </c>
      <c r="D42" s="31">
        <v>-481.84913690032556</v>
      </c>
      <c r="E42" s="32">
        <v>-458.4471241050972</v>
      </c>
      <c r="F42" s="33">
        <v>-341.30401477092835</v>
      </c>
      <c r="G42" s="19">
        <v>-0.14067400338429564</v>
      </c>
      <c r="H42" s="46">
        <v>422.05070357828777</v>
      </c>
      <c r="J42" s="3">
        <v>0</v>
      </c>
      <c r="L42" s="3">
        <v>-0.16862435981301072</v>
      </c>
      <c r="P42" s="51">
        <f t="array" ref="P42:V42">TRANSPOSE(MMULT($B$41:$H$47,Q51:Q57))</f>
        <v>0.30486716730257069</v>
      </c>
      <c r="Q42" s="49">
        <v>0.10317151627341392</v>
      </c>
      <c r="R42" s="49">
        <v>0.45047295456763647</v>
      </c>
      <c r="S42" s="49">
        <v>-4.8288410052856445E-2</v>
      </c>
      <c r="T42" s="49">
        <v>0.18977677190923514</v>
      </c>
      <c r="U42" s="49">
        <v>2.1547034674512344E-4</v>
      </c>
      <c r="V42" s="49">
        <v>-0.84675488796680876</v>
      </c>
      <c r="W42" s="49">
        <f t="shared" si="21"/>
        <v>0.99999999999999978</v>
      </c>
    </row>
    <row r="43" spans="2:33" x14ac:dyDescent="0.25">
      <c r="B43" s="27">
        <v>-768.93093739315702</v>
      </c>
      <c r="C43" s="31">
        <v>-481.84913690032539</v>
      </c>
      <c r="D43" s="25">
        <v>916.10610917530857</v>
      </c>
      <c r="E43" s="35">
        <v>895.63805778870494</v>
      </c>
      <c r="F43" s="36">
        <v>-560.96409267052923</v>
      </c>
      <c r="G43" s="19">
        <v>-0.92062258550993681</v>
      </c>
      <c r="H43" s="46">
        <v>2373.1083440658845</v>
      </c>
      <c r="J43" s="3">
        <v>0</v>
      </c>
      <c r="L43" s="3">
        <v>-1.0777819587753712</v>
      </c>
      <c r="P43" s="51">
        <f t="array" ref="P43:V43">TRANSPOSE(MMULT($B$41:$H$47,R51:R57))</f>
        <v>0.31350918369758485</v>
      </c>
      <c r="Q43" s="49">
        <v>0.10687689015642787</v>
      </c>
      <c r="R43" s="49">
        <v>0.47130754530546026</v>
      </c>
      <c r="S43" s="49">
        <v>-8.3024255758414878E-2</v>
      </c>
      <c r="T43" s="49">
        <v>0.19133063659894189</v>
      </c>
      <c r="U43" s="49">
        <v>2.3861281061247105E-4</v>
      </c>
      <c r="V43" s="49">
        <v>-0.89967706846473439</v>
      </c>
      <c r="W43" s="49">
        <f t="shared" si="21"/>
        <v>1</v>
      </c>
    </row>
    <row r="44" spans="2:33" x14ac:dyDescent="0.25">
      <c r="B44" s="28">
        <v>-427.51492857459192</v>
      </c>
      <c r="C44" s="32">
        <v>-458.44712410509749</v>
      </c>
      <c r="D44" s="35">
        <v>895.6380577887038</v>
      </c>
      <c r="E44" s="25">
        <v>998.88729778038885</v>
      </c>
      <c r="F44" s="37">
        <v>-1008.5633028894016</v>
      </c>
      <c r="G44" s="19">
        <v>2.2376294525549314</v>
      </c>
      <c r="H44" s="46">
        <v>-3956.4936177218365</v>
      </c>
      <c r="J44" s="3">
        <v>0</v>
      </c>
      <c r="L44" s="3">
        <v>2.4996486978391625</v>
      </c>
      <c r="P44" s="51">
        <f t="array" ref="P44:V44">TRANSPOSE(MMULT($B$41:$H$47,S51:S57))</f>
        <v>0.3221512000925989</v>
      </c>
      <c r="Q44" s="49">
        <v>0.11058226403944182</v>
      </c>
      <c r="R44" s="49">
        <v>0.49214213604328383</v>
      </c>
      <c r="S44" s="49">
        <v>-0.11776010146397331</v>
      </c>
      <c r="T44" s="49">
        <v>0.19288450128864867</v>
      </c>
      <c r="U44" s="49">
        <v>2.6175527447981867E-4</v>
      </c>
      <c r="V44" s="49">
        <v>-0.95259924896266002</v>
      </c>
      <c r="W44" s="49">
        <f t="shared" si="21"/>
        <v>0.99999999999999989</v>
      </c>
    </row>
    <row r="45" spans="2:33" x14ac:dyDescent="0.25">
      <c r="B45" s="29">
        <v>-349.1602752786041</v>
      </c>
      <c r="C45" s="33">
        <v>-341.30401477092829</v>
      </c>
      <c r="D45" s="36">
        <v>-560.96409267052957</v>
      </c>
      <c r="E45" s="37">
        <v>-1008.5633028894014</v>
      </c>
      <c r="F45" s="25">
        <v>2259.9916856094633</v>
      </c>
      <c r="G45" s="19">
        <v>8.75190903089339E-2</v>
      </c>
      <c r="H45" s="46">
        <v>176.9888022805309</v>
      </c>
      <c r="J45" s="3">
        <v>0</v>
      </c>
      <c r="L45" s="3">
        <v>7.5797986503891662E-2</v>
      </c>
    </row>
    <row r="46" spans="2:33" x14ac:dyDescent="0.25">
      <c r="B46" s="19">
        <v>-0.26385195396963385</v>
      </c>
      <c r="C46" s="19">
        <v>-0.14067400338429537</v>
      </c>
      <c r="D46" s="19">
        <v>-0.92062258550993603</v>
      </c>
      <c r="E46" s="19">
        <v>2.2376294525549318</v>
      </c>
      <c r="F46" s="19">
        <v>8.7519090308934205E-2</v>
      </c>
      <c r="G46" s="19">
        <v>-1.3075031253145962E-3</v>
      </c>
      <c r="H46" s="19">
        <v>2.6359804613844999</v>
      </c>
      <c r="J46" s="3">
        <v>1</v>
      </c>
      <c r="L46" s="3">
        <v>-1.4820712348099024E-3</v>
      </c>
    </row>
    <row r="47" spans="2:33" x14ac:dyDescent="0.25">
      <c r="B47" s="46">
        <v>984.34576779713177</v>
      </c>
      <c r="C47" s="46">
        <v>422.05070357828788</v>
      </c>
      <c r="D47" s="46">
        <v>2373.108344065884</v>
      </c>
      <c r="E47" s="46">
        <v>-3956.4936177218351</v>
      </c>
      <c r="F47" s="46">
        <v>176.98880228052977</v>
      </c>
      <c r="G47" s="19">
        <v>2.6359804613845004</v>
      </c>
      <c r="H47" s="19">
        <v>-6027.9594500403646</v>
      </c>
      <c r="J47" s="56">
        <v>-6.6225115114706745E-5</v>
      </c>
      <c r="L47" s="3">
        <v>3.0351827698702079</v>
      </c>
    </row>
    <row r="48" spans="2:33" x14ac:dyDescent="0.25">
      <c r="L48" s="3">
        <f>SUM(L41:L45)</f>
        <v>1</v>
      </c>
    </row>
    <row r="50" spans="2:19" x14ac:dyDescent="0.25">
      <c r="B50" s="41" t="s">
        <v>47</v>
      </c>
      <c r="C50" s="41" t="s">
        <v>47</v>
      </c>
      <c r="D50" s="41" t="s">
        <v>47</v>
      </c>
      <c r="E50" s="41" t="s">
        <v>47</v>
      </c>
      <c r="F50" s="41" t="s">
        <v>47</v>
      </c>
      <c r="G50" s="41" t="s">
        <v>47</v>
      </c>
      <c r="H50" s="41" t="s">
        <v>47</v>
      </c>
      <c r="I50" s="41" t="s">
        <v>47</v>
      </c>
      <c r="J50" s="41" t="s">
        <v>47</v>
      </c>
      <c r="K50" s="41" t="s">
        <v>47</v>
      </c>
      <c r="L50" s="41" t="s">
        <v>47</v>
      </c>
      <c r="M50" s="41" t="s">
        <v>47</v>
      </c>
      <c r="N50" s="41" t="s">
        <v>47</v>
      </c>
      <c r="O50" s="41" t="s">
        <v>47</v>
      </c>
      <c r="P50" s="41" t="s">
        <v>47</v>
      </c>
      <c r="Q50" s="41" t="s">
        <v>47</v>
      </c>
      <c r="R50" s="41" t="s">
        <v>47</v>
      </c>
      <c r="S50" s="41" t="s">
        <v>47</v>
      </c>
    </row>
    <row r="51" spans="2:19" x14ac:dyDescent="0.25"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2:19" x14ac:dyDescent="0.25"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2:19" x14ac:dyDescent="0.25"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2:19" x14ac:dyDescent="0.25"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</row>
    <row r="55" spans="2:19" x14ac:dyDescent="0.25"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</row>
    <row r="56" spans="2:19" x14ac:dyDescent="0.25">
      <c r="B56" s="3">
        <v>1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</row>
    <row r="57" spans="2:19" x14ac:dyDescent="0.25">
      <c r="B57" s="56">
        <f t="array" ref="B57:S57">TRANSPOSE(Y4:Y21)</f>
        <v>4.4607178667474616E-4</v>
      </c>
      <c r="C57" s="56">
        <v>4.5485123864958836E-4</v>
      </c>
      <c r="D57" s="56">
        <v>4.6363069062443056E-4</v>
      </c>
      <c r="E57" s="56">
        <v>4.7241014259927276E-4</v>
      </c>
      <c r="F57" s="56">
        <v>4.8118959457411496E-4</v>
      </c>
      <c r="G57" s="56">
        <v>4.8996904654895711E-4</v>
      </c>
      <c r="H57" s="56">
        <v>4.9874849852379931E-4</v>
      </c>
      <c r="I57" s="56">
        <v>5.0752795049864151E-4</v>
      </c>
      <c r="J57" s="56">
        <v>5.1630740247348371E-4</v>
      </c>
      <c r="K57" s="56">
        <v>5.2508685444832592E-4</v>
      </c>
      <c r="L57" s="56">
        <v>5.3386630642316812E-4</v>
      </c>
      <c r="M57" s="56">
        <v>5.4264575839801032E-4</v>
      </c>
      <c r="N57" s="56">
        <v>5.5142521037285252E-4</v>
      </c>
      <c r="O57" s="56">
        <v>5.6020466234769472E-4</v>
      </c>
      <c r="P57" s="56">
        <v>5.6898411432253692E-4</v>
      </c>
      <c r="Q57" s="56">
        <v>5.7776356629737912E-4</v>
      </c>
      <c r="R57" s="56">
        <v>5.8654301827222133E-4</v>
      </c>
      <c r="S57" s="56">
        <v>5.9532247024706353E-4</v>
      </c>
    </row>
  </sheetData>
  <mergeCells count="5">
    <mergeCell ref="B2:F2"/>
    <mergeCell ref="B12:G12"/>
    <mergeCell ref="B22:H22"/>
    <mergeCell ref="B31:F31"/>
    <mergeCell ref="B40:H40"/>
  </mergeCells>
  <hyperlinks>
    <hyperlink ref="J27" r:id="rId1" location="simulator" xr:uid="{00000000-0004-0000-0500-000000000000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4:Q22"/>
  <sheetViews>
    <sheetView topLeftCell="I1" workbookViewId="0"/>
  </sheetViews>
  <sheetFormatPr baseColWidth="10" defaultColWidth="12.6640625" defaultRowHeight="15.75" customHeight="1" x14ac:dyDescent="0.25"/>
  <cols>
    <col min="2" max="2" width="13.6640625" bestFit="1" customWidth="1"/>
    <col min="4" max="4" width="13.6640625" bestFit="1" customWidth="1"/>
    <col min="5" max="5" width="32.33203125" bestFit="1" customWidth="1"/>
    <col min="17" max="17" width="14.44140625" bestFit="1" customWidth="1"/>
  </cols>
  <sheetData>
    <row r="4" spans="1:17" x14ac:dyDescent="0.25">
      <c r="E4" s="3" t="s">
        <v>49</v>
      </c>
      <c r="I4" s="13"/>
      <c r="J4" s="13"/>
      <c r="K4" s="13"/>
      <c r="L4" s="13" t="s">
        <v>50</v>
      </c>
      <c r="M4" s="13"/>
      <c r="N4" s="13"/>
      <c r="O4" s="13"/>
    </row>
    <row r="5" spans="1:17" x14ac:dyDescent="0.25">
      <c r="B5" s="3" t="s">
        <v>51</v>
      </c>
      <c r="C5" s="3" t="s">
        <v>52</v>
      </c>
      <c r="D5" s="3" t="s">
        <v>53</v>
      </c>
      <c r="E5" s="3" t="s">
        <v>54</v>
      </c>
      <c r="F5" s="3" t="s">
        <v>24</v>
      </c>
      <c r="G5" s="3" t="s">
        <v>25</v>
      </c>
      <c r="H5" s="3" t="s">
        <v>26</v>
      </c>
      <c r="I5" s="13" t="s">
        <v>27</v>
      </c>
      <c r="J5" s="13" t="s">
        <v>28</v>
      </c>
      <c r="K5" s="13" t="s">
        <v>24</v>
      </c>
      <c r="L5" s="13" t="s">
        <v>25</v>
      </c>
      <c r="M5" s="13" t="s">
        <v>26</v>
      </c>
      <c r="N5" s="13" t="s">
        <v>27</v>
      </c>
      <c r="O5" s="13" t="s">
        <v>28</v>
      </c>
      <c r="P5" s="3" t="s">
        <v>55</v>
      </c>
      <c r="Q5" s="57" t="s">
        <v>56</v>
      </c>
    </row>
    <row r="6" spans="1:17" x14ac:dyDescent="0.25">
      <c r="A6" s="3" t="s">
        <v>57</v>
      </c>
      <c r="B6" s="58">
        <v>50000000</v>
      </c>
      <c r="C6" s="3">
        <v>0.6</v>
      </c>
      <c r="D6" s="58">
        <f t="shared" ref="D6:D9" si="0">C6*B6</f>
        <v>30000000</v>
      </c>
      <c r="E6" s="58">
        <f t="shared" ref="E6:E9" si="1">B6-D6</f>
        <v>20000000</v>
      </c>
      <c r="F6" s="58">
        <f>Calculos!Q3*E6</f>
        <v>3331898.09964687</v>
      </c>
      <c r="G6" s="58">
        <f>Calculos!R3*E6</f>
        <v>877710.68290382321</v>
      </c>
      <c r="H6" s="59">
        <f>Calculos!S3*E6</f>
        <v>2342390.0552491457</v>
      </c>
      <c r="I6" s="59">
        <f>Calculos!T3*E6</f>
        <v>10149702.424721627</v>
      </c>
      <c r="J6" s="60">
        <f>Calculos!U3*E6</f>
        <v>3298298.7374785338</v>
      </c>
      <c r="K6" s="60">
        <f>Calculos!$Q$22*D6</f>
        <v>9923796.4946283214</v>
      </c>
      <c r="L6" s="60">
        <f>Calculos!$R$22*D6</f>
        <v>3428629.137673676</v>
      </c>
      <c r="M6" s="60">
        <f>Calculos!$S$22*D6</f>
        <v>15389301.803433208</v>
      </c>
      <c r="N6" s="60">
        <f>Calculos!$T$22*D6</f>
        <v>-4574878.4150858577</v>
      </c>
      <c r="O6" s="60">
        <f>Calculos!$U$22*D6</f>
        <v>5833150.9793506488</v>
      </c>
      <c r="P6" s="3">
        <f>C6*Calculos!X3+(1-C6)*Calculos!K24</f>
        <v>3.757087341532757E-4</v>
      </c>
      <c r="Q6" s="61">
        <f>P6-Calculos!K24</f>
        <v>9.2375400819942404E-5</v>
      </c>
    </row>
    <row r="7" spans="1:17" x14ac:dyDescent="0.25">
      <c r="A7" s="3" t="s">
        <v>58</v>
      </c>
      <c r="B7" s="58">
        <v>500000</v>
      </c>
      <c r="C7" s="3">
        <v>0.5</v>
      </c>
      <c r="D7" s="58">
        <f t="shared" si="0"/>
        <v>250000</v>
      </c>
      <c r="E7" s="58">
        <f t="shared" si="1"/>
        <v>250000</v>
      </c>
      <c r="F7" s="58">
        <f>Calculos!Q4*E7</f>
        <v>43809.230344339798</v>
      </c>
      <c r="G7" s="58">
        <f>Calculos!R4*E7</f>
        <v>11897.727007051217</v>
      </c>
      <c r="H7" s="59">
        <f>Calculos!S4*E7</f>
        <v>34488.523375070137</v>
      </c>
      <c r="I7" s="59">
        <f>Calculos!T4*E7</f>
        <v>118187.3188826304</v>
      </c>
      <c r="J7" s="60">
        <f>Calculos!U4*E7</f>
        <v>41617.200390908423</v>
      </c>
      <c r="K7" s="60">
        <f>Calculos!$Q$22*D7</f>
        <v>82698.304121902678</v>
      </c>
      <c r="L7" s="60">
        <f>Calculos!$R$22*D7</f>
        <v>28571.909480613969</v>
      </c>
      <c r="M7" s="60">
        <f>Calculos!$S$22*D7</f>
        <v>128244.18169527674</v>
      </c>
      <c r="N7" s="60">
        <f>Calculos!$T$22*D7</f>
        <v>-38123.986792382151</v>
      </c>
      <c r="O7" s="60">
        <f>Calculos!$U$22*D7</f>
        <v>48609.591494588742</v>
      </c>
      <c r="P7" s="3">
        <f>C7*Calculos!X4+(1-C7)*Calculos!K25</f>
        <v>4.4723035893337371E-2</v>
      </c>
      <c r="Q7" s="62">
        <f>P7-Calculos!K25</f>
        <v>-4.4276964106662625E-2</v>
      </c>
    </row>
    <row r="8" spans="1:17" x14ac:dyDescent="0.25">
      <c r="A8" s="3" t="s">
        <v>59</v>
      </c>
      <c r="B8" s="58">
        <v>700000</v>
      </c>
      <c r="C8" s="3">
        <v>0.75</v>
      </c>
      <c r="D8" s="58">
        <f t="shared" si="0"/>
        <v>525000</v>
      </c>
      <c r="E8" s="58">
        <f t="shared" si="1"/>
        <v>175000</v>
      </c>
      <c r="F8" s="58">
        <f>Calculos!Q5*E8</f>
        <v>32178.814110165327</v>
      </c>
      <c r="G8" s="58">
        <f>Calculos!R5*E8</f>
        <v>8976.8493344632898</v>
      </c>
      <c r="H8" s="59">
        <f>Calculos!S5*E8</f>
        <v>27788.019741668257</v>
      </c>
      <c r="I8" s="59">
        <f>Calculos!T5*E8</f>
        <v>76652.350219368556</v>
      </c>
      <c r="J8" s="60">
        <f>Calculos!U5*E8</f>
        <v>29403.966594334583</v>
      </c>
      <c r="K8" s="60">
        <f>Calculos!$Q$22*D8</f>
        <v>173666.43865599565</v>
      </c>
      <c r="L8" s="60">
        <f>Calculos!$R$22*D8</f>
        <v>60001.009909289336</v>
      </c>
      <c r="M8" s="60">
        <f>Calculos!$S$22*D8</f>
        <v>269312.78156008117</v>
      </c>
      <c r="N8" s="60">
        <f>Calculos!$T$22*D8</f>
        <v>-80060.372264002523</v>
      </c>
      <c r="O8" s="60">
        <f>Calculos!$U$22*D8</f>
        <v>102080.14213863635</v>
      </c>
      <c r="P8" s="3">
        <f>C8*Calculos!X5+(1-C8)*Calculos!K26</f>
        <v>3.9954240336431061E-4</v>
      </c>
      <c r="Q8" s="63">
        <f>P8-Calculos!K26</f>
        <v>1.6592650585583383E-4</v>
      </c>
    </row>
    <row r="9" spans="1:17" x14ac:dyDescent="0.25">
      <c r="A9" s="3" t="s">
        <v>60</v>
      </c>
      <c r="B9" s="58">
        <v>100000</v>
      </c>
      <c r="C9" s="3">
        <v>1.5</v>
      </c>
      <c r="D9" s="58">
        <f t="shared" si="0"/>
        <v>150000</v>
      </c>
      <c r="E9" s="58">
        <f t="shared" si="1"/>
        <v>-50000</v>
      </c>
      <c r="F9" s="58">
        <f>Calculos!Q6*E9</f>
        <v>-9626.0477083693695</v>
      </c>
      <c r="G9" s="58">
        <f>Calculos!R6*E9</f>
        <v>-2750.0827897116374</v>
      </c>
      <c r="H9" s="59">
        <f>Calculos!S6*E9</f>
        <v>-8981.1637487963944</v>
      </c>
      <c r="I9" s="59">
        <f>Calculos!T6*E9</f>
        <v>-20163.879205970225</v>
      </c>
      <c r="J9" s="60">
        <f>Calculos!U6*E9</f>
        <v>-8478.8265471523628</v>
      </c>
      <c r="K9" s="60">
        <f>Calculos!$Q$22*D9</f>
        <v>49618.982473141608</v>
      </c>
      <c r="L9" s="60">
        <f>Calculos!$R$22*D9</f>
        <v>17143.145688368382</v>
      </c>
      <c r="M9" s="60">
        <f>Calculos!$S$22*D9</f>
        <v>76946.509017166041</v>
      </c>
      <c r="N9" s="60">
        <f>Calculos!$T$22*D9</f>
        <v>-22874.392075429292</v>
      </c>
      <c r="O9" s="60">
        <f>Calculos!$U$22*D9</f>
        <v>29165.754896753242</v>
      </c>
      <c r="P9" s="3">
        <f>C9*Calculos!X6+(1-C9)*Calculos!K27</f>
        <v>6.9544603593664597E-4</v>
      </c>
      <c r="Q9" s="57">
        <f>P9-Calculos!K27</f>
        <v>6.9544603593664597E-4</v>
      </c>
    </row>
    <row r="12" spans="1:17" x14ac:dyDescent="0.25">
      <c r="E12" s="3" t="s">
        <v>49</v>
      </c>
      <c r="I12" s="13"/>
      <c r="J12" s="13"/>
      <c r="K12" s="13"/>
      <c r="L12" s="13" t="s">
        <v>50</v>
      </c>
      <c r="M12" s="13"/>
      <c r="N12" s="13"/>
      <c r="O12" s="13"/>
    </row>
    <row r="13" spans="1:17" x14ac:dyDescent="0.25">
      <c r="B13" s="3" t="s">
        <v>51</v>
      </c>
      <c r="C13" s="3" t="s">
        <v>52</v>
      </c>
      <c r="D13" s="3" t="s">
        <v>53</v>
      </c>
      <c r="E13" s="3" t="s">
        <v>54</v>
      </c>
      <c r="F13" s="3" t="s">
        <v>24</v>
      </c>
      <c r="G13" s="3" t="s">
        <v>25</v>
      </c>
      <c r="H13" s="3" t="s">
        <v>26</v>
      </c>
      <c r="I13" s="13" t="s">
        <v>27</v>
      </c>
      <c r="J13" s="13" t="s">
        <v>28</v>
      </c>
      <c r="K13" s="13" t="s">
        <v>61</v>
      </c>
      <c r="L13" s="13" t="s">
        <v>25</v>
      </c>
      <c r="M13" s="13" t="s">
        <v>26</v>
      </c>
      <c r="N13" s="13" t="s">
        <v>27</v>
      </c>
      <c r="O13" s="13" t="s">
        <v>28</v>
      </c>
      <c r="P13" s="3" t="s">
        <v>55</v>
      </c>
      <c r="Q13" s="3" t="s">
        <v>56</v>
      </c>
    </row>
    <row r="14" spans="1:17" x14ac:dyDescent="0.25">
      <c r="A14" s="3" t="s">
        <v>57</v>
      </c>
      <c r="B14" s="58">
        <v>50000000</v>
      </c>
      <c r="C14" s="3">
        <v>0.4</v>
      </c>
      <c r="D14" s="58">
        <f t="shared" ref="D14:D17" si="2">C14*B14</f>
        <v>20000000</v>
      </c>
      <c r="E14" s="58">
        <f t="shared" ref="E14:E17" si="3">B14-D14</f>
        <v>30000000</v>
      </c>
      <c r="F14" s="58">
        <f>Calculos!Q11*E14</f>
        <v>7071931.0842737369</v>
      </c>
      <c r="G14" s="58">
        <f>Calculos!R11*E14</f>
        <v>2205855.7562790727</v>
      </c>
      <c r="H14" s="59">
        <f>Calculos!S11*E14</f>
        <v>8513886.8599513993</v>
      </c>
      <c r="I14" s="59">
        <f>Calculos!T11*E14</f>
        <v>6887950.6677483572</v>
      </c>
      <c r="J14" s="60">
        <f>Calculos!U11*E14</f>
        <v>5320375.6317474311</v>
      </c>
      <c r="K14" s="60">
        <f>Calculos!$Q$22*D14</f>
        <v>6615864.3297522143</v>
      </c>
      <c r="L14" s="60">
        <f>Calculos!$R$22*D14</f>
        <v>2285752.7584491177</v>
      </c>
      <c r="M14" s="60">
        <f>Calculos!$S$22*D14</f>
        <v>10259534.535622139</v>
      </c>
      <c r="N14" s="60">
        <f>Calculos!$T$22*D14</f>
        <v>-3049918.943390572</v>
      </c>
      <c r="O14" s="60">
        <f>Calculos!$U$22*D14</f>
        <v>3888767.3195670992</v>
      </c>
      <c r="P14" s="3">
        <f>C14*Calculos!X11+(1-C14)*Calculos!K32</f>
        <v>2.0301118019945666E-4</v>
      </c>
      <c r="Q14" s="3">
        <f>P14-Calculos!K32</f>
        <v>2.0301118019945666E-4</v>
      </c>
    </row>
    <row r="15" spans="1:17" x14ac:dyDescent="0.25">
      <c r="A15" s="3" t="s">
        <v>58</v>
      </c>
      <c r="B15" s="58">
        <v>500000</v>
      </c>
      <c r="C15" s="3">
        <v>0.6</v>
      </c>
      <c r="D15" s="58">
        <f t="shared" si="2"/>
        <v>300000</v>
      </c>
      <c r="E15" s="58">
        <f t="shared" si="3"/>
        <v>200000</v>
      </c>
      <c r="F15" s="58">
        <f>Calculos!Q12*E15</f>
        <v>48874.610507494399</v>
      </c>
      <c r="G15" s="58">
        <f>Calculos!R12*E15</f>
        <v>15446.779818463268</v>
      </c>
      <c r="H15" s="59">
        <f>Calculos!S12*E15</f>
        <v>60926.163880574037</v>
      </c>
      <c r="I15" s="59">
        <f>Calculos!T12*E15</f>
        <v>38972.501977210697</v>
      </c>
      <c r="J15" s="60">
        <f>Calculos!U12*E15</f>
        <v>35779.943816257568</v>
      </c>
      <c r="K15" s="60">
        <f>Calculos!$Q$22*D15</f>
        <v>99237.964946283217</v>
      </c>
      <c r="L15" s="60">
        <f>Calculos!$R$22*D15</f>
        <v>34286.291376736765</v>
      </c>
      <c r="M15" s="60">
        <f>Calculos!$S$22*D15</f>
        <v>153893.01803433208</v>
      </c>
      <c r="N15" s="60">
        <f>Calculos!$T$22*D15</f>
        <v>-45748.784150858584</v>
      </c>
      <c r="O15" s="60">
        <f>Calculos!$U$22*D15</f>
        <v>58331.509793506484</v>
      </c>
      <c r="P15" s="3">
        <f>C15*Calculos!X12+(1-C15)*Calculos!K33</f>
        <v>3.0978444148409024E-4</v>
      </c>
      <c r="Q15" s="3">
        <f>P15-Calculos!K33</f>
        <v>3.0978444148409024E-4</v>
      </c>
    </row>
    <row r="16" spans="1:17" x14ac:dyDescent="0.25">
      <c r="A16" s="3" t="s">
        <v>59</v>
      </c>
      <c r="B16" s="58">
        <v>700000</v>
      </c>
      <c r="C16" s="3">
        <v>1.2</v>
      </c>
      <c r="D16" s="58">
        <f t="shared" si="2"/>
        <v>840000</v>
      </c>
      <c r="E16" s="58">
        <f t="shared" si="3"/>
        <v>-140000</v>
      </c>
      <c r="F16" s="58">
        <f>Calculos!Q13*E16</f>
        <v>-35422.109650548045</v>
      </c>
      <c r="G16" s="58">
        <f>Calculos!R13*E16</f>
        <v>-11331.498216546241</v>
      </c>
      <c r="H16" s="59">
        <f>Calculos!S13*E16</f>
        <v>-45565.157419697156</v>
      </c>
      <c r="I16" s="59">
        <f>Calculos!T13*E16</f>
        <v>-22417.732985269304</v>
      </c>
      <c r="J16" s="60">
        <f>Calculos!U13*E16</f>
        <v>-25263.501727939241</v>
      </c>
      <c r="K16" s="60">
        <f>Calculos!$Q$22*D16</f>
        <v>277866.301849593</v>
      </c>
      <c r="L16" s="60">
        <f>Calculos!$R$22*D16</f>
        <v>96001.615854862932</v>
      </c>
      <c r="M16" s="60">
        <f>Calculos!$S$22*D16</f>
        <v>430900.45049612987</v>
      </c>
      <c r="N16" s="60">
        <f>Calculos!$T$22*D16</f>
        <v>-128096.59562240403</v>
      </c>
      <c r="O16" s="60">
        <f>Calculos!$U$22*D16</f>
        <v>163328.22742181816</v>
      </c>
      <c r="P16" s="3">
        <f>C16*Calculos!X13+(1-C16)*Calculos!K34</f>
        <v>6.3010422533799136E-4</v>
      </c>
      <c r="Q16" s="3">
        <f>P16-Calculos!K34</f>
        <v>6.3010422533799136E-4</v>
      </c>
    </row>
    <row r="17" spans="1:17" x14ac:dyDescent="0.25">
      <c r="A17" s="3" t="s">
        <v>60</v>
      </c>
      <c r="B17" s="58">
        <v>100000</v>
      </c>
      <c r="C17" s="3">
        <v>0.9</v>
      </c>
      <c r="D17" s="58">
        <f t="shared" si="2"/>
        <v>90000</v>
      </c>
      <c r="E17" s="58">
        <f t="shared" si="3"/>
        <v>10000</v>
      </c>
      <c r="F17" s="58">
        <f>Calculos!Q14*E17</f>
        <v>2616.5708532750023</v>
      </c>
      <c r="G17" s="58">
        <f>Calculos!R14*E17</f>
        <v>846.4464685834422</v>
      </c>
      <c r="H17" s="59">
        <f>Calculos!S14*E17</f>
        <v>3463.0000087851777</v>
      </c>
      <c r="I17" s="59">
        <f>Calculos!T14*E17</f>
        <v>1253.908184749366</v>
      </c>
      <c r="J17" s="60">
        <f>Calculos!U14*E17</f>
        <v>1820.0744846070133</v>
      </c>
      <c r="K17" s="60">
        <f>Calculos!$Q$22*D17</f>
        <v>29771.389483884966</v>
      </c>
      <c r="L17" s="60">
        <f>Calculos!$R$22*D17</f>
        <v>10285.887413021028</v>
      </c>
      <c r="M17" s="60">
        <f>Calculos!$S$22*D17</f>
        <v>46167.905410299623</v>
      </c>
      <c r="N17" s="60">
        <f>Calculos!$T$22*D17</f>
        <v>-13724.635245257574</v>
      </c>
      <c r="O17" s="60">
        <f>Calculos!$U$22*D17</f>
        <v>17499.452938051945</v>
      </c>
      <c r="P17" s="3">
        <f>C17*Calculos!X14+(1-C17)*Calculos!K35</f>
        <v>4.804796757808516E-4</v>
      </c>
      <c r="Q17" s="3">
        <f>P17-Calculos!K35</f>
        <v>4.804796757808516E-4</v>
      </c>
    </row>
    <row r="19" spans="1:17" x14ac:dyDescent="0.25">
      <c r="F19" s="58">
        <f t="shared" ref="F19:O19" si="4">F6-F14</f>
        <v>-3740032.9846268669</v>
      </c>
      <c r="G19" s="58">
        <f t="shared" si="4"/>
        <v>-1328145.0733752495</v>
      </c>
      <c r="H19" s="58">
        <f t="shared" si="4"/>
        <v>-6171496.804702254</v>
      </c>
      <c r="I19" s="58">
        <f t="shared" si="4"/>
        <v>3261751.7569732694</v>
      </c>
      <c r="J19" s="58">
        <f t="shared" si="4"/>
        <v>-2022076.8942688974</v>
      </c>
      <c r="K19" s="58">
        <f t="shared" si="4"/>
        <v>3307932.1648761071</v>
      </c>
      <c r="L19" s="58">
        <f t="shared" si="4"/>
        <v>1142876.3792245584</v>
      </c>
      <c r="M19" s="58">
        <f t="shared" si="4"/>
        <v>5129767.2678110693</v>
      </c>
      <c r="N19" s="58">
        <f t="shared" si="4"/>
        <v>-1524959.4716952858</v>
      </c>
      <c r="O19" s="58">
        <f t="shared" si="4"/>
        <v>1944383.6597835496</v>
      </c>
    </row>
    <row r="20" spans="1:17" x14ac:dyDescent="0.25">
      <c r="F20" s="58">
        <f t="shared" ref="F20:O20" si="5">F7-F15</f>
        <v>-5065.3801631546012</v>
      </c>
      <c r="G20" s="58">
        <f t="shared" si="5"/>
        <v>-3549.0528114120516</v>
      </c>
      <c r="H20" s="58">
        <f t="shared" si="5"/>
        <v>-26437.640505503899</v>
      </c>
      <c r="I20" s="58">
        <f t="shared" si="5"/>
        <v>79214.816905419691</v>
      </c>
      <c r="J20" s="58">
        <f t="shared" si="5"/>
        <v>5837.2565746508553</v>
      </c>
      <c r="K20" s="58">
        <f t="shared" si="5"/>
        <v>-16539.660824380539</v>
      </c>
      <c r="L20" s="58">
        <f t="shared" si="5"/>
        <v>-5714.3818961227953</v>
      </c>
      <c r="M20" s="58">
        <f t="shared" si="5"/>
        <v>-25648.836339055342</v>
      </c>
      <c r="N20" s="58">
        <f t="shared" si="5"/>
        <v>7624.7973584764331</v>
      </c>
      <c r="O20" s="58">
        <f t="shared" si="5"/>
        <v>-9721.9182989177425</v>
      </c>
    </row>
    <row r="21" spans="1:17" x14ac:dyDescent="0.25">
      <c r="F21" s="58">
        <f t="shared" ref="F21:O21" si="6">F8-F16</f>
        <v>67600.923760713369</v>
      </c>
      <c r="G21" s="58">
        <f t="shared" si="6"/>
        <v>20308.34755100953</v>
      </c>
      <c r="H21" s="58">
        <f t="shared" si="6"/>
        <v>73353.177161365413</v>
      </c>
      <c r="I21" s="58">
        <f t="shared" si="6"/>
        <v>99070.083204637864</v>
      </c>
      <c r="J21" s="58">
        <f t="shared" si="6"/>
        <v>54667.468322273824</v>
      </c>
      <c r="K21" s="58">
        <f t="shared" si="6"/>
        <v>-104199.86319359735</v>
      </c>
      <c r="L21" s="58">
        <f t="shared" si="6"/>
        <v>-36000.605945573596</v>
      </c>
      <c r="M21" s="58">
        <f t="shared" si="6"/>
        <v>-161587.66893604869</v>
      </c>
      <c r="N21" s="58">
        <f t="shared" si="6"/>
        <v>48036.223358401505</v>
      </c>
      <c r="O21" s="58">
        <f t="shared" si="6"/>
        <v>-61248.085283181805</v>
      </c>
    </row>
    <row r="22" spans="1:17" x14ac:dyDescent="0.25">
      <c r="F22" s="58">
        <f t="shared" ref="F22:O22" si="7">F9-F17</f>
        <v>-12242.618561644373</v>
      </c>
      <c r="G22" s="58">
        <f t="shared" si="7"/>
        <v>-3596.5292582950797</v>
      </c>
      <c r="H22" s="58">
        <f t="shared" si="7"/>
        <v>-12444.163757581573</v>
      </c>
      <c r="I22" s="58">
        <f t="shared" si="7"/>
        <v>-21417.78739071959</v>
      </c>
      <c r="J22" s="58">
        <f t="shared" si="7"/>
        <v>-10298.901031759377</v>
      </c>
      <c r="K22" s="58">
        <f t="shared" si="7"/>
        <v>19847.592989256642</v>
      </c>
      <c r="L22" s="58">
        <f t="shared" si="7"/>
        <v>6857.2582753473544</v>
      </c>
      <c r="M22" s="58">
        <f t="shared" si="7"/>
        <v>30778.603606866418</v>
      </c>
      <c r="N22" s="58">
        <f t="shared" si="7"/>
        <v>-9149.7568301717183</v>
      </c>
      <c r="O22" s="58">
        <f t="shared" si="7"/>
        <v>11666.301958701297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BIMBO</vt:lpstr>
      <vt:lpstr>GrupoCarso</vt:lpstr>
      <vt:lpstr>GrupoMexico</vt:lpstr>
      <vt:lpstr>FEMSA</vt:lpstr>
      <vt:lpstr>ASUR</vt:lpstr>
      <vt:lpstr>Calculos</vt:lpstr>
      <vt:lpstr>Hoja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Salmoran</cp:lastModifiedBy>
  <dcterms:modified xsi:type="dcterms:W3CDTF">2025-11-20T05:09:16Z</dcterms:modified>
</cp:coreProperties>
</file>