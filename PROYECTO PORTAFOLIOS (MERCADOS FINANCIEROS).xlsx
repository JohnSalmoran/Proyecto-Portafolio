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99BA1E99D3951D/Documentos/"/>
    </mc:Choice>
  </mc:AlternateContent>
  <xr:revisionPtr revIDLastSave="172" documentId="8_{C6557C07-9029-4696-841A-01472D0FC6D3}" xr6:coauthVersionLast="47" xr6:coauthVersionMax="47" xr10:uidLastSave="{7DCF0218-8F45-44C2-840E-214738534AD7}"/>
  <bookViews>
    <workbookView xWindow="0" yWindow="0" windowWidth="23040" windowHeight="13680" activeTab="6" xr2:uid="{00000000-000D-0000-FFFF-FFFF00000000}"/>
  </bookViews>
  <sheets>
    <sheet name="adj_close" sheetId="8" r:id="rId1"/>
    <sheet name="BIMBO" sheetId="1" r:id="rId2"/>
    <sheet name="GrupoCarso" sheetId="2" r:id="rId3"/>
    <sheet name="GrupoMexico" sheetId="3" r:id="rId4"/>
    <sheet name="FEMSA" sheetId="4" r:id="rId5"/>
    <sheet name="ASUR" sheetId="5" r:id="rId6"/>
    <sheet name="Calculos" sheetId="6" r:id="rId7"/>
    <sheet name="Hoja 7" sheetId="7" r:id="rId8"/>
  </sheets>
  <definedNames>
    <definedName name="DatosExternos_1" localSheetId="0" hidden="1">adj_close!$A$1:$F$1258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6" l="1"/>
  <c r="F2" i="3"/>
  <c r="F2" i="5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AC3" i="6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254" i="5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254" i="4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254" i="3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254" i="1"/>
  <c r="B4" i="6" l="1"/>
  <c r="K24" i="6"/>
  <c r="D17" i="7"/>
  <c r="E17" i="7"/>
  <c r="D16" i="7"/>
  <c r="E16" i="7"/>
  <c r="D15" i="7"/>
  <c r="E15" i="7"/>
  <c r="D14" i="7"/>
  <c r="E14" i="7"/>
  <c r="D9" i="7"/>
  <c r="E9" i="7"/>
  <c r="D8" i="7"/>
  <c r="E8" i="7"/>
  <c r="D7" i="7"/>
  <c r="E7" i="7"/>
  <c r="D6" i="7"/>
  <c r="E6" i="7"/>
  <c r="E27" i="6"/>
  <c r="F26" i="6" s="1"/>
  <c r="D27" i="6"/>
  <c r="F25" i="6" s="1"/>
  <c r="C27" i="6"/>
  <c r="F24" i="6" s="1"/>
  <c r="K26" i="6"/>
  <c r="D26" i="6"/>
  <c r="E25" i="6" s="1"/>
  <c r="C26" i="6"/>
  <c r="E24" i="6" s="1"/>
  <c r="C25" i="6"/>
  <c r="D24" i="6" s="1"/>
  <c r="C24" i="6"/>
  <c r="K23" i="6"/>
  <c r="E8" i="6"/>
  <c r="F7" i="6" s="1"/>
  <c r="D8" i="6"/>
  <c r="F6" i="6" s="1"/>
  <c r="C8" i="6"/>
  <c r="F5" i="6" s="1"/>
  <c r="D7" i="6"/>
  <c r="E6" i="6" s="1"/>
  <c r="C7" i="6"/>
  <c r="E5" i="6" s="1"/>
  <c r="C6" i="6"/>
  <c r="D5" i="6" s="1"/>
  <c r="F27" i="6"/>
  <c r="F8" i="6"/>
  <c r="F3" i="5"/>
  <c r="F1" i="5"/>
  <c r="K7" i="6" s="1"/>
  <c r="H36" i="6" s="1"/>
  <c r="F2" i="4"/>
  <c r="F3" i="4" s="1"/>
  <c r="E7" i="6"/>
  <c r="F1" i="3"/>
  <c r="K5" i="6" s="1"/>
  <c r="H34" i="6" s="1"/>
  <c r="D25" i="6"/>
  <c r="F3" i="3"/>
  <c r="C5" i="6"/>
  <c r="F1" i="1"/>
  <c r="K3" i="6" s="1"/>
  <c r="H32" i="6" s="1"/>
  <c r="F1" i="2"/>
  <c r="K4" i="6" s="1"/>
  <c r="H33" i="6" s="1"/>
  <c r="F2" i="2"/>
  <c r="F3" i="2" s="1"/>
  <c r="E26" i="6"/>
  <c r="F1" i="4"/>
  <c r="K6" i="6" s="1"/>
  <c r="H35" i="6" s="1"/>
  <c r="D6" i="6"/>
  <c r="B29" i="6" l="1" a="1"/>
  <c r="B7" i="6"/>
  <c r="E4" i="6" s="1"/>
  <c r="B26" i="6"/>
  <c r="E23" i="6" s="1"/>
  <c r="F2" i="1"/>
  <c r="F3" i="1" s="1"/>
  <c r="B6" i="6"/>
  <c r="D4" i="6" s="1"/>
  <c r="B25" i="6"/>
  <c r="D23" i="6" s="1"/>
  <c r="B5" i="6"/>
  <c r="C4" i="6" s="1"/>
  <c r="B24" i="6"/>
  <c r="C23" i="6" s="1"/>
  <c r="B23" i="6"/>
  <c r="B8" i="6"/>
  <c r="F4" i="6" s="1"/>
  <c r="B27" i="6"/>
  <c r="F23" i="6" s="1"/>
  <c r="B13" i="6" l="1" a="1"/>
  <c r="D16" i="6" s="1"/>
  <c r="F29" i="6"/>
  <c r="E29" i="6"/>
  <c r="D29" i="6"/>
  <c r="C29" i="6"/>
  <c r="B29" i="6"/>
  <c r="B32" i="6" a="1"/>
  <c r="D17" i="6" l="1"/>
  <c r="E14" i="6"/>
  <c r="E18" i="6"/>
  <c r="B18" i="6"/>
  <c r="F16" i="6"/>
  <c r="G14" i="6"/>
  <c r="F13" i="6"/>
  <c r="G18" i="6"/>
  <c r="F14" i="6"/>
  <c r="G15" i="6"/>
  <c r="F17" i="6"/>
  <c r="B16" i="6"/>
  <c r="B14" i="6"/>
  <c r="C13" i="6"/>
  <c r="F18" i="6"/>
  <c r="F15" i="6"/>
  <c r="C14" i="6"/>
  <c r="C17" i="6"/>
  <c r="B15" i="6"/>
  <c r="G13" i="6"/>
  <c r="G16" i="6"/>
  <c r="G17" i="6"/>
  <c r="C15" i="6"/>
  <c r="C18" i="6"/>
  <c r="E13" i="6"/>
  <c r="B13" i="6"/>
  <c r="D15" i="6"/>
  <c r="D14" i="6"/>
  <c r="E17" i="6"/>
  <c r="D18" i="6"/>
  <c r="C16" i="6"/>
  <c r="E16" i="6"/>
  <c r="E15" i="6"/>
  <c r="B17" i="6"/>
  <c r="D13" i="6"/>
  <c r="B35" i="6"/>
  <c r="F34" i="6"/>
  <c r="E34" i="6"/>
  <c r="C34" i="6"/>
  <c r="F33" i="6"/>
  <c r="E33" i="6"/>
  <c r="D33" i="6"/>
  <c r="D32" i="6"/>
  <c r="C32" i="6"/>
  <c r="F36" i="6"/>
  <c r="D36" i="6"/>
  <c r="F35" i="6"/>
  <c r="B36" i="6"/>
  <c r="C36" i="6"/>
  <c r="E36" i="6"/>
  <c r="F32" i="6"/>
  <c r="E32" i="6"/>
  <c r="B32" i="6"/>
  <c r="E35" i="6"/>
  <c r="D35" i="6"/>
  <c r="C35" i="6"/>
  <c r="B34" i="6"/>
  <c r="D34" i="6"/>
  <c r="B33" i="6"/>
  <c r="C33" i="6"/>
  <c r="H23" i="6" a="1"/>
  <c r="J32" i="6" l="1" a="1"/>
  <c r="J33" i="6" s="1"/>
  <c r="K13" i="6" a="1"/>
  <c r="H24" i="6"/>
  <c r="H25" i="6"/>
  <c r="H23" i="6"/>
  <c r="H26" i="6"/>
  <c r="H27" i="6"/>
  <c r="B41" i="6" l="1" a="1"/>
  <c r="B42" i="6" s="1"/>
  <c r="J35" i="6"/>
  <c r="J34" i="6"/>
  <c r="J32" i="6"/>
  <c r="J36" i="6"/>
  <c r="K16" i="6"/>
  <c r="K14" i="6"/>
  <c r="K17" i="6"/>
  <c r="K18" i="6"/>
  <c r="K13" i="6"/>
  <c r="K15" i="6"/>
  <c r="C44" i="6" l="1"/>
  <c r="D44" i="6"/>
  <c r="H46" i="6"/>
  <c r="H45" i="6"/>
  <c r="F47" i="6"/>
  <c r="G47" i="6"/>
  <c r="D45" i="6"/>
  <c r="B46" i="6"/>
  <c r="B44" i="6"/>
  <c r="B43" i="6"/>
  <c r="G45" i="6"/>
  <c r="H43" i="6"/>
  <c r="E42" i="6"/>
  <c r="B41" i="6"/>
  <c r="F45" i="6"/>
  <c r="F42" i="6"/>
  <c r="D42" i="6"/>
  <c r="E43" i="6"/>
  <c r="E47" i="6"/>
  <c r="E44" i="6"/>
  <c r="D47" i="6"/>
  <c r="F46" i="6"/>
  <c r="C47" i="6"/>
  <c r="H41" i="6"/>
  <c r="D46" i="6"/>
  <c r="G41" i="6"/>
  <c r="G42" i="6"/>
  <c r="B47" i="6"/>
  <c r="C46" i="6"/>
  <c r="C45" i="6"/>
  <c r="C41" i="6"/>
  <c r="G43" i="6"/>
  <c r="F44" i="6"/>
  <c r="H44" i="6"/>
  <c r="B45" i="6"/>
  <c r="F41" i="6"/>
  <c r="H47" i="6"/>
  <c r="D43" i="6"/>
  <c r="D41" i="6"/>
  <c r="E41" i="6"/>
  <c r="F43" i="6"/>
  <c r="C43" i="6"/>
  <c r="E45" i="6"/>
  <c r="H42" i="6"/>
  <c r="C42" i="6"/>
  <c r="G46" i="6"/>
  <c r="E46" i="6"/>
  <c r="G44" i="6"/>
  <c r="V3" i="6" a="1"/>
  <c r="V3" i="6" s="1"/>
  <c r="W3" i="6" s="1"/>
  <c r="X3" i="6"/>
  <c r="Q3" i="6" a="1"/>
  <c r="J37" i="6"/>
  <c r="L35" i="6" s="1"/>
  <c r="L41" i="6" l="1" a="1"/>
  <c r="L46" i="6" s="1"/>
  <c r="Q3" i="6"/>
  <c r="F6" i="7" s="1"/>
  <c r="U3" i="6"/>
  <c r="J6" i="7" s="1"/>
  <c r="S3" i="6"/>
  <c r="H6" i="7" s="1"/>
  <c r="T3" i="6"/>
  <c r="I6" i="7" s="1"/>
  <c r="R3" i="6"/>
  <c r="G6" i="7" s="1"/>
  <c r="Y3" i="6"/>
  <c r="P6" i="7"/>
  <c r="Q6" i="7" s="1"/>
  <c r="L32" i="6"/>
  <c r="L36" i="6"/>
  <c r="L33" i="6"/>
  <c r="L34" i="6"/>
  <c r="L41" i="6" l="1"/>
  <c r="L43" i="6"/>
  <c r="L44" i="6"/>
  <c r="L42" i="6"/>
  <c r="L47" i="6"/>
  <c r="L45" i="6"/>
  <c r="Q22" i="6" a="1"/>
  <c r="V22" i="6" a="1"/>
  <c r="V22" i="6" s="1"/>
  <c r="W22" i="6" s="1"/>
  <c r="AB4" i="6" s="1"/>
  <c r="L48" i="6" l="1"/>
  <c r="R22" i="6"/>
  <c r="Q22" i="6"/>
  <c r="U22" i="6"/>
  <c r="T22" i="6"/>
  <c r="S22" i="6"/>
  <c r="M16" i="7" l="1"/>
  <c r="M14" i="7"/>
  <c r="M6" i="7"/>
  <c r="M9" i="7"/>
  <c r="M15" i="7"/>
  <c r="M8" i="7"/>
  <c r="M7" i="7"/>
  <c r="M17" i="7"/>
  <c r="N15" i="7"/>
  <c r="N8" i="7"/>
  <c r="N6" i="7"/>
  <c r="N17" i="7"/>
  <c r="N7" i="7"/>
  <c r="N16" i="7"/>
  <c r="N14" i="7"/>
  <c r="N9" i="7"/>
  <c r="O9" i="7"/>
  <c r="O8" i="7"/>
  <c r="O14" i="7"/>
  <c r="O6" i="7"/>
  <c r="O19" i="7" s="1"/>
  <c r="O15" i="7"/>
  <c r="O17" i="7"/>
  <c r="O7" i="7"/>
  <c r="O16" i="7"/>
  <c r="K15" i="7"/>
  <c r="K9" i="7"/>
  <c r="K7" i="7"/>
  <c r="K14" i="7"/>
  <c r="K6" i="7"/>
  <c r="K8" i="7"/>
  <c r="K17" i="7"/>
  <c r="X22" i="6" a="1"/>
  <c r="X22" i="6" s="1"/>
  <c r="K16" i="7"/>
  <c r="L6" i="7"/>
  <c r="L7" i="7"/>
  <c r="L8" i="7"/>
  <c r="L17" i="7"/>
  <c r="L15" i="7"/>
  <c r="L9" i="7"/>
  <c r="L16" i="7"/>
  <c r="L14" i="7"/>
  <c r="L22" i="7" l="1"/>
  <c r="N22" i="7"/>
  <c r="AC4" i="6"/>
  <c r="Z3" i="6"/>
  <c r="Y4" i="6" s="1"/>
  <c r="M21" i="7"/>
  <c r="K20" i="7"/>
  <c r="N20" i="7"/>
  <c r="K19" i="7"/>
  <c r="M20" i="7"/>
  <c r="M19" i="7"/>
  <c r="O20" i="7"/>
  <c r="L21" i="7"/>
  <c r="O21" i="7"/>
  <c r="O22" i="7"/>
  <c r="N19" i="7"/>
  <c r="L20" i="7"/>
  <c r="L19" i="7"/>
  <c r="N21" i="7"/>
  <c r="K22" i="7"/>
  <c r="AC7" i="6"/>
  <c r="AC8" i="6" s="1"/>
  <c r="K21" i="7"/>
  <c r="M22" i="7"/>
  <c r="Y5" i="6" l="1"/>
  <c r="Y6" i="6" s="1"/>
  <c r="Y7" i="6" l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B57" i="6" l="1" a="1"/>
  <c r="Q57" i="6" s="1"/>
  <c r="P42" i="6" s="1" a="1"/>
  <c r="S42" i="6" s="1"/>
  <c r="T19" i="6" s="1"/>
  <c r="C57" i="6" l="1"/>
  <c r="P28" i="6" s="1" a="1"/>
  <c r="M57" i="6"/>
  <c r="P38" i="6" s="1" a="1"/>
  <c r="T38" i="6" s="1"/>
  <c r="U15" i="6" s="1"/>
  <c r="P57" i="6"/>
  <c r="P41" i="6" s="1" a="1"/>
  <c r="T41" i="6" s="1"/>
  <c r="U18" i="6" s="1"/>
  <c r="S57" i="6"/>
  <c r="P44" i="6" s="1" a="1"/>
  <c r="T44" i="6" s="1"/>
  <c r="U21" i="6" s="1"/>
  <c r="J57" i="6"/>
  <c r="P35" i="6" s="1" a="1"/>
  <c r="R35" i="6" s="1"/>
  <c r="S12" i="6" s="1"/>
  <c r="H15" i="7" s="1"/>
  <c r="P42" i="6"/>
  <c r="T42" i="6"/>
  <c r="U19" i="6" s="1"/>
  <c r="V42" i="6"/>
  <c r="N57" i="6"/>
  <c r="P39" i="6" s="1" a="1"/>
  <c r="U39" i="6" s="1"/>
  <c r="Q42" i="6"/>
  <c r="R19" i="6" s="1"/>
  <c r="E57" i="6"/>
  <c r="P30" i="6" s="1" a="1"/>
  <c r="Q30" i="6" s="1"/>
  <c r="R7" i="6" s="1"/>
  <c r="O57" i="6"/>
  <c r="P40" i="6" s="1" a="1"/>
  <c r="V40" i="6" s="1"/>
  <c r="L57" i="6"/>
  <c r="P37" i="6" s="1" a="1"/>
  <c r="V37" i="6" s="1"/>
  <c r="H57" i="6"/>
  <c r="P33" i="6" s="1" a="1"/>
  <c r="S33" i="6" s="1"/>
  <c r="T10" i="6" s="1"/>
  <c r="G57" i="6"/>
  <c r="P32" i="6" s="1" a="1"/>
  <c r="U32" i="6" s="1"/>
  <c r="D57" i="6"/>
  <c r="P29" i="6" s="1" a="1"/>
  <c r="Q29" i="6" s="1"/>
  <c r="R6" i="6" s="1"/>
  <c r="G9" i="7" s="1"/>
  <c r="F57" i="6"/>
  <c r="P31" i="6" s="1" a="1"/>
  <c r="P31" i="6" s="1"/>
  <c r="R57" i="6"/>
  <c r="P43" i="6" s="1" a="1"/>
  <c r="Q43" i="6" s="1"/>
  <c r="R20" i="6" s="1"/>
  <c r="B57" i="6"/>
  <c r="P27" i="6" s="1" a="1"/>
  <c r="T27" i="6" s="1"/>
  <c r="U4" i="6" s="1"/>
  <c r="J7" i="7" s="1"/>
  <c r="K57" i="6"/>
  <c r="P36" i="6" s="1" a="1"/>
  <c r="S36" i="6" s="1"/>
  <c r="T13" i="6" s="1"/>
  <c r="I16" i="7" s="1"/>
  <c r="I57" i="6"/>
  <c r="P34" i="6" s="1" a="1"/>
  <c r="S34" i="6" s="1"/>
  <c r="T11" i="6" s="1"/>
  <c r="I14" i="7" s="1"/>
  <c r="I19" i="7" s="1"/>
  <c r="U42" i="6"/>
  <c r="R42" i="6"/>
  <c r="S19" i="6" s="1"/>
  <c r="U44" i="6" l="1"/>
  <c r="P38" i="6"/>
  <c r="Q38" i="6"/>
  <c r="R15" i="6" s="1"/>
  <c r="U38" i="6"/>
  <c r="V38" i="6"/>
  <c r="S38" i="6"/>
  <c r="T15" i="6" s="1"/>
  <c r="R38" i="6"/>
  <c r="S15" i="6" s="1"/>
  <c r="V39" i="6"/>
  <c r="P41" i="6"/>
  <c r="Q18" i="6" s="1"/>
  <c r="S41" i="6"/>
  <c r="T18" i="6" s="1"/>
  <c r="V44" i="6"/>
  <c r="R41" i="6"/>
  <c r="S18" i="6" s="1"/>
  <c r="P35" i="6"/>
  <c r="Q12" i="6" s="1"/>
  <c r="F15" i="7" s="1"/>
  <c r="Q35" i="6"/>
  <c r="R12" i="6" s="1"/>
  <c r="G15" i="7" s="1"/>
  <c r="U30" i="6"/>
  <c r="Q33" i="6"/>
  <c r="R10" i="6" s="1"/>
  <c r="U35" i="6"/>
  <c r="Q44" i="6"/>
  <c r="R21" i="6" s="1"/>
  <c r="V41" i="6"/>
  <c r="P34" i="6"/>
  <c r="Q11" i="6" s="1"/>
  <c r="F14" i="7" s="1"/>
  <c r="F19" i="7" s="1"/>
  <c r="S39" i="6"/>
  <c r="T16" i="6" s="1"/>
  <c r="U34" i="6"/>
  <c r="U37" i="6"/>
  <c r="V31" i="6"/>
  <c r="U33" i="6"/>
  <c r="Q41" i="6"/>
  <c r="R18" i="6" s="1"/>
  <c r="P44" i="6"/>
  <c r="R33" i="6"/>
  <c r="S10" i="6" s="1"/>
  <c r="U41" i="6"/>
  <c r="Q8" i="6"/>
  <c r="T36" i="6"/>
  <c r="U13" i="6" s="1"/>
  <c r="J16" i="7" s="1"/>
  <c r="V36" i="6"/>
  <c r="Q36" i="6"/>
  <c r="R13" i="6" s="1"/>
  <c r="G16" i="7" s="1"/>
  <c r="P36" i="6"/>
  <c r="Q13" i="6" s="1"/>
  <c r="F16" i="7" s="1"/>
  <c r="R36" i="6"/>
  <c r="S13" i="6" s="1"/>
  <c r="H16" i="7" s="1"/>
  <c r="R37" i="6"/>
  <c r="S14" i="6" s="1"/>
  <c r="H17" i="7" s="1"/>
  <c r="P37" i="6"/>
  <c r="Q14" i="6" s="1"/>
  <c r="S30" i="6"/>
  <c r="T7" i="6" s="1"/>
  <c r="S40" i="6"/>
  <c r="T17" i="6" s="1"/>
  <c r="U36" i="6"/>
  <c r="R40" i="6"/>
  <c r="S17" i="6" s="1"/>
  <c r="P40" i="6"/>
  <c r="Q17" i="6" s="1"/>
  <c r="V34" i="6"/>
  <c r="P33" i="6"/>
  <c r="W42" i="6"/>
  <c r="Q19" i="6"/>
  <c r="T37" i="6"/>
  <c r="U14" i="6" s="1"/>
  <c r="J17" i="7" s="1"/>
  <c r="S35" i="6"/>
  <c r="T12" i="6" s="1"/>
  <c r="I15" i="7" s="1"/>
  <c r="T35" i="6"/>
  <c r="U12" i="6" s="1"/>
  <c r="J15" i="7" s="1"/>
  <c r="J20" i="7" s="1"/>
  <c r="V35" i="6"/>
  <c r="V27" i="6"/>
  <c r="P27" i="6"/>
  <c r="Q27" i="6"/>
  <c r="R4" i="6" s="1"/>
  <c r="G7" i="7" s="1"/>
  <c r="U27" i="6"/>
  <c r="R27" i="6"/>
  <c r="S4" i="6" s="1"/>
  <c r="H7" i="7" s="1"/>
  <c r="H20" i="7" s="1"/>
  <c r="S27" i="6"/>
  <c r="T4" i="6" s="1"/>
  <c r="I7" i="7" s="1"/>
  <c r="S29" i="6"/>
  <c r="T6" i="6" s="1"/>
  <c r="I9" i="7" s="1"/>
  <c r="P29" i="6"/>
  <c r="Q6" i="6" s="1"/>
  <c r="F9" i="7" s="1"/>
  <c r="U29" i="6"/>
  <c r="Q40" i="6"/>
  <c r="R17" i="6" s="1"/>
  <c r="U40" i="6"/>
  <c r="T40" i="6"/>
  <c r="U17" i="6" s="1"/>
  <c r="T30" i="6"/>
  <c r="U7" i="6" s="1"/>
  <c r="R44" i="6"/>
  <c r="S21" i="6" s="1"/>
  <c r="S44" i="6"/>
  <c r="T21" i="6" s="1"/>
  <c r="S43" i="6"/>
  <c r="T20" i="6" s="1"/>
  <c r="U43" i="6"/>
  <c r="P43" i="6"/>
  <c r="Q20" i="6" s="1"/>
  <c r="R34" i="6"/>
  <c r="S11" i="6" s="1"/>
  <c r="H14" i="7" s="1"/>
  <c r="H19" i="7" s="1"/>
  <c r="T43" i="6"/>
  <c r="U20" i="6" s="1"/>
  <c r="T33" i="6"/>
  <c r="U10" i="6" s="1"/>
  <c r="Q37" i="6"/>
  <c r="R14" i="6" s="1"/>
  <c r="G17" i="7" s="1"/>
  <c r="G22" i="7" s="1"/>
  <c r="V43" i="6"/>
  <c r="U31" i="6"/>
  <c r="P39" i="6"/>
  <c r="Q16" i="6" s="1"/>
  <c r="Q39" i="6"/>
  <c r="R16" i="6" s="1"/>
  <c r="V33" i="6"/>
  <c r="R43" i="6"/>
  <c r="S20" i="6" s="1"/>
  <c r="T39" i="6"/>
  <c r="U16" i="6" s="1"/>
  <c r="R30" i="6"/>
  <c r="S7" i="6" s="1"/>
  <c r="V30" i="6"/>
  <c r="T29" i="6"/>
  <c r="U6" i="6" s="1"/>
  <c r="J9" i="7" s="1"/>
  <c r="T34" i="6"/>
  <c r="U11" i="6" s="1"/>
  <c r="J14" i="7" s="1"/>
  <c r="J19" i="7" s="1"/>
  <c r="R31" i="6"/>
  <c r="S8" i="6" s="1"/>
  <c r="S31" i="6"/>
  <c r="T8" i="6" s="1"/>
  <c r="Q31" i="6"/>
  <c r="R8" i="6" s="1"/>
  <c r="T31" i="6"/>
  <c r="U8" i="6" s="1"/>
  <c r="T32" i="6"/>
  <c r="U9" i="6" s="1"/>
  <c r="P32" i="6"/>
  <c r="V32" i="6"/>
  <c r="Q32" i="6"/>
  <c r="R9" i="6" s="1"/>
  <c r="S32" i="6"/>
  <c r="T9" i="6" s="1"/>
  <c r="V29" i="6"/>
  <c r="R39" i="6"/>
  <c r="S16" i="6" s="1"/>
  <c r="R29" i="6"/>
  <c r="S6" i="6" s="1"/>
  <c r="H9" i="7" s="1"/>
  <c r="Q34" i="6"/>
  <c r="R11" i="6" s="1"/>
  <c r="G14" i="7" s="1"/>
  <c r="G19" i="7" s="1"/>
  <c r="S37" i="6"/>
  <c r="T14" i="6" s="1"/>
  <c r="I17" i="7" s="1"/>
  <c r="R32" i="6"/>
  <c r="S9" i="6" s="1"/>
  <c r="P30" i="6"/>
  <c r="U28" i="6"/>
  <c r="V28" i="6"/>
  <c r="R28" i="6"/>
  <c r="S5" i="6" s="1"/>
  <c r="H8" i="7" s="1"/>
  <c r="Q28" i="6"/>
  <c r="R5" i="6" s="1"/>
  <c r="G8" i="7" s="1"/>
  <c r="T28" i="6"/>
  <c r="U5" i="6" s="1"/>
  <c r="J8" i="7" s="1"/>
  <c r="P28" i="6"/>
  <c r="S28" i="6"/>
  <c r="T5" i="6" s="1"/>
  <c r="I8" i="7" s="1"/>
  <c r="I21" i="7" s="1"/>
  <c r="W38" i="6" l="1"/>
  <c r="Q15" i="6"/>
  <c r="V15" i="6" s="1" a="1"/>
  <c r="V15" i="6" s="1"/>
  <c r="W15" i="6" s="1"/>
  <c r="V18" i="6" a="1"/>
  <c r="V18" i="6" s="1"/>
  <c r="W18" i="6" s="1"/>
  <c r="X16" i="6" a="1"/>
  <c r="X16" i="6" s="1"/>
  <c r="X20" i="6" a="1"/>
  <c r="X20" i="6" s="1"/>
  <c r="G20" i="7"/>
  <c r="W34" i="6"/>
  <c r="X12" i="6" a="1"/>
  <c r="X12" i="6" s="1"/>
  <c r="P15" i="7" s="1"/>
  <c r="Q15" i="7" s="1"/>
  <c r="V14" i="6" a="1"/>
  <c r="V14" i="6" s="1"/>
  <c r="W14" i="6" s="1"/>
  <c r="V6" i="6" a="1"/>
  <c r="V6" i="6" s="1"/>
  <c r="W6" i="6" s="1"/>
  <c r="W35" i="6"/>
  <c r="V13" i="6" a="1"/>
  <c r="V13" i="6" s="1"/>
  <c r="W13" i="6" s="1"/>
  <c r="X11" i="6" a="1"/>
  <c r="X11" i="6" s="1"/>
  <c r="P14" i="7" s="1"/>
  <c r="Q14" i="7" s="1"/>
  <c r="J22" i="7"/>
  <c r="J21" i="7"/>
  <c r="X13" i="6" a="1"/>
  <c r="X13" i="6" s="1"/>
  <c r="P16" i="7" s="1"/>
  <c r="Q16" i="7" s="1"/>
  <c r="W37" i="6"/>
  <c r="Q21" i="6"/>
  <c r="W44" i="6"/>
  <c r="H22" i="7"/>
  <c r="V16" i="6" a="1"/>
  <c r="V16" i="6" s="1"/>
  <c r="W16" i="6" s="1"/>
  <c r="V20" i="6" a="1"/>
  <c r="V20" i="6" s="1"/>
  <c r="W20" i="6" s="1"/>
  <c r="W31" i="6"/>
  <c r="W29" i="6"/>
  <c r="X6" i="6" a="1"/>
  <c r="X6" i="6" s="1"/>
  <c r="P9" i="7" s="1"/>
  <c r="Q9" i="7" s="1"/>
  <c r="V19" i="6" a="1"/>
  <c r="V19" i="6" s="1"/>
  <c r="W19" i="6" s="1"/>
  <c r="X19" i="6" a="1"/>
  <c r="X19" i="6" s="1"/>
  <c r="I22" i="7"/>
  <c r="X18" i="6" a="1"/>
  <c r="X18" i="6" s="1"/>
  <c r="W39" i="6"/>
  <c r="W41" i="6"/>
  <c r="V11" i="6" a="1"/>
  <c r="V11" i="6" s="1"/>
  <c r="W11" i="6" s="1"/>
  <c r="V12" i="6" a="1"/>
  <c r="V12" i="6" s="1"/>
  <c r="W12" i="6" s="1"/>
  <c r="X14" i="6" a="1"/>
  <c r="X14" i="6" s="1"/>
  <c r="P17" i="7" s="1"/>
  <c r="Q17" i="7" s="1"/>
  <c r="W28" i="6"/>
  <c r="Q5" i="6"/>
  <c r="X5" i="6" s="1" a="1"/>
  <c r="X5" i="6" s="1"/>
  <c r="P8" i="7" s="1"/>
  <c r="Q8" i="7" s="1"/>
  <c r="W36" i="6"/>
  <c r="Q10" i="6"/>
  <c r="W33" i="6"/>
  <c r="W40" i="6"/>
  <c r="I20" i="7"/>
  <c r="G21" i="7"/>
  <c r="H21" i="7"/>
  <c r="Q4" i="6"/>
  <c r="X4" i="6" s="1" a="1"/>
  <c r="X4" i="6" s="1"/>
  <c r="P7" i="7" s="1"/>
  <c r="Q7" i="7" s="1"/>
  <c r="W27" i="6"/>
  <c r="V17" i="6" a="1"/>
  <c r="V17" i="6" s="1"/>
  <c r="W17" i="6" s="1"/>
  <c r="X17" i="6" a="1"/>
  <c r="X17" i="6" s="1"/>
  <c r="Q9" i="6"/>
  <c r="W32" i="6"/>
  <c r="F17" i="7"/>
  <c r="F22" i="7" s="1"/>
  <c r="W43" i="6"/>
  <c r="Q7" i="6"/>
  <c r="V7" i="6" s="1" a="1"/>
  <c r="V7" i="6" s="1"/>
  <c r="W7" i="6" s="1"/>
  <c r="W30" i="6"/>
  <c r="X8" i="6" a="1"/>
  <c r="X8" i="6" s="1"/>
  <c r="V8" i="6" a="1"/>
  <c r="V8" i="6" s="1"/>
  <c r="W8" i="6" s="1"/>
  <c r="X15" i="6" a="1"/>
  <c r="X15" i="6" s="1"/>
  <c r="X21" i="6" l="1" a="1"/>
  <c r="X21" i="6" s="1"/>
  <c r="V21" i="6" a="1"/>
  <c r="V21" i="6" s="1"/>
  <c r="W21" i="6" s="1"/>
  <c r="V10" i="6" a="1"/>
  <c r="V10" i="6" s="1"/>
  <c r="W10" i="6" s="1"/>
  <c r="X10" i="6" a="1"/>
  <c r="X10" i="6" s="1"/>
  <c r="X7" i="6" a="1"/>
  <c r="X7" i="6" s="1"/>
  <c r="F7" i="7"/>
  <c r="F20" i="7" s="1"/>
  <c r="V4" i="6" a="1"/>
  <c r="V4" i="6" s="1"/>
  <c r="W4" i="6" s="1"/>
  <c r="X9" i="6" a="1"/>
  <c r="X9" i="6" s="1"/>
  <c r="V9" i="6" a="1"/>
  <c r="V9" i="6" s="1"/>
  <c r="W9" i="6" s="1"/>
  <c r="V5" i="6" a="1"/>
  <c r="V5" i="6" s="1"/>
  <c r="W5" i="6" s="1"/>
  <c r="F8" i="7"/>
  <c r="F2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01849F-96C0-4426-BC55-13078D735C95}" keepAlive="1" name="Consulta - adj_close" description="Conexión a la consulta 'adj_close' en el libro." type="5" refreshedVersion="8" background="1" saveData="1">
    <dbPr connection="Provider=Microsoft.Mashup.OleDb.1;Data Source=$Workbook$;Location=adj_close;Extended Properties=&quot;&quot;" command="SELECT * FROM [adj_clos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<sst xmlns="http://schemas.openxmlformats.org/spreadsheetml/2006/main" count="151" uniqueCount="71">
  <si>
    <t>BIMBOA.MX</t>
  </si>
  <si>
    <t>R_BIMBO</t>
  </si>
  <si>
    <t>Rendimiento</t>
  </si>
  <si>
    <t>Varianza</t>
  </si>
  <si>
    <t>Volatilidad</t>
  </si>
  <si>
    <t>GCARSOA1.MX</t>
  </si>
  <si>
    <t>R_GCarso</t>
  </si>
  <si>
    <t>GMEXICOB.MX</t>
  </si>
  <si>
    <t>R_GMexico</t>
  </si>
  <si>
    <t>KOFUBL.MX</t>
  </si>
  <si>
    <t>R_FEMSA</t>
  </si>
  <si>
    <t>ASURB_r</t>
  </si>
  <si>
    <t>MATRIZ DE VARIANZAS Y COVARIANZAS (Extendida)</t>
  </si>
  <si>
    <t>E(Ri)</t>
  </si>
  <si>
    <t>Cartera</t>
  </si>
  <si>
    <t>W_BIMBO</t>
  </si>
  <si>
    <t>W_Carso</t>
  </si>
  <si>
    <t>W_GMex</t>
  </si>
  <si>
    <t>W_FEMSA</t>
  </si>
  <si>
    <t>W_ASUR</t>
  </si>
  <si>
    <t>Factor</t>
  </si>
  <si>
    <t>Volatiliad</t>
  </si>
  <si>
    <t>rdiario</t>
  </si>
  <si>
    <t>BIMBO</t>
  </si>
  <si>
    <t>GrupoCarso</t>
  </si>
  <si>
    <t>GrupoMexico</t>
  </si>
  <si>
    <t>FEMSA</t>
  </si>
  <si>
    <t>ASUR</t>
  </si>
  <si>
    <t>GrupoModelo</t>
  </si>
  <si>
    <t>CMR</t>
  </si>
  <si>
    <t>Matriz inversa (extendida)</t>
  </si>
  <si>
    <t xml:space="preserve">Vec Aux </t>
  </si>
  <si>
    <t>wi (minima varianza)</t>
  </si>
  <si>
    <t xml:space="preserve">MATRIZ AUXILIAR </t>
  </si>
  <si>
    <t>CM</t>
  </si>
  <si>
    <t>Rf</t>
  </si>
  <si>
    <t>Rf diaria</t>
  </si>
  <si>
    <t>Préstamo anual</t>
  </si>
  <si>
    <t>Préstamo diario</t>
  </si>
  <si>
    <t>https://www.yotepresto.com/prestamos-personales?utm_source=googleads&amp;utm_medium=g&amp;utm_content=79605897483:626835688024&amp;utm_campaign=6944045184&amp;utm_term=kwd-14280251&amp;keyword=prestamos&amp;adposition=&amp;gad_source=1&amp;gbraid=0AAAAADcws_xJ-xHGQD9lS5VKXullXyWSy&amp;gclid=Cj0KCQiA88a5BhDPARIsAFj595iRg0Cm058UDves8XV4Z5H1MgPcfJWBM40iceRNkh_Mzv95fgJbtvkaApyTEALw_wcB#simulator</t>
  </si>
  <si>
    <t>Matriz Inversa</t>
  </si>
  <si>
    <t>E(Ri) - rf</t>
  </si>
  <si>
    <t>Ui</t>
  </si>
  <si>
    <t>wi (de mercado)</t>
  </si>
  <si>
    <t>FIGURA 2.1</t>
  </si>
  <si>
    <t>MATRIZ AUXILIAR (Inversa)</t>
  </si>
  <si>
    <t>Vector auxiliar</t>
  </si>
  <si>
    <t>WFE</t>
  </si>
  <si>
    <t>PORTAFOLIO DE MINIMA VARIANZA</t>
  </si>
  <si>
    <t>Portafolio Optimo</t>
  </si>
  <si>
    <t>Capital</t>
  </si>
  <si>
    <t>Y</t>
  </si>
  <si>
    <t>rf</t>
  </si>
  <si>
    <t>PR</t>
  </si>
  <si>
    <t>E(RMV)</t>
  </si>
  <si>
    <t>Prima de Riesgo</t>
  </si>
  <si>
    <t>inversor 1</t>
  </si>
  <si>
    <t>inversor 2</t>
  </si>
  <si>
    <t>inversor 3</t>
  </si>
  <si>
    <t>inversor 4</t>
  </si>
  <si>
    <t>Bimbo</t>
  </si>
  <si>
    <t>Risk Free</t>
  </si>
  <si>
    <t>Portafolio</t>
  </si>
  <si>
    <t>r_anual</t>
  </si>
  <si>
    <t>Date</t>
  </si>
  <si>
    <t>BIMBOA</t>
  </si>
  <si>
    <t>GCARSOA1</t>
  </si>
  <si>
    <t>GMEXICOB</t>
  </si>
  <si>
    <t>KOFUBL</t>
  </si>
  <si>
    <t>ALSEA</t>
  </si>
  <si>
    <t>Sharpe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</si>
</sst>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%"/>
    <numFmt numFmtId="165" formatCode="0.000000000%"/>
    <numFmt numFmtId="166" formatCode="0.00000000%"/>
    <numFmt numFmtId="167" formatCode="0.0000000%"/>
    <numFmt numFmtId="168" formatCode="0.00000000000%"/>
    <numFmt numFmtId="169" formatCode="&quot;$&quot;#,##0.00"/>
  </numFmts>
  <fonts count="14" x14ac:knownFonts="1">
    <font>
      <sz val="10"/>
      <color rgb="FF000000"/>
      <name val="Arial"/>
      <scheme val="minor"/>
    </font>
    <font>
      <sz val="10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FFFFFF"/>
      <name val="Arial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164" fontId="3" fillId="0" borderId="0" xfId="0" applyNumberFormat="1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3" borderId="0" xfId="0" applyFont="1" applyFill="1"/>
    <xf numFmtId="165" fontId="3" fillId="0" borderId="0" xfId="0" applyNumberFormat="1" applyFont="1"/>
    <xf numFmtId="0" fontId="4" fillId="2" borderId="0" xfId="0" applyFont="1" applyFill="1"/>
    <xf numFmtId="0" fontId="4" fillId="0" borderId="0" xfId="0" applyFont="1"/>
    <xf numFmtId="0" fontId="3" fillId="6" borderId="0" xfId="0" applyFont="1" applyFill="1"/>
    <xf numFmtId="0" fontId="6" fillId="7" borderId="0" xfId="0" applyFont="1" applyFill="1"/>
    <xf numFmtId="0" fontId="6" fillId="7" borderId="1" xfId="0" applyFont="1" applyFill="1" applyBorder="1"/>
    <xf numFmtId="0" fontId="6" fillId="0" borderId="0" xfId="0" applyFont="1"/>
    <xf numFmtId="0" fontId="3" fillId="8" borderId="1" xfId="0" applyFont="1" applyFill="1" applyBorder="1"/>
    <xf numFmtId="0" fontId="3" fillId="0" borderId="1" xfId="0" applyFont="1" applyBorder="1"/>
    <xf numFmtId="0" fontId="3" fillId="9" borderId="0" xfId="0" applyFont="1" applyFill="1"/>
    <xf numFmtId="166" fontId="3" fillId="0" borderId="1" xfId="0" applyNumberFormat="1" applyFont="1" applyBorder="1"/>
    <xf numFmtId="166" fontId="3" fillId="10" borderId="0" xfId="0" applyNumberFormat="1" applyFont="1" applyFill="1"/>
    <xf numFmtId="167" fontId="7" fillId="0" borderId="0" xfId="0" applyNumberFormat="1" applyFont="1"/>
    <xf numFmtId="164" fontId="7" fillId="0" borderId="0" xfId="0" applyNumberFormat="1" applyFont="1"/>
    <xf numFmtId="165" fontId="3" fillId="11" borderId="1" xfId="0" applyNumberFormat="1" applyFont="1" applyFill="1" applyBorder="1"/>
    <xf numFmtId="165" fontId="3" fillId="12" borderId="1" xfId="0" applyNumberFormat="1" applyFont="1" applyFill="1" applyBorder="1"/>
    <xf numFmtId="165" fontId="3" fillId="10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6" fontId="7" fillId="0" borderId="0" xfId="0" applyNumberFormat="1" applyFont="1"/>
    <xf numFmtId="165" fontId="3" fillId="4" borderId="1" xfId="0" applyNumberFormat="1" applyFont="1" applyFill="1" applyBorder="1"/>
    <xf numFmtId="165" fontId="3" fillId="15" borderId="1" xfId="0" applyNumberFormat="1" applyFont="1" applyFill="1" applyBorder="1"/>
    <xf numFmtId="165" fontId="3" fillId="16" borderId="1" xfId="0" applyNumberFormat="1" applyFont="1" applyFill="1" applyBorder="1"/>
    <xf numFmtId="167" fontId="3" fillId="0" borderId="0" xfId="0" applyNumberFormat="1" applyFont="1"/>
    <xf numFmtId="165" fontId="3" fillId="17" borderId="1" xfId="0" applyNumberFormat="1" applyFont="1" applyFill="1" applyBorder="1"/>
    <xf numFmtId="165" fontId="3" fillId="18" borderId="1" xfId="0" applyNumberFormat="1" applyFont="1" applyFill="1" applyBorder="1"/>
    <xf numFmtId="165" fontId="3" fillId="19" borderId="1" xfId="0" applyNumberFormat="1" applyFont="1" applyFill="1" applyBorder="1"/>
    <xf numFmtId="9" fontId="7" fillId="0" borderId="0" xfId="0" applyNumberFormat="1" applyFont="1"/>
    <xf numFmtId="0" fontId="3" fillId="21" borderId="0" xfId="0" applyFont="1" applyFill="1"/>
    <xf numFmtId="0" fontId="3" fillId="16" borderId="0" xfId="0" applyFont="1" applyFill="1" applyAlignment="1">
      <alignment horizontal="center"/>
    </xf>
    <xf numFmtId="0" fontId="3" fillId="22" borderId="0" xfId="0" applyFont="1" applyFill="1"/>
    <xf numFmtId="0" fontId="3" fillId="0" borderId="0" xfId="0" applyFont="1" applyAlignment="1">
      <alignment horizontal="center"/>
    </xf>
    <xf numFmtId="164" fontId="3" fillId="0" borderId="1" xfId="0" applyNumberFormat="1" applyFont="1" applyBorder="1"/>
    <xf numFmtId="0" fontId="8" fillId="0" borderId="1" xfId="0" applyFont="1" applyBorder="1"/>
    <xf numFmtId="10" fontId="3" fillId="0" borderId="1" xfId="0" applyNumberFormat="1" applyFont="1" applyBorder="1"/>
    <xf numFmtId="165" fontId="3" fillId="0" borderId="1" xfId="0" applyNumberFormat="1" applyFont="1" applyBorder="1"/>
    <xf numFmtId="168" fontId="8" fillId="0" borderId="1" xfId="0" applyNumberFormat="1" applyFont="1" applyBorder="1"/>
    <xf numFmtId="0" fontId="8" fillId="8" borderId="1" xfId="0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25" borderId="0" xfId="0" applyFont="1" applyFill="1"/>
    <xf numFmtId="0" fontId="4" fillId="26" borderId="0" xfId="0" applyFont="1" applyFill="1"/>
    <xf numFmtId="0" fontId="3" fillId="8" borderId="0" xfId="0" applyFont="1" applyFill="1"/>
    <xf numFmtId="0" fontId="11" fillId="27" borderId="0" xfId="0" applyFont="1" applyFill="1"/>
    <xf numFmtId="166" fontId="3" fillId="0" borderId="0" xfId="0" applyNumberFormat="1" applyFont="1"/>
    <xf numFmtId="0" fontId="3" fillId="28" borderId="0" xfId="0" applyFont="1" applyFill="1"/>
    <xf numFmtId="169" fontId="3" fillId="0" borderId="0" xfId="0" applyNumberFormat="1" applyFont="1"/>
    <xf numFmtId="169" fontId="4" fillId="0" borderId="0" xfId="0" applyNumberFormat="1" applyFont="1" applyAlignment="1">
      <alignment horizontal="right"/>
    </xf>
    <xf numFmtId="169" fontId="4" fillId="0" borderId="0" xfId="0" applyNumberFormat="1" applyFont="1"/>
    <xf numFmtId="164" fontId="3" fillId="28" borderId="0" xfId="0" applyNumberFormat="1" applyFont="1" applyFill="1"/>
    <xf numFmtId="10" fontId="3" fillId="28" borderId="0" xfId="0" applyNumberFormat="1" applyFont="1" applyFill="1"/>
    <xf numFmtId="168" fontId="3" fillId="28" borderId="0" xfId="0" applyNumberFormat="1" applyFont="1" applyFill="1"/>
    <xf numFmtId="0" fontId="12" fillId="0" borderId="0" xfId="0" applyFont="1"/>
    <xf numFmtId="0" fontId="13" fillId="29" borderId="0" xfId="0" applyFont="1" applyFill="1"/>
    <xf numFmtId="0" fontId="4" fillId="5" borderId="0" xfId="0" applyFont="1" applyFill="1" applyAlignment="1">
      <alignment horizontal="center"/>
    </xf>
    <xf numFmtId="0" fontId="0" fillId="0" borderId="0" xfId="0"/>
    <xf numFmtId="0" fontId="3" fillId="20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GBMMODBFF.MX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BIMBO!$B$1</c:f>
              <c:strCache>
                <c:ptCount val="1"/>
                <c:pt idx="0">
                  <c:v>BIMBOA.MX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360"/>
            <c:bubble3D val="0"/>
            <c:extLst>
              <c:ext xmlns:c16="http://schemas.microsoft.com/office/drawing/2014/chart" uri="{C3380CC4-5D6E-409C-BE32-E72D297353CC}">
                <c16:uniqueId val="{00000000-71C8-4928-9720-73501F2DD23A}"/>
              </c:ext>
            </c:extLst>
          </c:dPt>
          <c:cat>
            <c:numRef>
              <c:f>BIMBO!$A$2:$A$1258</c:f>
              <c:numCache>
                <c:formatCode>General</c:formatCode>
                <c:ptCount val="1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</c:numCache>
            </c:numRef>
          </c:cat>
          <c:val>
            <c:numRef>
              <c:f>BIMBO!$B$2:$B$1258</c:f>
              <c:numCache>
                <c:formatCode>General</c:formatCode>
                <c:ptCount val="1257"/>
                <c:pt idx="0">
                  <c:v>32.737140655517578</c:v>
                </c:pt>
                <c:pt idx="1">
                  <c:v>32.479221343994141</c:v>
                </c:pt>
                <c:pt idx="2">
                  <c:v>33.004268646240234</c:v>
                </c:pt>
                <c:pt idx="3">
                  <c:v>33.188499450683594</c:v>
                </c:pt>
                <c:pt idx="4">
                  <c:v>32.359477996826172</c:v>
                </c:pt>
                <c:pt idx="5">
                  <c:v>31.935750961303711</c:v>
                </c:pt>
                <c:pt idx="6">
                  <c:v>33.520107269287109</c:v>
                </c:pt>
                <c:pt idx="7">
                  <c:v>34.118846893310547</c:v>
                </c:pt>
                <c:pt idx="8">
                  <c:v>33.676700592041016</c:v>
                </c:pt>
                <c:pt idx="9">
                  <c:v>33.031906127929688</c:v>
                </c:pt>
                <c:pt idx="10">
                  <c:v>32.488437652587891</c:v>
                </c:pt>
                <c:pt idx="11">
                  <c:v>33.400360107421875</c:v>
                </c:pt>
                <c:pt idx="12">
                  <c:v>32.755565643310547</c:v>
                </c:pt>
                <c:pt idx="13">
                  <c:v>32.543701171875</c:v>
                </c:pt>
                <c:pt idx="14">
                  <c:v>31.788372039794922</c:v>
                </c:pt>
                <c:pt idx="15">
                  <c:v>32.3226318359375</c:v>
                </c:pt>
                <c:pt idx="16">
                  <c:v>32.387107849121094</c:v>
                </c:pt>
                <c:pt idx="17">
                  <c:v>32.838466644287109</c:v>
                </c:pt>
                <c:pt idx="18">
                  <c:v>34.579414367675781</c:v>
                </c:pt>
                <c:pt idx="19">
                  <c:v>34.100425720214844</c:v>
                </c:pt>
                <c:pt idx="20">
                  <c:v>34.846542358398438</c:v>
                </c:pt>
                <c:pt idx="21">
                  <c:v>35.482120513916016</c:v>
                </c:pt>
                <c:pt idx="22">
                  <c:v>36.366413116455078</c:v>
                </c:pt>
                <c:pt idx="23">
                  <c:v>35.915058135986328</c:v>
                </c:pt>
                <c:pt idx="24">
                  <c:v>36.145343780517578</c:v>
                </c:pt>
                <c:pt idx="25">
                  <c:v>36.357204437255859</c:v>
                </c:pt>
                <c:pt idx="26">
                  <c:v>35.896636962890625</c:v>
                </c:pt>
                <c:pt idx="27">
                  <c:v>35.436065673828125</c:v>
                </c:pt>
                <c:pt idx="28">
                  <c:v>35.915058135986328</c:v>
                </c:pt>
                <c:pt idx="29">
                  <c:v>35.924270629882813</c:v>
                </c:pt>
                <c:pt idx="30">
                  <c:v>35.776885986328125</c:v>
                </c:pt>
                <c:pt idx="31">
                  <c:v>36.034801483154297</c:v>
                </c:pt>
                <c:pt idx="32">
                  <c:v>36.40325927734375</c:v>
                </c:pt>
                <c:pt idx="33">
                  <c:v>35.408428192138672</c:v>
                </c:pt>
                <c:pt idx="34">
                  <c:v>34.422821044921875</c:v>
                </c:pt>
                <c:pt idx="35">
                  <c:v>34.551780700683594</c:v>
                </c:pt>
                <c:pt idx="36">
                  <c:v>34.081996917724609</c:v>
                </c:pt>
                <c:pt idx="37">
                  <c:v>33.33587646484375</c:v>
                </c:pt>
                <c:pt idx="38">
                  <c:v>32.976634979248047</c:v>
                </c:pt>
                <c:pt idx="39">
                  <c:v>32.99505615234375</c:v>
                </c:pt>
                <c:pt idx="40">
                  <c:v>33.492469787597656</c:v>
                </c:pt>
                <c:pt idx="41">
                  <c:v>33.363513946533203</c:v>
                </c:pt>
                <c:pt idx="42">
                  <c:v>33.870140075683594</c:v>
                </c:pt>
                <c:pt idx="43">
                  <c:v>34.422821044921875</c:v>
                </c:pt>
                <c:pt idx="44">
                  <c:v>34.800483703613281</c:v>
                </c:pt>
                <c:pt idx="45">
                  <c:v>35.868999481201172</c:v>
                </c:pt>
                <c:pt idx="46">
                  <c:v>36.117706298828125</c:v>
                </c:pt>
                <c:pt idx="47">
                  <c:v>41.202365875244141</c:v>
                </c:pt>
                <c:pt idx="48">
                  <c:v>38.807418823242188</c:v>
                </c:pt>
                <c:pt idx="49">
                  <c:v>37.702060699462891</c:v>
                </c:pt>
                <c:pt idx="50">
                  <c:v>36.928306579589844</c:v>
                </c:pt>
                <c:pt idx="51">
                  <c:v>38.033668518066406</c:v>
                </c:pt>
                <c:pt idx="52">
                  <c:v>37.886287689208984</c:v>
                </c:pt>
                <c:pt idx="53">
                  <c:v>38.438968658447266</c:v>
                </c:pt>
                <c:pt idx="54">
                  <c:v>37.499408721923828</c:v>
                </c:pt>
                <c:pt idx="55">
                  <c:v>36.882251739501953</c:v>
                </c:pt>
                <c:pt idx="56">
                  <c:v>38.273166656494141</c:v>
                </c:pt>
                <c:pt idx="57">
                  <c:v>38.337642669677734</c:v>
                </c:pt>
                <c:pt idx="58">
                  <c:v>38.042881011962891</c:v>
                </c:pt>
                <c:pt idx="59">
                  <c:v>38.042881011962891</c:v>
                </c:pt>
                <c:pt idx="60">
                  <c:v>38.181049346923828</c:v>
                </c:pt>
                <c:pt idx="61">
                  <c:v>40.152275085449219</c:v>
                </c:pt>
                <c:pt idx="62">
                  <c:v>41.294490814208984</c:v>
                </c:pt>
                <c:pt idx="63">
                  <c:v>41.322120666503906</c:v>
                </c:pt>
                <c:pt idx="64">
                  <c:v>40.207550048828125</c:v>
                </c:pt>
                <c:pt idx="65">
                  <c:v>39.571956634521484</c:v>
                </c:pt>
                <c:pt idx="66">
                  <c:v>38.742942810058594</c:v>
                </c:pt>
                <c:pt idx="67">
                  <c:v>40.345718383789063</c:v>
                </c:pt>
                <c:pt idx="68">
                  <c:v>39.673290252685547</c:v>
                </c:pt>
                <c:pt idx="69">
                  <c:v>39.636440277099609</c:v>
                </c:pt>
                <c:pt idx="70">
                  <c:v>38.660041809082031</c:v>
                </c:pt>
                <c:pt idx="71">
                  <c:v>37.232280731201172</c:v>
                </c:pt>
                <c:pt idx="72">
                  <c:v>38.761367797851563</c:v>
                </c:pt>
                <c:pt idx="73">
                  <c:v>37.950767517089844</c:v>
                </c:pt>
                <c:pt idx="74">
                  <c:v>37.084896087646484</c:v>
                </c:pt>
                <c:pt idx="75">
                  <c:v>36.919094085693359</c:v>
                </c:pt>
                <c:pt idx="76">
                  <c:v>37.941558837890625</c:v>
                </c:pt>
                <c:pt idx="77">
                  <c:v>36.937511444091797</c:v>
                </c:pt>
                <c:pt idx="78">
                  <c:v>37.729690551757813</c:v>
                </c:pt>
                <c:pt idx="79">
                  <c:v>36.8546142578125</c:v>
                </c:pt>
                <c:pt idx="80">
                  <c:v>36.504589080810547</c:v>
                </c:pt>
                <c:pt idx="81">
                  <c:v>36.937511444091797</c:v>
                </c:pt>
                <c:pt idx="82">
                  <c:v>36.771713256835938</c:v>
                </c:pt>
                <c:pt idx="83">
                  <c:v>35.822944641113281</c:v>
                </c:pt>
                <c:pt idx="84">
                  <c:v>34.459667205810547</c:v>
                </c:pt>
                <c:pt idx="85">
                  <c:v>36.007167816162109</c:v>
                </c:pt>
                <c:pt idx="86">
                  <c:v>36.578273773193359</c:v>
                </c:pt>
                <c:pt idx="87">
                  <c:v>36.605911254882813</c:v>
                </c:pt>
                <c:pt idx="88">
                  <c:v>36.274303436279297</c:v>
                </c:pt>
                <c:pt idx="89">
                  <c:v>36.495372772216797</c:v>
                </c:pt>
                <c:pt idx="90">
                  <c:v>36.753292083740234</c:v>
                </c:pt>
                <c:pt idx="91">
                  <c:v>37.692848205566406</c:v>
                </c:pt>
                <c:pt idx="92">
                  <c:v>38.10736083984375</c:v>
                </c:pt>
                <c:pt idx="93">
                  <c:v>36.209819793701172</c:v>
                </c:pt>
                <c:pt idx="94">
                  <c:v>35.868999481201172</c:v>
                </c:pt>
                <c:pt idx="95">
                  <c:v>36.357204437255859</c:v>
                </c:pt>
                <c:pt idx="96">
                  <c:v>36.145343780517578</c:v>
                </c:pt>
                <c:pt idx="97">
                  <c:v>37.388874053955078</c:v>
                </c:pt>
                <c:pt idx="98">
                  <c:v>38.273166656494141</c:v>
                </c:pt>
                <c:pt idx="99">
                  <c:v>38.273166656494141</c:v>
                </c:pt>
                <c:pt idx="100">
                  <c:v>37.388874053955078</c:v>
                </c:pt>
                <c:pt idx="101">
                  <c:v>37.527046203613281</c:v>
                </c:pt>
                <c:pt idx="102">
                  <c:v>38.088939666748047</c:v>
                </c:pt>
                <c:pt idx="103">
                  <c:v>37.996822357177734</c:v>
                </c:pt>
                <c:pt idx="104">
                  <c:v>37.941558837890625</c:v>
                </c:pt>
                <c:pt idx="105">
                  <c:v>37.941558837890625</c:v>
                </c:pt>
                <c:pt idx="106">
                  <c:v>38.134994506835938</c:v>
                </c:pt>
                <c:pt idx="107">
                  <c:v>38.982433319091797</c:v>
                </c:pt>
                <c:pt idx="108">
                  <c:v>38.052093505859375</c:v>
                </c:pt>
                <c:pt idx="109">
                  <c:v>38.033668518066406</c:v>
                </c:pt>
                <c:pt idx="110">
                  <c:v>39.056129455566406</c:v>
                </c:pt>
                <c:pt idx="111">
                  <c:v>40.032535552978516</c:v>
                </c:pt>
                <c:pt idx="112">
                  <c:v>39.406154632568359</c:v>
                </c:pt>
                <c:pt idx="113">
                  <c:v>37.444145202636719</c:v>
                </c:pt>
                <c:pt idx="114">
                  <c:v>37.757331848144531</c:v>
                </c:pt>
                <c:pt idx="115">
                  <c:v>38.374485015869141</c:v>
                </c:pt>
                <c:pt idx="116">
                  <c:v>38.733730316162109</c:v>
                </c:pt>
                <c:pt idx="117">
                  <c:v>39.0008544921875</c:v>
                </c:pt>
                <c:pt idx="118">
                  <c:v>38.494232177734375</c:v>
                </c:pt>
                <c:pt idx="119">
                  <c:v>37.923133850097656</c:v>
                </c:pt>
                <c:pt idx="120">
                  <c:v>39.553539276123047</c:v>
                </c:pt>
                <c:pt idx="121">
                  <c:v>39.627227783203125</c:v>
                </c:pt>
                <c:pt idx="122">
                  <c:v>40.281234741210938</c:v>
                </c:pt>
                <c:pt idx="123">
                  <c:v>40.060165405273438</c:v>
                </c:pt>
                <c:pt idx="124">
                  <c:v>41.533985137939453</c:v>
                </c:pt>
                <c:pt idx="125">
                  <c:v>41.230007171630859</c:v>
                </c:pt>
                <c:pt idx="126">
                  <c:v>39.746978759765625</c:v>
                </c:pt>
                <c:pt idx="127">
                  <c:v>38.604770660400391</c:v>
                </c:pt>
                <c:pt idx="128">
                  <c:v>39.360103607177734</c:v>
                </c:pt>
                <c:pt idx="129">
                  <c:v>39.433795928955078</c:v>
                </c:pt>
                <c:pt idx="130">
                  <c:v>39.148239135742188</c:v>
                </c:pt>
                <c:pt idx="131">
                  <c:v>39.608810424804688</c:v>
                </c:pt>
                <c:pt idx="132">
                  <c:v>39.728553771972656</c:v>
                </c:pt>
                <c:pt idx="133">
                  <c:v>39.387737274169922</c:v>
                </c:pt>
                <c:pt idx="134">
                  <c:v>39.424579620361328</c:v>
                </c:pt>
                <c:pt idx="135">
                  <c:v>40.364143371582031</c:v>
                </c:pt>
                <c:pt idx="136">
                  <c:v>40.032535552978516</c:v>
                </c:pt>
                <c:pt idx="137">
                  <c:v>40.050949096679688</c:v>
                </c:pt>
                <c:pt idx="138">
                  <c:v>39.525905609130859</c:v>
                </c:pt>
                <c:pt idx="139">
                  <c:v>39.553539276123047</c:v>
                </c:pt>
                <c:pt idx="140">
                  <c:v>39.185092926025391</c:v>
                </c:pt>
                <c:pt idx="141">
                  <c:v>38.724521636962891</c:v>
                </c:pt>
                <c:pt idx="142">
                  <c:v>38.724521636962891</c:v>
                </c:pt>
                <c:pt idx="143">
                  <c:v>39.535118103027344</c:v>
                </c:pt>
                <c:pt idx="144">
                  <c:v>39.470630645751953</c:v>
                </c:pt>
                <c:pt idx="145">
                  <c:v>39.654865264892578</c:v>
                </c:pt>
                <c:pt idx="146">
                  <c:v>39.968055725097656</c:v>
                </c:pt>
                <c:pt idx="147">
                  <c:v>39.636440277099609</c:v>
                </c:pt>
                <c:pt idx="148">
                  <c:v>38.660041809082031</c:v>
                </c:pt>
                <c:pt idx="149">
                  <c:v>38.816627502441406</c:v>
                </c:pt>
                <c:pt idx="150">
                  <c:v>39.839096069335938</c:v>
                </c:pt>
                <c:pt idx="151">
                  <c:v>39.23114013671875</c:v>
                </c:pt>
                <c:pt idx="152">
                  <c:v>39.673290252685547</c:v>
                </c:pt>
                <c:pt idx="153">
                  <c:v>40.2628173828125</c:v>
                </c:pt>
                <c:pt idx="154">
                  <c:v>39.80224609375</c:v>
                </c:pt>
                <c:pt idx="155">
                  <c:v>39.829879760742188</c:v>
                </c:pt>
                <c:pt idx="156">
                  <c:v>39.470630645751953</c:v>
                </c:pt>
                <c:pt idx="157">
                  <c:v>39.654865264892578</c:v>
                </c:pt>
                <c:pt idx="158">
                  <c:v>39.535118103027344</c:v>
                </c:pt>
                <c:pt idx="159">
                  <c:v>40.087799072265625</c:v>
                </c:pt>
                <c:pt idx="160">
                  <c:v>39.940418243408203</c:v>
                </c:pt>
                <c:pt idx="161">
                  <c:v>40.225967407226563</c:v>
                </c:pt>
                <c:pt idx="162">
                  <c:v>39.719345092773438</c:v>
                </c:pt>
                <c:pt idx="163">
                  <c:v>39.931198120117188</c:v>
                </c:pt>
                <c:pt idx="164">
                  <c:v>39.304828643798828</c:v>
                </c:pt>
                <c:pt idx="165">
                  <c:v>39.212722778320313</c:v>
                </c:pt>
                <c:pt idx="166">
                  <c:v>39.820667266845703</c:v>
                </c:pt>
                <c:pt idx="167">
                  <c:v>39.240352630615234</c:v>
                </c:pt>
                <c:pt idx="168">
                  <c:v>39.590385437011719</c:v>
                </c:pt>
                <c:pt idx="169">
                  <c:v>39.194297790527344</c:v>
                </c:pt>
                <c:pt idx="170">
                  <c:v>38.835056304931641</c:v>
                </c:pt>
                <c:pt idx="171">
                  <c:v>38.917953491210938</c:v>
                </c:pt>
                <c:pt idx="172">
                  <c:v>38.669246673583984</c:v>
                </c:pt>
                <c:pt idx="173">
                  <c:v>37.287548065185547</c:v>
                </c:pt>
                <c:pt idx="174">
                  <c:v>36.965156555175781</c:v>
                </c:pt>
                <c:pt idx="175">
                  <c:v>35.482120513916016</c:v>
                </c:pt>
                <c:pt idx="176">
                  <c:v>36.900676727294922</c:v>
                </c:pt>
                <c:pt idx="177">
                  <c:v>36.983577728271484</c:v>
                </c:pt>
                <c:pt idx="178">
                  <c:v>36.836193084716797</c:v>
                </c:pt>
                <c:pt idx="179">
                  <c:v>36.430892944335938</c:v>
                </c:pt>
                <c:pt idx="180">
                  <c:v>36.375629425048828</c:v>
                </c:pt>
                <c:pt idx="181">
                  <c:v>36.569065093994141</c:v>
                </c:pt>
                <c:pt idx="182">
                  <c:v>36.532218933105469</c:v>
                </c:pt>
                <c:pt idx="183">
                  <c:v>36.108489990234375</c:v>
                </c:pt>
                <c:pt idx="184">
                  <c:v>36.071651458740234</c:v>
                </c:pt>
                <c:pt idx="185">
                  <c:v>36.025596618652344</c:v>
                </c:pt>
                <c:pt idx="186">
                  <c:v>35.915058135986328</c:v>
                </c:pt>
                <c:pt idx="187">
                  <c:v>35.795310974121094</c:v>
                </c:pt>
                <c:pt idx="188">
                  <c:v>35.307106018066406</c:v>
                </c:pt>
                <c:pt idx="189">
                  <c:v>35.334739685058594</c:v>
                </c:pt>
                <c:pt idx="190">
                  <c:v>34.174114227294922</c:v>
                </c:pt>
                <c:pt idx="191">
                  <c:v>35.03076171875</c:v>
                </c:pt>
                <c:pt idx="192">
                  <c:v>35.795310974121094</c:v>
                </c:pt>
                <c:pt idx="193">
                  <c:v>35.122882843017578</c:v>
                </c:pt>
                <c:pt idx="194">
                  <c:v>36.200611114501953</c:v>
                </c:pt>
                <c:pt idx="195">
                  <c:v>36.569065093994141</c:v>
                </c:pt>
                <c:pt idx="196">
                  <c:v>37.388874053955078</c:v>
                </c:pt>
                <c:pt idx="197">
                  <c:v>37.573101043701172</c:v>
                </c:pt>
                <c:pt idx="198">
                  <c:v>37.41650390625</c:v>
                </c:pt>
                <c:pt idx="199">
                  <c:v>38.208683013916016</c:v>
                </c:pt>
                <c:pt idx="200">
                  <c:v>38.512660980224609</c:v>
                </c:pt>
                <c:pt idx="201">
                  <c:v>39.028491973876953</c:v>
                </c:pt>
                <c:pt idx="202">
                  <c:v>39.378524780273438</c:v>
                </c:pt>
                <c:pt idx="203">
                  <c:v>39.80224609375</c:v>
                </c:pt>
                <c:pt idx="204">
                  <c:v>39.636440277099609</c:v>
                </c:pt>
                <c:pt idx="205">
                  <c:v>40.447040557861328</c:v>
                </c:pt>
                <c:pt idx="206">
                  <c:v>40.179908752441406</c:v>
                </c:pt>
                <c:pt idx="207">
                  <c:v>40.143074035644531</c:v>
                </c:pt>
                <c:pt idx="208">
                  <c:v>39.535118103027344</c:v>
                </c:pt>
                <c:pt idx="209">
                  <c:v>38.807418823242188</c:v>
                </c:pt>
                <c:pt idx="210">
                  <c:v>39.175872802734375</c:v>
                </c:pt>
                <c:pt idx="211">
                  <c:v>39.848300933837891</c:v>
                </c:pt>
                <c:pt idx="212">
                  <c:v>39.719345092773438</c:v>
                </c:pt>
                <c:pt idx="213">
                  <c:v>39.341678619384766</c:v>
                </c:pt>
                <c:pt idx="214">
                  <c:v>40.732593536376953</c:v>
                </c:pt>
                <c:pt idx="215">
                  <c:v>39.507484436035156</c:v>
                </c:pt>
                <c:pt idx="216">
                  <c:v>39.516700744628906</c:v>
                </c:pt>
                <c:pt idx="217">
                  <c:v>39.654865264892578</c:v>
                </c:pt>
                <c:pt idx="218">
                  <c:v>39.221931457519531</c:v>
                </c:pt>
                <c:pt idx="219">
                  <c:v>39.092971801757813</c:v>
                </c:pt>
                <c:pt idx="220">
                  <c:v>38.816627502441406</c:v>
                </c:pt>
                <c:pt idx="221">
                  <c:v>38.770572662353516</c:v>
                </c:pt>
                <c:pt idx="222">
                  <c:v>38.613983154296875</c:v>
                </c:pt>
                <c:pt idx="223">
                  <c:v>38.319217681884766</c:v>
                </c:pt>
                <c:pt idx="224">
                  <c:v>38.567924499511719</c:v>
                </c:pt>
                <c:pt idx="225">
                  <c:v>38.577136993408203</c:v>
                </c:pt>
                <c:pt idx="226">
                  <c:v>38.392910003662109</c:v>
                </c:pt>
                <c:pt idx="227">
                  <c:v>37.803386688232422</c:v>
                </c:pt>
                <c:pt idx="228">
                  <c:v>38.503444671630859</c:v>
                </c:pt>
                <c:pt idx="229">
                  <c:v>38.899532318115234</c:v>
                </c:pt>
                <c:pt idx="230">
                  <c:v>39.258777618408203</c:v>
                </c:pt>
                <c:pt idx="231">
                  <c:v>38.724521636962891</c:v>
                </c:pt>
                <c:pt idx="232">
                  <c:v>38.383697509765625</c:v>
                </c:pt>
                <c:pt idx="233">
                  <c:v>37.711273193359375</c:v>
                </c:pt>
                <c:pt idx="234">
                  <c:v>38.024456024169922</c:v>
                </c:pt>
                <c:pt idx="235">
                  <c:v>38.531078338623047</c:v>
                </c:pt>
                <c:pt idx="236">
                  <c:v>37.342819213867188</c:v>
                </c:pt>
                <c:pt idx="237">
                  <c:v>37.8770751953125</c:v>
                </c:pt>
                <c:pt idx="238">
                  <c:v>37.959976196289063</c:v>
                </c:pt>
                <c:pt idx="239">
                  <c:v>37.702060699462891</c:v>
                </c:pt>
                <c:pt idx="240">
                  <c:v>37.794174194335938</c:v>
                </c:pt>
                <c:pt idx="241">
                  <c:v>37.858650207519531</c:v>
                </c:pt>
                <c:pt idx="242">
                  <c:v>37.444145202636719</c:v>
                </c:pt>
                <c:pt idx="243">
                  <c:v>37.315181732177734</c:v>
                </c:pt>
                <c:pt idx="244">
                  <c:v>37.305973052978516</c:v>
                </c:pt>
                <c:pt idx="245">
                  <c:v>37.570415496826172</c:v>
                </c:pt>
                <c:pt idx="246">
                  <c:v>36.843185424804688</c:v>
                </c:pt>
                <c:pt idx="247">
                  <c:v>37.30596923828125</c:v>
                </c:pt>
                <c:pt idx="248">
                  <c:v>37.683753967285156</c:v>
                </c:pt>
                <c:pt idx="249">
                  <c:v>37.806533813476563</c:v>
                </c:pt>
                <c:pt idx="250">
                  <c:v>38.524318695068359</c:v>
                </c:pt>
                <c:pt idx="251">
                  <c:v>37.797088623046875</c:v>
                </c:pt>
                <c:pt idx="252">
                  <c:v>38.25042724609375</c:v>
                </c:pt>
                <c:pt idx="253">
                  <c:v>38.958766937255859</c:v>
                </c:pt>
                <c:pt idx="254">
                  <c:v>40.186557769775391</c:v>
                </c:pt>
                <c:pt idx="255">
                  <c:v>40.838233947753906</c:v>
                </c:pt>
                <c:pt idx="256">
                  <c:v>40.885456085205078</c:v>
                </c:pt>
                <c:pt idx="257">
                  <c:v>41.414348602294922</c:v>
                </c:pt>
                <c:pt idx="258">
                  <c:v>41.140460968017578</c:v>
                </c:pt>
                <c:pt idx="259">
                  <c:v>41.263236999511719</c:v>
                </c:pt>
                <c:pt idx="260">
                  <c:v>41.744911193847656</c:v>
                </c:pt>
                <c:pt idx="261">
                  <c:v>41.319904327392578</c:v>
                </c:pt>
                <c:pt idx="262">
                  <c:v>41.801578521728516</c:v>
                </c:pt>
                <c:pt idx="263">
                  <c:v>42.755481719970703</c:v>
                </c:pt>
                <c:pt idx="264">
                  <c:v>42.736583709716797</c:v>
                </c:pt>
                <c:pt idx="265">
                  <c:v>42.254913330078125</c:v>
                </c:pt>
                <c:pt idx="266">
                  <c:v>42.028247833251953</c:v>
                </c:pt>
                <c:pt idx="267">
                  <c:v>42.151027679443359</c:v>
                </c:pt>
                <c:pt idx="268">
                  <c:v>42.321029663085938</c:v>
                </c:pt>
                <c:pt idx="269">
                  <c:v>42.387138366699219</c:v>
                </c:pt>
                <c:pt idx="270">
                  <c:v>41.574905395507813</c:v>
                </c:pt>
                <c:pt idx="271">
                  <c:v>41.716575622558594</c:v>
                </c:pt>
                <c:pt idx="272">
                  <c:v>41.376571655273438</c:v>
                </c:pt>
                <c:pt idx="273">
                  <c:v>41.404903411865234</c:v>
                </c:pt>
                <c:pt idx="274">
                  <c:v>41.008232116699219</c:v>
                </c:pt>
                <c:pt idx="275">
                  <c:v>41.499351501464844</c:v>
                </c:pt>
                <c:pt idx="276">
                  <c:v>41.395462036132813</c:v>
                </c:pt>
                <c:pt idx="277">
                  <c:v>41.225460052490234</c:v>
                </c:pt>
                <c:pt idx="278">
                  <c:v>41.234905242919922</c:v>
                </c:pt>
                <c:pt idx="279">
                  <c:v>41.452125549316406</c:v>
                </c:pt>
                <c:pt idx="280">
                  <c:v>41.338794708251953</c:v>
                </c:pt>
                <c:pt idx="281">
                  <c:v>40.970455169677734</c:v>
                </c:pt>
                <c:pt idx="282">
                  <c:v>41.376571655273438</c:v>
                </c:pt>
                <c:pt idx="283">
                  <c:v>41.216011047363281</c:v>
                </c:pt>
                <c:pt idx="284">
                  <c:v>42.679920196533203</c:v>
                </c:pt>
                <c:pt idx="285">
                  <c:v>41.896022796630859</c:v>
                </c:pt>
                <c:pt idx="286">
                  <c:v>42.623256683349609</c:v>
                </c:pt>
                <c:pt idx="287">
                  <c:v>42.141578674316406</c:v>
                </c:pt>
                <c:pt idx="288">
                  <c:v>41.782688140869141</c:v>
                </c:pt>
                <c:pt idx="289">
                  <c:v>41.197124481201172</c:v>
                </c:pt>
                <c:pt idx="290">
                  <c:v>42.632698059082031</c:v>
                </c:pt>
                <c:pt idx="291">
                  <c:v>42.377689361572266</c:v>
                </c:pt>
                <c:pt idx="292">
                  <c:v>42.349361419677734</c:v>
                </c:pt>
                <c:pt idx="293">
                  <c:v>41.310462951660156</c:v>
                </c:pt>
                <c:pt idx="294">
                  <c:v>41.952690124511719</c:v>
                </c:pt>
                <c:pt idx="295">
                  <c:v>42.302139282226563</c:v>
                </c:pt>
                <c:pt idx="296">
                  <c:v>42.302139282226563</c:v>
                </c:pt>
                <c:pt idx="297">
                  <c:v>42.821590423583984</c:v>
                </c:pt>
                <c:pt idx="298">
                  <c:v>43.133255004882813</c:v>
                </c:pt>
                <c:pt idx="299">
                  <c:v>42.557140350341797</c:v>
                </c:pt>
                <c:pt idx="300">
                  <c:v>44.143825531005859</c:v>
                </c:pt>
                <c:pt idx="301">
                  <c:v>43.331592559814453</c:v>
                </c:pt>
                <c:pt idx="302">
                  <c:v>45.059947967529297</c:v>
                </c:pt>
                <c:pt idx="303">
                  <c:v>45.6455078125</c:v>
                </c:pt>
                <c:pt idx="304">
                  <c:v>46.042179107666016</c:v>
                </c:pt>
                <c:pt idx="305">
                  <c:v>45.711624145507813</c:v>
                </c:pt>
                <c:pt idx="306">
                  <c:v>46.278293609619141</c:v>
                </c:pt>
                <c:pt idx="307">
                  <c:v>46.693851470947266</c:v>
                </c:pt>
                <c:pt idx="308">
                  <c:v>46.429405212402344</c:v>
                </c:pt>
                <c:pt idx="309">
                  <c:v>46.929962158203125</c:v>
                </c:pt>
                <c:pt idx="310">
                  <c:v>46.231071472167969</c:v>
                </c:pt>
                <c:pt idx="311">
                  <c:v>46.174404144287109</c:v>
                </c:pt>
                <c:pt idx="312">
                  <c:v>46.873294830322266</c:v>
                </c:pt>
                <c:pt idx="313">
                  <c:v>48.573318481445313</c:v>
                </c:pt>
                <c:pt idx="314">
                  <c:v>48.157760620117188</c:v>
                </c:pt>
                <c:pt idx="315">
                  <c:v>47.043300628662109</c:v>
                </c:pt>
                <c:pt idx="316">
                  <c:v>47.052742004394531</c:v>
                </c:pt>
                <c:pt idx="317">
                  <c:v>47.156635284423828</c:v>
                </c:pt>
                <c:pt idx="318">
                  <c:v>46.561630249023438</c:v>
                </c:pt>
                <c:pt idx="319">
                  <c:v>46.306625366210938</c:v>
                </c:pt>
                <c:pt idx="320">
                  <c:v>46.920520782470703</c:v>
                </c:pt>
                <c:pt idx="321">
                  <c:v>46.939411163330078</c:v>
                </c:pt>
                <c:pt idx="322">
                  <c:v>47.052742004394531</c:v>
                </c:pt>
                <c:pt idx="323">
                  <c:v>47.997200012207031</c:v>
                </c:pt>
                <c:pt idx="324">
                  <c:v>47.836643218994141</c:v>
                </c:pt>
                <c:pt idx="325">
                  <c:v>47.572193145751953</c:v>
                </c:pt>
                <c:pt idx="326">
                  <c:v>46.665523529052734</c:v>
                </c:pt>
                <c:pt idx="327">
                  <c:v>47.194416046142578</c:v>
                </c:pt>
                <c:pt idx="328">
                  <c:v>46.703300476074219</c:v>
                </c:pt>
                <c:pt idx="329">
                  <c:v>47.005519866943359</c:v>
                </c:pt>
                <c:pt idx="330">
                  <c:v>47.298305511474609</c:v>
                </c:pt>
                <c:pt idx="331">
                  <c:v>47.515525817871094</c:v>
                </c:pt>
                <c:pt idx="332">
                  <c:v>48.488319396972656</c:v>
                </c:pt>
                <c:pt idx="333">
                  <c:v>52.228355407714844</c:v>
                </c:pt>
                <c:pt idx="334">
                  <c:v>52.889480590820313</c:v>
                </c:pt>
                <c:pt idx="335">
                  <c:v>53.106704711914063</c:v>
                </c:pt>
                <c:pt idx="336">
                  <c:v>54.693382263183594</c:v>
                </c:pt>
                <c:pt idx="337">
                  <c:v>54.665050506591797</c:v>
                </c:pt>
                <c:pt idx="338">
                  <c:v>55.042835235595703</c:v>
                </c:pt>
                <c:pt idx="339">
                  <c:v>55.071170806884766</c:v>
                </c:pt>
                <c:pt idx="340">
                  <c:v>53.475040435791016</c:v>
                </c:pt>
                <c:pt idx="341">
                  <c:v>53.182258605957031</c:v>
                </c:pt>
                <c:pt idx="342">
                  <c:v>52.247245788574219</c:v>
                </c:pt>
                <c:pt idx="343">
                  <c:v>54.617828369140625</c:v>
                </c:pt>
                <c:pt idx="344">
                  <c:v>54.816165924072266</c:v>
                </c:pt>
                <c:pt idx="345">
                  <c:v>54.117271423339844</c:v>
                </c:pt>
                <c:pt idx="346">
                  <c:v>54.107830047607422</c:v>
                </c:pt>
                <c:pt idx="347">
                  <c:v>54.759498596191406</c:v>
                </c:pt>
                <c:pt idx="348">
                  <c:v>56.043956756591797</c:v>
                </c:pt>
                <c:pt idx="349">
                  <c:v>55.061725616455078</c:v>
                </c:pt>
                <c:pt idx="350">
                  <c:v>55.486728668212891</c:v>
                </c:pt>
                <c:pt idx="351">
                  <c:v>54.391159057617188</c:v>
                </c:pt>
                <c:pt idx="352">
                  <c:v>52.455028533935547</c:v>
                </c:pt>
                <c:pt idx="353">
                  <c:v>53.711154937744141</c:v>
                </c:pt>
                <c:pt idx="354">
                  <c:v>53.994491577148438</c:v>
                </c:pt>
                <c:pt idx="355">
                  <c:v>54.665050506591797</c:v>
                </c:pt>
                <c:pt idx="356">
                  <c:v>56.317848205566406</c:v>
                </c:pt>
                <c:pt idx="357">
                  <c:v>54.428939819335938</c:v>
                </c:pt>
                <c:pt idx="358">
                  <c:v>54.665050506591797</c:v>
                </c:pt>
                <c:pt idx="359">
                  <c:v>54.438381195068359</c:v>
                </c:pt>
                <c:pt idx="360">
                  <c:v>53.371150970458984</c:v>
                </c:pt>
                <c:pt idx="361">
                  <c:v>53.475040435791016</c:v>
                </c:pt>
                <c:pt idx="362">
                  <c:v>54.249488830566406</c:v>
                </c:pt>
                <c:pt idx="363">
                  <c:v>54.315601348876953</c:v>
                </c:pt>
                <c:pt idx="364">
                  <c:v>53.153926849365234</c:v>
                </c:pt>
                <c:pt idx="365">
                  <c:v>57.555084228515625</c:v>
                </c:pt>
                <c:pt idx="366">
                  <c:v>59.368438720703125</c:v>
                </c:pt>
                <c:pt idx="367">
                  <c:v>58.537315368652344</c:v>
                </c:pt>
                <c:pt idx="368">
                  <c:v>59.415664672851563</c:v>
                </c:pt>
                <c:pt idx="369">
                  <c:v>59.878444671630859</c:v>
                </c:pt>
                <c:pt idx="370">
                  <c:v>57.810089111328125</c:v>
                </c:pt>
                <c:pt idx="371">
                  <c:v>59.330661773681641</c:v>
                </c:pt>
                <c:pt idx="372">
                  <c:v>58.159538269042969</c:v>
                </c:pt>
                <c:pt idx="373">
                  <c:v>56.346183776855469</c:v>
                </c:pt>
                <c:pt idx="374">
                  <c:v>56.516181945800781</c:v>
                </c:pt>
                <c:pt idx="375">
                  <c:v>57.564529418945313</c:v>
                </c:pt>
                <c:pt idx="376">
                  <c:v>57.148971557617188</c:v>
                </c:pt>
                <c:pt idx="377">
                  <c:v>57.111190795898438</c:v>
                </c:pt>
                <c:pt idx="378">
                  <c:v>54.929500579833984</c:v>
                </c:pt>
                <c:pt idx="379">
                  <c:v>53.267265319824219</c:v>
                </c:pt>
                <c:pt idx="380">
                  <c:v>52.558917999267578</c:v>
                </c:pt>
                <c:pt idx="381">
                  <c:v>53.286148071289063</c:v>
                </c:pt>
                <c:pt idx="382">
                  <c:v>51.992240905761719</c:v>
                </c:pt>
                <c:pt idx="383">
                  <c:v>51.406681060791016</c:v>
                </c:pt>
                <c:pt idx="384">
                  <c:v>49.876670837402344</c:v>
                </c:pt>
                <c:pt idx="385">
                  <c:v>53.097259521484375</c:v>
                </c:pt>
                <c:pt idx="386">
                  <c:v>53.021701812744141</c:v>
                </c:pt>
                <c:pt idx="387">
                  <c:v>53.182258605957031</c:v>
                </c:pt>
                <c:pt idx="388">
                  <c:v>53.673377990722656</c:v>
                </c:pt>
                <c:pt idx="389">
                  <c:v>53.087810516357422</c:v>
                </c:pt>
                <c:pt idx="390">
                  <c:v>54.391159057617188</c:v>
                </c:pt>
                <c:pt idx="391">
                  <c:v>51.746685028076172</c:v>
                </c:pt>
                <c:pt idx="392">
                  <c:v>53.153926849365234</c:v>
                </c:pt>
                <c:pt idx="393">
                  <c:v>55.156169891357422</c:v>
                </c:pt>
                <c:pt idx="394">
                  <c:v>53.673377990722656</c:v>
                </c:pt>
                <c:pt idx="395">
                  <c:v>55.515056610107422</c:v>
                </c:pt>
                <c:pt idx="396">
                  <c:v>56.176181793212891</c:v>
                </c:pt>
                <c:pt idx="397">
                  <c:v>55.014499664306641</c:v>
                </c:pt>
                <c:pt idx="398">
                  <c:v>58.055644989013672</c:v>
                </c:pt>
                <c:pt idx="399">
                  <c:v>59.387325286865234</c:v>
                </c:pt>
                <c:pt idx="400">
                  <c:v>57.753421783447266</c:v>
                </c:pt>
                <c:pt idx="401">
                  <c:v>59.179546356201172</c:v>
                </c:pt>
                <c:pt idx="402">
                  <c:v>58.678985595703125</c:v>
                </c:pt>
                <c:pt idx="403">
                  <c:v>59.321216583251953</c:v>
                </c:pt>
                <c:pt idx="404">
                  <c:v>59.349544525146484</c:v>
                </c:pt>
                <c:pt idx="405">
                  <c:v>58.811210632324219</c:v>
                </c:pt>
                <c:pt idx="406">
                  <c:v>58.678985595703125</c:v>
                </c:pt>
                <c:pt idx="407">
                  <c:v>59.443996429443359</c:v>
                </c:pt>
                <c:pt idx="408">
                  <c:v>59.472328186035156</c:v>
                </c:pt>
                <c:pt idx="409">
                  <c:v>59.000099182128906</c:v>
                </c:pt>
                <c:pt idx="410">
                  <c:v>59.415664672851563</c:v>
                </c:pt>
                <c:pt idx="411">
                  <c:v>57.602306365966797</c:v>
                </c:pt>
                <c:pt idx="412">
                  <c:v>60.152336120605469</c:v>
                </c:pt>
                <c:pt idx="413">
                  <c:v>60.898460388183594</c:v>
                </c:pt>
                <c:pt idx="414">
                  <c:v>59.812335968017578</c:v>
                </c:pt>
                <c:pt idx="415">
                  <c:v>61.399021148681641</c:v>
                </c:pt>
                <c:pt idx="416">
                  <c:v>63.316265106201172</c:v>
                </c:pt>
                <c:pt idx="417">
                  <c:v>62.277362823486328</c:v>
                </c:pt>
                <c:pt idx="418">
                  <c:v>62.740139007568359</c:v>
                </c:pt>
                <c:pt idx="419">
                  <c:v>62.844032287597656</c:v>
                </c:pt>
                <c:pt idx="420">
                  <c:v>59.774555206298828</c:v>
                </c:pt>
                <c:pt idx="421">
                  <c:v>60.03900146484375</c:v>
                </c:pt>
                <c:pt idx="422">
                  <c:v>60.388450622558594</c:v>
                </c:pt>
                <c:pt idx="423">
                  <c:v>59.717887878417969</c:v>
                </c:pt>
                <c:pt idx="424">
                  <c:v>59.396770477294922</c:v>
                </c:pt>
                <c:pt idx="425">
                  <c:v>59.510105133056641</c:v>
                </c:pt>
                <c:pt idx="426">
                  <c:v>58.924545288085938</c:v>
                </c:pt>
                <c:pt idx="427">
                  <c:v>57.17730712890625</c:v>
                </c:pt>
                <c:pt idx="428">
                  <c:v>58.112312316894531</c:v>
                </c:pt>
                <c:pt idx="429">
                  <c:v>61.002342224121094</c:v>
                </c:pt>
                <c:pt idx="430">
                  <c:v>61.484012603759766</c:v>
                </c:pt>
                <c:pt idx="431">
                  <c:v>59.698993682861328</c:v>
                </c:pt>
                <c:pt idx="432">
                  <c:v>57.526752471923828</c:v>
                </c:pt>
                <c:pt idx="433">
                  <c:v>58.565647125244141</c:v>
                </c:pt>
                <c:pt idx="434">
                  <c:v>59.878444671630859</c:v>
                </c:pt>
                <c:pt idx="435">
                  <c:v>60.482894897460938</c:v>
                </c:pt>
                <c:pt idx="436">
                  <c:v>59.916221618652344</c:v>
                </c:pt>
                <c:pt idx="437">
                  <c:v>61.040122985839844</c:v>
                </c:pt>
                <c:pt idx="438">
                  <c:v>59.406219482421875</c:v>
                </c:pt>
                <c:pt idx="439">
                  <c:v>59.566776275634766</c:v>
                </c:pt>
                <c:pt idx="440">
                  <c:v>59.708438873291016</c:v>
                </c:pt>
                <c:pt idx="441">
                  <c:v>60.209003448486328</c:v>
                </c:pt>
                <c:pt idx="442">
                  <c:v>61.210124969482422</c:v>
                </c:pt>
                <c:pt idx="443">
                  <c:v>61.096794128417969</c:v>
                </c:pt>
                <c:pt idx="444">
                  <c:v>61.852348327636719</c:v>
                </c:pt>
                <c:pt idx="445">
                  <c:v>59.179546356201172</c:v>
                </c:pt>
                <c:pt idx="446">
                  <c:v>58.896209716796875</c:v>
                </c:pt>
                <c:pt idx="447">
                  <c:v>60.775672912597656</c:v>
                </c:pt>
                <c:pt idx="448">
                  <c:v>59.566776275634766</c:v>
                </c:pt>
                <c:pt idx="449">
                  <c:v>58.867874145507813</c:v>
                </c:pt>
                <c:pt idx="450">
                  <c:v>58.461765289306641</c:v>
                </c:pt>
                <c:pt idx="451">
                  <c:v>55.921176910400391</c:v>
                </c:pt>
                <c:pt idx="452">
                  <c:v>54.249488830566406</c:v>
                </c:pt>
                <c:pt idx="453">
                  <c:v>50.245006561279297</c:v>
                </c:pt>
                <c:pt idx="454">
                  <c:v>51.198902130126953</c:v>
                </c:pt>
                <c:pt idx="455">
                  <c:v>53.323928833007813</c:v>
                </c:pt>
                <c:pt idx="456">
                  <c:v>53.928379058837891</c:v>
                </c:pt>
                <c:pt idx="457">
                  <c:v>53.503379821777344</c:v>
                </c:pt>
                <c:pt idx="458">
                  <c:v>52.133914947509766</c:v>
                </c:pt>
                <c:pt idx="459">
                  <c:v>53.144485473632813</c:v>
                </c:pt>
                <c:pt idx="460">
                  <c:v>55.618949890136719</c:v>
                </c:pt>
                <c:pt idx="461">
                  <c:v>55.458396911621094</c:v>
                </c:pt>
                <c:pt idx="462">
                  <c:v>54.759498596191406</c:v>
                </c:pt>
                <c:pt idx="463">
                  <c:v>55.996734619140625</c:v>
                </c:pt>
                <c:pt idx="464">
                  <c:v>54.296714782714844</c:v>
                </c:pt>
                <c:pt idx="465">
                  <c:v>54.523380279541016</c:v>
                </c:pt>
                <c:pt idx="466">
                  <c:v>55.042835235595703</c:v>
                </c:pt>
                <c:pt idx="467">
                  <c:v>55.930622100830078</c:v>
                </c:pt>
                <c:pt idx="468">
                  <c:v>57.233970642089844</c:v>
                </c:pt>
                <c:pt idx="469">
                  <c:v>56.780628204345703</c:v>
                </c:pt>
                <c:pt idx="470">
                  <c:v>56.723968505859375</c:v>
                </c:pt>
                <c:pt idx="471">
                  <c:v>59.481769561767578</c:v>
                </c:pt>
                <c:pt idx="472">
                  <c:v>60.747344970703125</c:v>
                </c:pt>
                <c:pt idx="473">
                  <c:v>59.028434753417969</c:v>
                </c:pt>
                <c:pt idx="474">
                  <c:v>56.204517364501953</c:v>
                </c:pt>
                <c:pt idx="475">
                  <c:v>56.195072174072266</c:v>
                </c:pt>
                <c:pt idx="476">
                  <c:v>55.930622100830078</c:v>
                </c:pt>
                <c:pt idx="477">
                  <c:v>55.165611267089844</c:v>
                </c:pt>
                <c:pt idx="478">
                  <c:v>53.503379821777344</c:v>
                </c:pt>
                <c:pt idx="479">
                  <c:v>54.570606231689453</c:v>
                </c:pt>
                <c:pt idx="480">
                  <c:v>54.570606231689453</c:v>
                </c:pt>
                <c:pt idx="481">
                  <c:v>56.298957824707031</c:v>
                </c:pt>
                <c:pt idx="482">
                  <c:v>54.410049438476563</c:v>
                </c:pt>
                <c:pt idx="483">
                  <c:v>52.738361358642578</c:v>
                </c:pt>
                <c:pt idx="484">
                  <c:v>52.880035400390625</c:v>
                </c:pt>
                <c:pt idx="485">
                  <c:v>53.021701812744141</c:v>
                </c:pt>
                <c:pt idx="486">
                  <c:v>53.068923950195313</c:v>
                </c:pt>
                <c:pt idx="487">
                  <c:v>58.074535369873047</c:v>
                </c:pt>
                <c:pt idx="488">
                  <c:v>59.13232421875</c:v>
                </c:pt>
                <c:pt idx="489">
                  <c:v>59.406219482421875</c:v>
                </c:pt>
                <c:pt idx="490">
                  <c:v>63.363479614257813</c:v>
                </c:pt>
                <c:pt idx="491">
                  <c:v>58.603427886962891</c:v>
                </c:pt>
                <c:pt idx="492">
                  <c:v>55.996734619140625</c:v>
                </c:pt>
                <c:pt idx="493">
                  <c:v>57.337860107421875</c:v>
                </c:pt>
                <c:pt idx="494">
                  <c:v>57.857311248779297</c:v>
                </c:pt>
                <c:pt idx="495">
                  <c:v>56.978969573974609</c:v>
                </c:pt>
                <c:pt idx="496">
                  <c:v>56.92230224609375</c:v>
                </c:pt>
                <c:pt idx="497">
                  <c:v>54.901165008544922</c:v>
                </c:pt>
                <c:pt idx="498">
                  <c:v>56.072292327880859</c:v>
                </c:pt>
                <c:pt idx="499">
                  <c:v>54.693382263183594</c:v>
                </c:pt>
                <c:pt idx="500">
                  <c:v>55.184501647949219</c:v>
                </c:pt>
                <c:pt idx="501">
                  <c:v>56.321048736572266</c:v>
                </c:pt>
                <c:pt idx="502">
                  <c:v>54.601905822753906</c:v>
                </c:pt>
                <c:pt idx="503">
                  <c:v>53.923801422119141</c:v>
                </c:pt>
                <c:pt idx="504">
                  <c:v>55.174949645996094</c:v>
                </c:pt>
                <c:pt idx="505">
                  <c:v>55.891262054443359</c:v>
                </c:pt>
                <c:pt idx="506">
                  <c:v>55.490127563476563</c:v>
                </c:pt>
                <c:pt idx="507">
                  <c:v>56.865447998046875</c:v>
                </c:pt>
                <c:pt idx="508">
                  <c:v>58.412673950195313</c:v>
                </c:pt>
                <c:pt idx="509">
                  <c:v>58.680091857910156</c:v>
                </c:pt>
                <c:pt idx="510">
                  <c:v>58.345821380615234</c:v>
                </c:pt>
                <c:pt idx="511">
                  <c:v>61.812755584716797</c:v>
                </c:pt>
                <c:pt idx="512">
                  <c:v>61.755455017089844</c:v>
                </c:pt>
                <c:pt idx="513">
                  <c:v>59.673377990722656</c:v>
                </c:pt>
                <c:pt idx="514">
                  <c:v>59.386852264404297</c:v>
                </c:pt>
                <c:pt idx="515">
                  <c:v>60.590251922607422</c:v>
                </c:pt>
                <c:pt idx="516">
                  <c:v>60.71441650390625</c:v>
                </c:pt>
                <c:pt idx="517">
                  <c:v>60.380134582519531</c:v>
                </c:pt>
                <c:pt idx="518">
                  <c:v>61.621738433837891</c:v>
                </c:pt>
                <c:pt idx="519">
                  <c:v>58.641891479492188</c:v>
                </c:pt>
                <c:pt idx="520">
                  <c:v>59.491912841796875</c:v>
                </c:pt>
                <c:pt idx="521">
                  <c:v>57.992439270019531</c:v>
                </c:pt>
                <c:pt idx="522">
                  <c:v>59.787986755371094</c:v>
                </c:pt>
                <c:pt idx="523">
                  <c:v>59.816638946533203</c:v>
                </c:pt>
                <c:pt idx="524">
                  <c:v>59.7020263671875</c:v>
                </c:pt>
                <c:pt idx="525">
                  <c:v>61.23016357421875</c:v>
                </c:pt>
                <c:pt idx="526">
                  <c:v>58.928417205810547</c:v>
                </c:pt>
                <c:pt idx="527">
                  <c:v>60.638008117675781</c:v>
                </c:pt>
                <c:pt idx="528">
                  <c:v>60.628459930419922</c:v>
                </c:pt>
                <c:pt idx="529">
                  <c:v>60.943637847900391</c:v>
                </c:pt>
                <c:pt idx="530">
                  <c:v>62.997055053710938</c:v>
                </c:pt>
                <c:pt idx="531">
                  <c:v>63.035255432128906</c:v>
                </c:pt>
                <c:pt idx="532">
                  <c:v>62.891990661621094</c:v>
                </c:pt>
                <c:pt idx="533">
                  <c:v>62.433559417724609</c:v>
                </c:pt>
                <c:pt idx="534">
                  <c:v>62.853786468505859</c:v>
                </c:pt>
                <c:pt idx="535">
                  <c:v>66.444892883300781</c:v>
                </c:pt>
                <c:pt idx="536">
                  <c:v>64.162254333496094</c:v>
                </c:pt>
                <c:pt idx="537">
                  <c:v>66.769622802734375</c:v>
                </c:pt>
                <c:pt idx="538">
                  <c:v>66.549957275390625</c:v>
                </c:pt>
                <c:pt idx="539">
                  <c:v>67.428619384765625</c:v>
                </c:pt>
                <c:pt idx="540">
                  <c:v>67.581443786621094</c:v>
                </c:pt>
                <c:pt idx="541">
                  <c:v>65.222396850585938</c:v>
                </c:pt>
                <c:pt idx="542">
                  <c:v>65.948257446289063</c:v>
                </c:pt>
                <c:pt idx="543">
                  <c:v>66.960639953613281</c:v>
                </c:pt>
                <c:pt idx="544">
                  <c:v>69.338783264160156</c:v>
                </c:pt>
                <c:pt idx="545">
                  <c:v>68.288192749023438</c:v>
                </c:pt>
                <c:pt idx="546">
                  <c:v>68.832595825195313</c:v>
                </c:pt>
                <c:pt idx="547">
                  <c:v>69.157318115234375</c:v>
                </c:pt>
                <c:pt idx="548">
                  <c:v>69.720817565917969</c:v>
                </c:pt>
                <c:pt idx="549">
                  <c:v>71.096138000488281</c:v>
                </c:pt>
                <c:pt idx="550">
                  <c:v>70.905120849609375</c:v>
                </c:pt>
                <c:pt idx="551">
                  <c:v>70.742744445800781</c:v>
                </c:pt>
                <c:pt idx="552">
                  <c:v>69.787673950195313</c:v>
                </c:pt>
                <c:pt idx="553">
                  <c:v>71.707382202148438</c:v>
                </c:pt>
                <c:pt idx="554">
                  <c:v>68.803932189941406</c:v>
                </c:pt>
                <c:pt idx="555">
                  <c:v>67.953926086425781</c:v>
                </c:pt>
                <c:pt idx="556">
                  <c:v>69.042709350585938</c:v>
                </c:pt>
                <c:pt idx="557">
                  <c:v>68.364608764648438</c:v>
                </c:pt>
                <c:pt idx="558">
                  <c:v>67.667396545410156</c:v>
                </c:pt>
                <c:pt idx="559">
                  <c:v>67.008392333984375</c:v>
                </c:pt>
                <c:pt idx="560">
                  <c:v>69.844970703125</c:v>
                </c:pt>
                <c:pt idx="561">
                  <c:v>72.146720886230469</c:v>
                </c:pt>
                <c:pt idx="562">
                  <c:v>72.882133483886719</c:v>
                </c:pt>
                <c:pt idx="563">
                  <c:v>72.891677856445313</c:v>
                </c:pt>
                <c:pt idx="564">
                  <c:v>73.245063781738281</c:v>
                </c:pt>
                <c:pt idx="565">
                  <c:v>71.860191345214844</c:v>
                </c:pt>
                <c:pt idx="566">
                  <c:v>71.411300659179688</c:v>
                </c:pt>
                <c:pt idx="567">
                  <c:v>70.61859130859375</c:v>
                </c:pt>
                <c:pt idx="568">
                  <c:v>70.255661010742188</c:v>
                </c:pt>
                <c:pt idx="569">
                  <c:v>70.255661010742188</c:v>
                </c:pt>
                <c:pt idx="570">
                  <c:v>71.172538757324219</c:v>
                </c:pt>
                <c:pt idx="571">
                  <c:v>70.341621398925781</c:v>
                </c:pt>
                <c:pt idx="572">
                  <c:v>70.198356628417969</c:v>
                </c:pt>
                <c:pt idx="573">
                  <c:v>70.303413391113281</c:v>
                </c:pt>
                <c:pt idx="574">
                  <c:v>70.10284423828125</c:v>
                </c:pt>
                <c:pt idx="575">
                  <c:v>67.934822082519531</c:v>
                </c:pt>
                <c:pt idx="576">
                  <c:v>66.349388122558594</c:v>
                </c:pt>
                <c:pt idx="577">
                  <c:v>63.245372772216797</c:v>
                </c:pt>
                <c:pt idx="578">
                  <c:v>67.113449096679688</c:v>
                </c:pt>
                <c:pt idx="579">
                  <c:v>68.737083435058594</c:v>
                </c:pt>
                <c:pt idx="580">
                  <c:v>67.314018249511719</c:v>
                </c:pt>
                <c:pt idx="581">
                  <c:v>67.696044921875</c:v>
                </c:pt>
                <c:pt idx="582">
                  <c:v>68.70843505859375</c:v>
                </c:pt>
                <c:pt idx="583">
                  <c:v>68.880355834960938</c:v>
                </c:pt>
                <c:pt idx="584">
                  <c:v>69.749458312988281</c:v>
                </c:pt>
                <c:pt idx="585">
                  <c:v>70.389373779296875</c:v>
                </c:pt>
                <c:pt idx="586">
                  <c:v>69.749458312988281</c:v>
                </c:pt>
                <c:pt idx="587">
                  <c:v>69.38653564453125</c:v>
                </c:pt>
                <c:pt idx="588">
                  <c:v>70.150596618652344</c:v>
                </c:pt>
                <c:pt idx="589">
                  <c:v>69.6444091796875</c:v>
                </c:pt>
                <c:pt idx="590">
                  <c:v>69.692161560058594</c:v>
                </c:pt>
                <c:pt idx="591">
                  <c:v>70.284309387207031</c:v>
                </c:pt>
                <c:pt idx="592">
                  <c:v>71.802902221679688</c:v>
                </c:pt>
                <c:pt idx="593">
                  <c:v>69.138221740722656</c:v>
                </c:pt>
                <c:pt idx="594">
                  <c:v>68.288192749023438</c:v>
                </c:pt>
                <c:pt idx="595">
                  <c:v>70.207908630371094</c:v>
                </c:pt>
                <c:pt idx="596">
                  <c:v>70.198356628417969</c:v>
                </c:pt>
                <c:pt idx="597">
                  <c:v>69.472496032714844</c:v>
                </c:pt>
                <c:pt idx="598">
                  <c:v>67.590995788574219</c:v>
                </c:pt>
                <c:pt idx="599">
                  <c:v>68.507865905761719</c:v>
                </c:pt>
                <c:pt idx="600">
                  <c:v>68.460105895996094</c:v>
                </c:pt>
                <c:pt idx="601">
                  <c:v>69.014060974121094</c:v>
                </c:pt>
                <c:pt idx="602">
                  <c:v>67.848869323730469</c:v>
                </c:pt>
                <c:pt idx="603">
                  <c:v>69.615760803222656</c:v>
                </c:pt>
                <c:pt idx="604">
                  <c:v>67.247169494628906</c:v>
                </c:pt>
                <c:pt idx="605">
                  <c:v>68.765731811523438</c:v>
                </c:pt>
                <c:pt idx="606">
                  <c:v>67.99212646484375</c:v>
                </c:pt>
                <c:pt idx="607">
                  <c:v>67.495475769042969</c:v>
                </c:pt>
                <c:pt idx="608">
                  <c:v>66.912879943847656</c:v>
                </c:pt>
                <c:pt idx="609">
                  <c:v>69.720817565917969</c:v>
                </c:pt>
                <c:pt idx="610">
                  <c:v>68.698875427246094</c:v>
                </c:pt>
                <c:pt idx="611">
                  <c:v>66.893783569335938</c:v>
                </c:pt>
                <c:pt idx="612">
                  <c:v>67.333122253417969</c:v>
                </c:pt>
                <c:pt idx="613">
                  <c:v>68.574729919433594</c:v>
                </c:pt>
                <c:pt idx="614">
                  <c:v>70.074195861816406</c:v>
                </c:pt>
                <c:pt idx="615">
                  <c:v>71.841094970703125</c:v>
                </c:pt>
                <c:pt idx="616">
                  <c:v>71.248947143554688</c:v>
                </c:pt>
                <c:pt idx="617">
                  <c:v>71.439971923828125</c:v>
                </c:pt>
                <c:pt idx="618">
                  <c:v>72.996742248535156</c:v>
                </c:pt>
                <c:pt idx="619">
                  <c:v>73.359664916992188</c:v>
                </c:pt>
                <c:pt idx="620">
                  <c:v>78.221023559570313</c:v>
                </c:pt>
                <c:pt idx="621">
                  <c:v>75.995681762695313</c:v>
                </c:pt>
                <c:pt idx="622">
                  <c:v>77.428306579589844</c:v>
                </c:pt>
                <c:pt idx="623">
                  <c:v>76.654701232910156</c:v>
                </c:pt>
                <c:pt idx="624">
                  <c:v>77.896293640136719</c:v>
                </c:pt>
                <c:pt idx="625">
                  <c:v>77.905845642089844</c:v>
                </c:pt>
                <c:pt idx="626">
                  <c:v>79.156997680664063</c:v>
                </c:pt>
                <c:pt idx="627">
                  <c:v>79.739601135253906</c:v>
                </c:pt>
                <c:pt idx="628">
                  <c:v>81.878982543945313</c:v>
                </c:pt>
                <c:pt idx="629">
                  <c:v>81.726173400878906</c:v>
                </c:pt>
                <c:pt idx="630">
                  <c:v>82.0509033203125</c:v>
                </c:pt>
                <c:pt idx="631">
                  <c:v>81.544692993164063</c:v>
                </c:pt>
                <c:pt idx="632">
                  <c:v>83.569473266601563</c:v>
                </c:pt>
                <c:pt idx="633">
                  <c:v>81.7357177734375</c:v>
                </c:pt>
                <c:pt idx="634">
                  <c:v>83.082382202148438</c:v>
                </c:pt>
                <c:pt idx="635">
                  <c:v>84.102378845214844</c:v>
                </c:pt>
                <c:pt idx="636">
                  <c:v>83.226722717285156</c:v>
                </c:pt>
                <c:pt idx="637">
                  <c:v>80.551612854003906</c:v>
                </c:pt>
                <c:pt idx="638">
                  <c:v>78.9061279296875</c:v>
                </c:pt>
                <c:pt idx="639">
                  <c:v>78.781036376953125</c:v>
                </c:pt>
                <c:pt idx="640">
                  <c:v>79.146697998046875</c:v>
                </c:pt>
                <c:pt idx="641">
                  <c:v>79.954994201660156</c:v>
                </c:pt>
                <c:pt idx="642">
                  <c:v>80.426513671875</c:v>
                </c:pt>
                <c:pt idx="643">
                  <c:v>78.954246520996094</c:v>
                </c:pt>
                <c:pt idx="644">
                  <c:v>80.224441528320313</c:v>
                </c:pt>
                <c:pt idx="645">
                  <c:v>82.428031921386719</c:v>
                </c:pt>
                <c:pt idx="646">
                  <c:v>82.553138732910156</c:v>
                </c:pt>
                <c:pt idx="647">
                  <c:v>83.698234558105469</c:v>
                </c:pt>
                <c:pt idx="648">
                  <c:v>82.832191467285156</c:v>
                </c:pt>
                <c:pt idx="649">
                  <c:v>81.234825134277344</c:v>
                </c:pt>
                <c:pt idx="650">
                  <c:v>82.062370300292969</c:v>
                </c:pt>
                <c:pt idx="651">
                  <c:v>83.21710205078125</c:v>
                </c:pt>
                <c:pt idx="652">
                  <c:v>82.524261474609375</c:v>
                </c:pt>
                <c:pt idx="653">
                  <c:v>83.255584716796875</c:v>
                </c:pt>
                <c:pt idx="654">
                  <c:v>82.437652587890625</c:v>
                </c:pt>
                <c:pt idx="655">
                  <c:v>82.841812133789063</c:v>
                </c:pt>
                <c:pt idx="656">
                  <c:v>82.505020141601563</c:v>
                </c:pt>
                <c:pt idx="657">
                  <c:v>83.467277526855469</c:v>
                </c:pt>
                <c:pt idx="658">
                  <c:v>82.379920959472656</c:v>
                </c:pt>
                <c:pt idx="659">
                  <c:v>80.946144104003906</c:v>
                </c:pt>
                <c:pt idx="660">
                  <c:v>79.194808959960938</c:v>
                </c:pt>
                <c:pt idx="661">
                  <c:v>81.456146240234375</c:v>
                </c:pt>
                <c:pt idx="662">
                  <c:v>81.321426391601563</c:v>
                </c:pt>
                <c:pt idx="663">
                  <c:v>82.649360656738281</c:v>
                </c:pt>
                <c:pt idx="664">
                  <c:v>84.371818542480469</c:v>
                </c:pt>
                <c:pt idx="665">
                  <c:v>84.795219421386719</c:v>
                </c:pt>
                <c:pt idx="666">
                  <c:v>87.075790405273438</c:v>
                </c:pt>
                <c:pt idx="667">
                  <c:v>86.892974853515625</c:v>
                </c:pt>
                <c:pt idx="668">
                  <c:v>87.037300109863281</c:v>
                </c:pt>
                <c:pt idx="669">
                  <c:v>87.951469421386719</c:v>
                </c:pt>
                <c:pt idx="670">
                  <c:v>87.787887573242188</c:v>
                </c:pt>
                <c:pt idx="671">
                  <c:v>89.144683837890625</c:v>
                </c:pt>
                <c:pt idx="672">
                  <c:v>88.39410400390625</c:v>
                </c:pt>
                <c:pt idx="673">
                  <c:v>88.336372375488281</c:v>
                </c:pt>
                <c:pt idx="674">
                  <c:v>88.807884216308594</c:v>
                </c:pt>
                <c:pt idx="675">
                  <c:v>88.528831481933594</c:v>
                </c:pt>
                <c:pt idx="676">
                  <c:v>91.425262451171875</c:v>
                </c:pt>
                <c:pt idx="677">
                  <c:v>92.233566284179688</c:v>
                </c:pt>
                <c:pt idx="678">
                  <c:v>92.175827026367188</c:v>
                </c:pt>
                <c:pt idx="679">
                  <c:v>91.954498291015625</c:v>
                </c:pt>
                <c:pt idx="680">
                  <c:v>90.751670837402344</c:v>
                </c:pt>
                <c:pt idx="681">
                  <c:v>90.626571655273438</c:v>
                </c:pt>
                <c:pt idx="682">
                  <c:v>89.962600708007813</c:v>
                </c:pt>
                <c:pt idx="683">
                  <c:v>90.511100769042969</c:v>
                </c:pt>
                <c:pt idx="684">
                  <c:v>89.491096496582031</c:v>
                </c:pt>
                <c:pt idx="685">
                  <c:v>90.097328186035156</c:v>
                </c:pt>
                <c:pt idx="686">
                  <c:v>87.768630981445313</c:v>
                </c:pt>
                <c:pt idx="687">
                  <c:v>87.316360473632813</c:v>
                </c:pt>
                <c:pt idx="688">
                  <c:v>86.854484558105469</c:v>
                </c:pt>
                <c:pt idx="689">
                  <c:v>85.709373474121094</c:v>
                </c:pt>
                <c:pt idx="690">
                  <c:v>86.248245239257813</c:v>
                </c:pt>
                <c:pt idx="691">
                  <c:v>85.343719482421875</c:v>
                </c:pt>
                <c:pt idx="692">
                  <c:v>86.20013427734375</c:v>
                </c:pt>
                <c:pt idx="693">
                  <c:v>85.545791625976563</c:v>
                </c:pt>
                <c:pt idx="694">
                  <c:v>84.092758178710938</c:v>
                </c:pt>
                <c:pt idx="695">
                  <c:v>85.449562072753906</c:v>
                </c:pt>
                <c:pt idx="696">
                  <c:v>84.448806762695313</c:v>
                </c:pt>
                <c:pt idx="697">
                  <c:v>83.419174194335938</c:v>
                </c:pt>
                <c:pt idx="698">
                  <c:v>83.900314331054688</c:v>
                </c:pt>
                <c:pt idx="699">
                  <c:v>84.901077270507813</c:v>
                </c:pt>
                <c:pt idx="700">
                  <c:v>85.8922119140625</c:v>
                </c:pt>
                <c:pt idx="701">
                  <c:v>83.938796997070313</c:v>
                </c:pt>
                <c:pt idx="702">
                  <c:v>83.77520751953125</c:v>
                </c:pt>
                <c:pt idx="703">
                  <c:v>84.718231201171875</c:v>
                </c:pt>
                <c:pt idx="704">
                  <c:v>85.132011413574219</c:v>
                </c:pt>
                <c:pt idx="705">
                  <c:v>84.573898315429688</c:v>
                </c:pt>
                <c:pt idx="706">
                  <c:v>82.812942504882813</c:v>
                </c:pt>
                <c:pt idx="707">
                  <c:v>83.226722717285156</c:v>
                </c:pt>
                <c:pt idx="708">
                  <c:v>82.899551391601563</c:v>
                </c:pt>
                <c:pt idx="709">
                  <c:v>80.378395080566406</c:v>
                </c:pt>
                <c:pt idx="710">
                  <c:v>82.139350891113281</c:v>
                </c:pt>
                <c:pt idx="711">
                  <c:v>81.908416748046875</c:v>
                </c:pt>
                <c:pt idx="712">
                  <c:v>82.360671997070313</c:v>
                </c:pt>
                <c:pt idx="713">
                  <c:v>82.755203247070313</c:v>
                </c:pt>
                <c:pt idx="714">
                  <c:v>85.141639709472656</c:v>
                </c:pt>
                <c:pt idx="715">
                  <c:v>84.458412170410156</c:v>
                </c:pt>
                <c:pt idx="716">
                  <c:v>84.62200927734375</c:v>
                </c:pt>
                <c:pt idx="717">
                  <c:v>84.035018920898438</c:v>
                </c:pt>
                <c:pt idx="718">
                  <c:v>84.188995361328125</c:v>
                </c:pt>
                <c:pt idx="719">
                  <c:v>85.064651489257813</c:v>
                </c:pt>
                <c:pt idx="720">
                  <c:v>85.064651489257813</c:v>
                </c:pt>
                <c:pt idx="721">
                  <c:v>86.585044860839844</c:v>
                </c:pt>
                <c:pt idx="722">
                  <c:v>88.269020080566406</c:v>
                </c:pt>
                <c:pt idx="723">
                  <c:v>87.162406921386719</c:v>
                </c:pt>
                <c:pt idx="724">
                  <c:v>86.604286193847656</c:v>
                </c:pt>
                <c:pt idx="725">
                  <c:v>88.018821716308594</c:v>
                </c:pt>
                <c:pt idx="726">
                  <c:v>87.114295959472656</c:v>
                </c:pt>
                <c:pt idx="727">
                  <c:v>87.826370239257813</c:v>
                </c:pt>
                <c:pt idx="728">
                  <c:v>88.5384521484375</c:v>
                </c:pt>
                <c:pt idx="729">
                  <c:v>87.383720397949219</c:v>
                </c:pt>
                <c:pt idx="730">
                  <c:v>88.336372375488281</c:v>
                </c:pt>
                <c:pt idx="731">
                  <c:v>86.710128784179688</c:v>
                </c:pt>
                <c:pt idx="732">
                  <c:v>88.932975769042969</c:v>
                </c:pt>
                <c:pt idx="733">
                  <c:v>87.72052001953125</c:v>
                </c:pt>
                <c:pt idx="734">
                  <c:v>87.027679443359375</c:v>
                </c:pt>
                <c:pt idx="735">
                  <c:v>89.847145080566406</c:v>
                </c:pt>
                <c:pt idx="736">
                  <c:v>88.740524291992188</c:v>
                </c:pt>
                <c:pt idx="737">
                  <c:v>89.770156860351563</c:v>
                </c:pt>
                <c:pt idx="738">
                  <c:v>88.865615844726563</c:v>
                </c:pt>
                <c:pt idx="739">
                  <c:v>88.499961853027344</c:v>
                </c:pt>
                <c:pt idx="740">
                  <c:v>89.962600708007813</c:v>
                </c:pt>
                <c:pt idx="741">
                  <c:v>92.859039306640625</c:v>
                </c:pt>
                <c:pt idx="742">
                  <c:v>91.9737548828125</c:v>
                </c:pt>
                <c:pt idx="743">
                  <c:v>91.5792236328125</c:v>
                </c:pt>
                <c:pt idx="744">
                  <c:v>93.936790466308594</c:v>
                </c:pt>
                <c:pt idx="745">
                  <c:v>95.235847473144531</c:v>
                </c:pt>
                <c:pt idx="746">
                  <c:v>94.109992980957031</c:v>
                </c:pt>
                <c:pt idx="747">
                  <c:v>94.100364685058594</c:v>
                </c:pt>
                <c:pt idx="748">
                  <c:v>94.831695556640625</c:v>
                </c:pt>
                <c:pt idx="749">
                  <c:v>92.839797973632813</c:v>
                </c:pt>
                <c:pt idx="750">
                  <c:v>92.887908935546875</c:v>
                </c:pt>
                <c:pt idx="751">
                  <c:v>92.666587829589844</c:v>
                </c:pt>
                <c:pt idx="752">
                  <c:v>92.055404663085938</c:v>
                </c:pt>
                <c:pt idx="753">
                  <c:v>90.066635131835938</c:v>
                </c:pt>
                <c:pt idx="754">
                  <c:v>91.191993713378906</c:v>
                </c:pt>
                <c:pt idx="755">
                  <c:v>90.03753662109375</c:v>
                </c:pt>
                <c:pt idx="756">
                  <c:v>87.835357666015625</c:v>
                </c:pt>
                <c:pt idx="757">
                  <c:v>88.116683959960938</c:v>
                </c:pt>
                <c:pt idx="758">
                  <c:v>89.707695007324219</c:v>
                </c:pt>
                <c:pt idx="759">
                  <c:v>90.697219848632813</c:v>
                </c:pt>
                <c:pt idx="760">
                  <c:v>90.920356750488281</c:v>
                </c:pt>
                <c:pt idx="761">
                  <c:v>90.774833679199219</c:v>
                </c:pt>
                <c:pt idx="762">
                  <c:v>89.853218078613281</c:v>
                </c:pt>
                <c:pt idx="763">
                  <c:v>92.00689697265625</c:v>
                </c:pt>
                <c:pt idx="764">
                  <c:v>90.687530517578125</c:v>
                </c:pt>
                <c:pt idx="765">
                  <c:v>89.746498107910156</c:v>
                </c:pt>
                <c:pt idx="766">
                  <c:v>89.843521118164063</c:v>
                </c:pt>
                <c:pt idx="767">
                  <c:v>89.513671875</c:v>
                </c:pt>
                <c:pt idx="768">
                  <c:v>88.999504089355469</c:v>
                </c:pt>
                <c:pt idx="769">
                  <c:v>90.435287475585938</c:v>
                </c:pt>
                <c:pt idx="770">
                  <c:v>91.337509155273438</c:v>
                </c:pt>
                <c:pt idx="771">
                  <c:v>89.88232421875</c:v>
                </c:pt>
                <c:pt idx="772">
                  <c:v>88.766670227050781</c:v>
                </c:pt>
                <c:pt idx="773">
                  <c:v>90.823348999023438</c:v>
                </c:pt>
                <c:pt idx="774">
                  <c:v>89.989036560058594</c:v>
                </c:pt>
                <c:pt idx="775">
                  <c:v>89.387550354003906</c:v>
                </c:pt>
                <c:pt idx="776">
                  <c:v>89.1644287109375</c:v>
                </c:pt>
                <c:pt idx="777">
                  <c:v>89.096511840820313</c:v>
                </c:pt>
                <c:pt idx="778">
                  <c:v>89.659187316894531</c:v>
                </c:pt>
                <c:pt idx="779">
                  <c:v>88.640556335449219</c:v>
                </c:pt>
                <c:pt idx="780">
                  <c:v>89.077110290527344</c:v>
                </c:pt>
                <c:pt idx="781">
                  <c:v>87.942070007324219</c:v>
                </c:pt>
                <c:pt idx="782">
                  <c:v>88.301010131835938</c:v>
                </c:pt>
                <c:pt idx="783">
                  <c:v>88.000267028808594</c:v>
                </c:pt>
                <c:pt idx="784">
                  <c:v>88.446525573730469</c:v>
                </c:pt>
                <c:pt idx="785">
                  <c:v>89.193534851074219</c:v>
                </c:pt>
                <c:pt idx="786">
                  <c:v>90.22186279296875</c:v>
                </c:pt>
                <c:pt idx="787">
                  <c:v>89.688285827636719</c:v>
                </c:pt>
                <c:pt idx="788">
                  <c:v>88.204002380371094</c:v>
                </c:pt>
                <c:pt idx="789">
                  <c:v>86.244346618652344</c:v>
                </c:pt>
                <c:pt idx="790">
                  <c:v>86.186134338378906</c:v>
                </c:pt>
                <c:pt idx="791">
                  <c:v>84.895866394042969</c:v>
                </c:pt>
                <c:pt idx="792">
                  <c:v>86.962234497070313</c:v>
                </c:pt>
                <c:pt idx="793">
                  <c:v>85.681663513183594</c:v>
                </c:pt>
                <c:pt idx="794">
                  <c:v>87.030143737792969</c:v>
                </c:pt>
                <c:pt idx="795">
                  <c:v>86.952529907226563</c:v>
                </c:pt>
                <c:pt idx="796">
                  <c:v>86.060012817382813</c:v>
                </c:pt>
                <c:pt idx="797">
                  <c:v>87.796539306640625</c:v>
                </c:pt>
                <c:pt idx="798">
                  <c:v>85.148086547851563</c:v>
                </c:pt>
                <c:pt idx="799">
                  <c:v>84.439903259277344</c:v>
                </c:pt>
                <c:pt idx="800">
                  <c:v>86.069717407226563</c:v>
                </c:pt>
                <c:pt idx="801">
                  <c:v>84.255577087402344</c:v>
                </c:pt>
                <c:pt idx="802">
                  <c:v>85.2451171875</c:v>
                </c:pt>
                <c:pt idx="803">
                  <c:v>85.322715759277344</c:v>
                </c:pt>
                <c:pt idx="804">
                  <c:v>84.3428955078125</c:v>
                </c:pt>
                <c:pt idx="805">
                  <c:v>86.09881591796875</c:v>
                </c:pt>
                <c:pt idx="806">
                  <c:v>84.430198669433594</c:v>
                </c:pt>
                <c:pt idx="807">
                  <c:v>81.034751892089844</c:v>
                </c:pt>
                <c:pt idx="808">
                  <c:v>80.57879638671875</c:v>
                </c:pt>
                <c:pt idx="809">
                  <c:v>84.430198669433594</c:v>
                </c:pt>
                <c:pt idx="810">
                  <c:v>86.933135986328125</c:v>
                </c:pt>
                <c:pt idx="811">
                  <c:v>86.448066711425781</c:v>
                </c:pt>
                <c:pt idx="812">
                  <c:v>84.973472595214844</c:v>
                </c:pt>
                <c:pt idx="813">
                  <c:v>86.884628295898438</c:v>
                </c:pt>
                <c:pt idx="814">
                  <c:v>86.797309875488281</c:v>
                </c:pt>
                <c:pt idx="815">
                  <c:v>85.963005065917969</c:v>
                </c:pt>
                <c:pt idx="816">
                  <c:v>85.807777404785156</c:v>
                </c:pt>
                <c:pt idx="817">
                  <c:v>86.884628295898438</c:v>
                </c:pt>
                <c:pt idx="818">
                  <c:v>88.136085510253906</c:v>
                </c:pt>
                <c:pt idx="819">
                  <c:v>87.301780700683594</c:v>
                </c:pt>
                <c:pt idx="820">
                  <c:v>86.157020568847656</c:v>
                </c:pt>
                <c:pt idx="821">
                  <c:v>85.846588134765625</c:v>
                </c:pt>
                <c:pt idx="822">
                  <c:v>85.982406616210938</c:v>
                </c:pt>
                <c:pt idx="823">
                  <c:v>86.855522155761719</c:v>
                </c:pt>
                <c:pt idx="824">
                  <c:v>86.079421997070313</c:v>
                </c:pt>
                <c:pt idx="825">
                  <c:v>84.255577087402344</c:v>
                </c:pt>
                <c:pt idx="826">
                  <c:v>85.274215698242188</c:v>
                </c:pt>
                <c:pt idx="827">
                  <c:v>85.5943603515625</c:v>
                </c:pt>
                <c:pt idx="828">
                  <c:v>85.351829528808594</c:v>
                </c:pt>
                <c:pt idx="829">
                  <c:v>81.384002685546875</c:v>
                </c:pt>
                <c:pt idx="830">
                  <c:v>82.092193603515625</c:v>
                </c:pt>
                <c:pt idx="831">
                  <c:v>81.490715026855469</c:v>
                </c:pt>
                <c:pt idx="832">
                  <c:v>81.403404235839844</c:v>
                </c:pt>
                <c:pt idx="833">
                  <c:v>81.946678161621094</c:v>
                </c:pt>
                <c:pt idx="834">
                  <c:v>80.666107177734375</c:v>
                </c:pt>
                <c:pt idx="835">
                  <c:v>81.180274963378906</c:v>
                </c:pt>
                <c:pt idx="836">
                  <c:v>82.092193603515625</c:v>
                </c:pt>
                <c:pt idx="837">
                  <c:v>81.393699645996094</c:v>
                </c:pt>
                <c:pt idx="838">
                  <c:v>80.132530212402344</c:v>
                </c:pt>
                <c:pt idx="839">
                  <c:v>79.734786987304688</c:v>
                </c:pt>
                <c:pt idx="840">
                  <c:v>79.453445434570313</c:v>
                </c:pt>
                <c:pt idx="841">
                  <c:v>80.161636352539063</c:v>
                </c:pt>
                <c:pt idx="842">
                  <c:v>80.22955322265625</c:v>
                </c:pt>
                <c:pt idx="843">
                  <c:v>80.860137939453125</c:v>
                </c:pt>
                <c:pt idx="844">
                  <c:v>79.598968505859375</c:v>
                </c:pt>
                <c:pt idx="845">
                  <c:v>79.977317810058594</c:v>
                </c:pt>
                <c:pt idx="846">
                  <c:v>80.539993286132813</c:v>
                </c:pt>
                <c:pt idx="847">
                  <c:v>82.528755187988281</c:v>
                </c:pt>
                <c:pt idx="848">
                  <c:v>83.236953735351563</c:v>
                </c:pt>
                <c:pt idx="849">
                  <c:v>82.286224365234375</c:v>
                </c:pt>
                <c:pt idx="850">
                  <c:v>81.277290344238281</c:v>
                </c:pt>
                <c:pt idx="851">
                  <c:v>80.510879516601563</c:v>
                </c:pt>
                <c:pt idx="852">
                  <c:v>79.443740844726563</c:v>
                </c:pt>
                <c:pt idx="853">
                  <c:v>78.851966857910156</c:v>
                </c:pt>
                <c:pt idx="854">
                  <c:v>80.336257934570313</c:v>
                </c:pt>
                <c:pt idx="855">
                  <c:v>79.928810119628906</c:v>
                </c:pt>
                <c:pt idx="856">
                  <c:v>79.036293029785156</c:v>
                </c:pt>
                <c:pt idx="857">
                  <c:v>79.841499328613281</c:v>
                </c:pt>
                <c:pt idx="858">
                  <c:v>77.425880432128906</c:v>
                </c:pt>
                <c:pt idx="859">
                  <c:v>76.562469482421875</c:v>
                </c:pt>
                <c:pt idx="860">
                  <c:v>75.883384704589844</c:v>
                </c:pt>
                <c:pt idx="861">
                  <c:v>76.261734008789063</c:v>
                </c:pt>
                <c:pt idx="862">
                  <c:v>76.125907897949219</c:v>
                </c:pt>
                <c:pt idx="863">
                  <c:v>75.272193908691406</c:v>
                </c:pt>
                <c:pt idx="864">
                  <c:v>72.846870422363281</c:v>
                </c:pt>
                <c:pt idx="865">
                  <c:v>71.197654724121094</c:v>
                </c:pt>
                <c:pt idx="866">
                  <c:v>72.662559509277344</c:v>
                </c:pt>
                <c:pt idx="867">
                  <c:v>71.556617736816406</c:v>
                </c:pt>
                <c:pt idx="868">
                  <c:v>73.040908813476563</c:v>
                </c:pt>
                <c:pt idx="869">
                  <c:v>72.856575012207031</c:v>
                </c:pt>
                <c:pt idx="870">
                  <c:v>70.450668334960938</c:v>
                </c:pt>
                <c:pt idx="871">
                  <c:v>67.918632507324219</c:v>
                </c:pt>
                <c:pt idx="872">
                  <c:v>70.993934631347656</c:v>
                </c:pt>
                <c:pt idx="873">
                  <c:v>73.584175109863281</c:v>
                </c:pt>
                <c:pt idx="874">
                  <c:v>76.319931030273438</c:v>
                </c:pt>
                <c:pt idx="875">
                  <c:v>79.792991638183594</c:v>
                </c:pt>
                <c:pt idx="876">
                  <c:v>78.366905212402344</c:v>
                </c:pt>
                <c:pt idx="877">
                  <c:v>77.649009704589844</c:v>
                </c:pt>
                <c:pt idx="878">
                  <c:v>78.279594421386719</c:v>
                </c:pt>
                <c:pt idx="879">
                  <c:v>78.095268249511719</c:v>
                </c:pt>
                <c:pt idx="880">
                  <c:v>77.454978942871094</c:v>
                </c:pt>
                <c:pt idx="881">
                  <c:v>80.219856262207031</c:v>
                </c:pt>
                <c:pt idx="882">
                  <c:v>80.763114929199219</c:v>
                </c:pt>
                <c:pt idx="883">
                  <c:v>81.209381103515625</c:v>
                </c:pt>
                <c:pt idx="884">
                  <c:v>80.94744873046875</c:v>
                </c:pt>
                <c:pt idx="885">
                  <c:v>82.441444396972656</c:v>
                </c:pt>
                <c:pt idx="886">
                  <c:v>82.460838317871094</c:v>
                </c:pt>
                <c:pt idx="887">
                  <c:v>82.810089111328125</c:v>
                </c:pt>
                <c:pt idx="888">
                  <c:v>83.314552307128906</c:v>
                </c:pt>
                <c:pt idx="889">
                  <c:v>83.411567687988281</c:v>
                </c:pt>
                <c:pt idx="890">
                  <c:v>83.43096923828125</c:v>
                </c:pt>
                <c:pt idx="891">
                  <c:v>83.935432434082031</c:v>
                </c:pt>
                <c:pt idx="892">
                  <c:v>84.6727294921875</c:v>
                </c:pt>
                <c:pt idx="893">
                  <c:v>84.663032531738281</c:v>
                </c:pt>
                <c:pt idx="894">
                  <c:v>84.798851013183594</c:v>
                </c:pt>
                <c:pt idx="895">
                  <c:v>86.273445129394531</c:v>
                </c:pt>
                <c:pt idx="896">
                  <c:v>86.341354370117188</c:v>
                </c:pt>
                <c:pt idx="897">
                  <c:v>86.283149719238281</c:v>
                </c:pt>
                <c:pt idx="898">
                  <c:v>84.556327819824219</c:v>
                </c:pt>
                <c:pt idx="899">
                  <c:v>84.449607849121094</c:v>
                </c:pt>
                <c:pt idx="900">
                  <c:v>85.74957275390625</c:v>
                </c:pt>
                <c:pt idx="901">
                  <c:v>85.507049560546875</c:v>
                </c:pt>
                <c:pt idx="902">
                  <c:v>85.895095825195313</c:v>
                </c:pt>
                <c:pt idx="903">
                  <c:v>86.583885192871094</c:v>
                </c:pt>
                <c:pt idx="904">
                  <c:v>84.692138671875</c:v>
                </c:pt>
                <c:pt idx="905">
                  <c:v>84.139167785644531</c:v>
                </c:pt>
                <c:pt idx="906">
                  <c:v>85.526451110839844</c:v>
                </c:pt>
                <c:pt idx="907">
                  <c:v>86.011512756347656</c:v>
                </c:pt>
                <c:pt idx="908">
                  <c:v>85.604057312011719</c:v>
                </c:pt>
                <c:pt idx="909">
                  <c:v>85.060783386230469</c:v>
                </c:pt>
                <c:pt idx="910">
                  <c:v>84.721237182617188</c:v>
                </c:pt>
                <c:pt idx="911">
                  <c:v>83.295150756835938</c:v>
                </c:pt>
                <c:pt idx="912">
                  <c:v>84.391395568847656</c:v>
                </c:pt>
                <c:pt idx="913">
                  <c:v>82.150398254394531</c:v>
                </c:pt>
                <c:pt idx="914">
                  <c:v>82.237709045410156</c:v>
                </c:pt>
                <c:pt idx="915">
                  <c:v>85.701065063476563</c:v>
                </c:pt>
                <c:pt idx="916">
                  <c:v>83.537689208984375</c:v>
                </c:pt>
                <c:pt idx="917">
                  <c:v>81.907875061035156</c:v>
                </c:pt>
                <c:pt idx="918">
                  <c:v>81.616828918457031</c:v>
                </c:pt>
                <c:pt idx="919">
                  <c:v>82.179512023925781</c:v>
                </c:pt>
                <c:pt idx="920">
                  <c:v>82.945907592773438</c:v>
                </c:pt>
                <c:pt idx="921">
                  <c:v>82.208610534667969</c:v>
                </c:pt>
                <c:pt idx="922">
                  <c:v>84.410797119140625</c:v>
                </c:pt>
                <c:pt idx="923">
                  <c:v>83.333961486816406</c:v>
                </c:pt>
                <c:pt idx="924">
                  <c:v>81.975776672363281</c:v>
                </c:pt>
                <c:pt idx="925">
                  <c:v>81.733245849609375</c:v>
                </c:pt>
                <c:pt idx="926">
                  <c:v>75.970687866210938</c:v>
                </c:pt>
                <c:pt idx="927">
                  <c:v>75.728157043457031</c:v>
                </c:pt>
                <c:pt idx="928">
                  <c:v>75.087875366210938</c:v>
                </c:pt>
                <c:pt idx="929">
                  <c:v>74.641616821289063</c:v>
                </c:pt>
                <c:pt idx="930">
                  <c:v>76.678886413574219</c:v>
                </c:pt>
                <c:pt idx="931">
                  <c:v>77.163948059082031</c:v>
                </c:pt>
                <c:pt idx="932">
                  <c:v>75.272193908691406</c:v>
                </c:pt>
                <c:pt idx="933">
                  <c:v>75.922187805175781</c:v>
                </c:pt>
                <c:pt idx="934">
                  <c:v>76.174407958984375</c:v>
                </c:pt>
                <c:pt idx="935">
                  <c:v>75.572944641113281</c:v>
                </c:pt>
                <c:pt idx="936">
                  <c:v>78.9683837890625</c:v>
                </c:pt>
                <c:pt idx="937">
                  <c:v>77.086334228515625</c:v>
                </c:pt>
                <c:pt idx="938">
                  <c:v>77.193046569824219</c:v>
                </c:pt>
                <c:pt idx="939">
                  <c:v>76.222923278808594</c:v>
                </c:pt>
                <c:pt idx="940">
                  <c:v>76.45574951171875</c:v>
                </c:pt>
                <c:pt idx="941">
                  <c:v>75.699050903320313</c:v>
                </c:pt>
                <c:pt idx="942">
                  <c:v>75.340110778808594</c:v>
                </c:pt>
                <c:pt idx="943">
                  <c:v>76.329635620117188</c:v>
                </c:pt>
                <c:pt idx="944">
                  <c:v>75.301307678222656</c:v>
                </c:pt>
                <c:pt idx="945">
                  <c:v>76.775894165039063</c:v>
                </c:pt>
                <c:pt idx="946">
                  <c:v>73.836410522460938</c:v>
                </c:pt>
                <c:pt idx="947">
                  <c:v>72.51702880859375</c:v>
                </c:pt>
                <c:pt idx="948">
                  <c:v>70.693199157714844</c:v>
                </c:pt>
                <c:pt idx="949">
                  <c:v>71.430488586425781</c:v>
                </c:pt>
                <c:pt idx="950">
                  <c:v>70.508865356445313</c:v>
                </c:pt>
                <c:pt idx="951">
                  <c:v>71.10064697265625</c:v>
                </c:pt>
                <c:pt idx="952">
                  <c:v>70.120819091796875</c:v>
                </c:pt>
                <c:pt idx="953">
                  <c:v>69.179794311523438</c:v>
                </c:pt>
                <c:pt idx="954">
                  <c:v>69.441734313964844</c:v>
                </c:pt>
                <c:pt idx="955">
                  <c:v>69.577552795410156</c:v>
                </c:pt>
                <c:pt idx="956">
                  <c:v>70.314849853515625</c:v>
                </c:pt>
                <c:pt idx="957">
                  <c:v>69.752174377441406</c:v>
                </c:pt>
                <c:pt idx="958">
                  <c:v>69.84918212890625</c:v>
                </c:pt>
                <c:pt idx="959">
                  <c:v>69.548446655273438</c:v>
                </c:pt>
                <c:pt idx="960">
                  <c:v>69.829780578613281</c:v>
                </c:pt>
                <c:pt idx="961">
                  <c:v>69.674560546875</c:v>
                </c:pt>
                <c:pt idx="962">
                  <c:v>68.830543518066406</c:v>
                </c:pt>
                <c:pt idx="963">
                  <c:v>69.480537414550781</c:v>
                </c:pt>
                <c:pt idx="964">
                  <c:v>69.053680419921875</c:v>
                </c:pt>
                <c:pt idx="965">
                  <c:v>71.546905517578125</c:v>
                </c:pt>
                <c:pt idx="966">
                  <c:v>75.330406188964844</c:v>
                </c:pt>
                <c:pt idx="967">
                  <c:v>74.040138244628906</c:v>
                </c:pt>
                <c:pt idx="968">
                  <c:v>71.673019409179688</c:v>
                </c:pt>
                <c:pt idx="969">
                  <c:v>75.37890625</c:v>
                </c:pt>
                <c:pt idx="970">
                  <c:v>76.834098815917969</c:v>
                </c:pt>
                <c:pt idx="971">
                  <c:v>76.349037170410156</c:v>
                </c:pt>
                <c:pt idx="972">
                  <c:v>75.136375427246094</c:v>
                </c:pt>
                <c:pt idx="973">
                  <c:v>74.243865966796875</c:v>
                </c:pt>
                <c:pt idx="974">
                  <c:v>71.750633239746094</c:v>
                </c:pt>
                <c:pt idx="975">
                  <c:v>69.781272888183594</c:v>
                </c:pt>
                <c:pt idx="976">
                  <c:v>71.333480834960938</c:v>
                </c:pt>
                <c:pt idx="977">
                  <c:v>69.975303649902344</c:v>
                </c:pt>
                <c:pt idx="978">
                  <c:v>68.597724914550781</c:v>
                </c:pt>
                <c:pt idx="979">
                  <c:v>67.094024658203125</c:v>
                </c:pt>
                <c:pt idx="980">
                  <c:v>67.123130798339844</c:v>
                </c:pt>
                <c:pt idx="981">
                  <c:v>66.64776611328125</c:v>
                </c:pt>
                <c:pt idx="982">
                  <c:v>64.979148864746094</c:v>
                </c:pt>
                <c:pt idx="983">
                  <c:v>65.658233642578125</c:v>
                </c:pt>
                <c:pt idx="984">
                  <c:v>64.14483642578125</c:v>
                </c:pt>
                <c:pt idx="985">
                  <c:v>64.979148864746094</c:v>
                </c:pt>
                <c:pt idx="986">
                  <c:v>66.938804626464844</c:v>
                </c:pt>
                <c:pt idx="987">
                  <c:v>68.743240356445313</c:v>
                </c:pt>
                <c:pt idx="988">
                  <c:v>67.055221557617188</c:v>
                </c:pt>
                <c:pt idx="989">
                  <c:v>67.191032409667969</c:v>
                </c:pt>
                <c:pt idx="990">
                  <c:v>68.2581787109375</c:v>
                </c:pt>
                <c:pt idx="991">
                  <c:v>66.638069152832031</c:v>
                </c:pt>
                <c:pt idx="992">
                  <c:v>68.025344848632813</c:v>
                </c:pt>
                <c:pt idx="993">
                  <c:v>69.480537414550781</c:v>
                </c:pt>
                <c:pt idx="994">
                  <c:v>70.431259155273438</c:v>
                </c:pt>
                <c:pt idx="995">
                  <c:v>67.908935546875</c:v>
                </c:pt>
                <c:pt idx="996">
                  <c:v>67.734306335449219</c:v>
                </c:pt>
                <c:pt idx="997">
                  <c:v>69.111885070800781</c:v>
                </c:pt>
                <c:pt idx="998">
                  <c:v>68.61712646484375</c:v>
                </c:pt>
                <c:pt idx="999">
                  <c:v>70.431259155273438</c:v>
                </c:pt>
                <c:pt idx="1000">
                  <c:v>68.642463684082031</c:v>
                </c:pt>
                <c:pt idx="1001">
                  <c:v>69.153556823730469</c:v>
                </c:pt>
                <c:pt idx="1002">
                  <c:v>68.465560913085938</c:v>
                </c:pt>
                <c:pt idx="1003">
                  <c:v>69.350120544433594</c:v>
                </c:pt>
                <c:pt idx="1004">
                  <c:v>70.234687805175781</c:v>
                </c:pt>
                <c:pt idx="1005">
                  <c:v>68.691612243652344</c:v>
                </c:pt>
                <c:pt idx="1006">
                  <c:v>68.622810363769531</c:v>
                </c:pt>
                <c:pt idx="1007">
                  <c:v>68.740760803222656</c:v>
                </c:pt>
                <c:pt idx="1008">
                  <c:v>69.084754943847656</c:v>
                </c:pt>
                <c:pt idx="1009">
                  <c:v>66.883163452148438</c:v>
                </c:pt>
                <c:pt idx="1010">
                  <c:v>65.02557373046875</c:v>
                </c:pt>
                <c:pt idx="1011">
                  <c:v>64.868316650390625</c:v>
                </c:pt>
                <c:pt idx="1012">
                  <c:v>65.212310791015625</c:v>
                </c:pt>
                <c:pt idx="1013">
                  <c:v>64.268775939941406</c:v>
                </c:pt>
                <c:pt idx="1014">
                  <c:v>64.367057800292969</c:v>
                </c:pt>
                <c:pt idx="1015">
                  <c:v>62.706035614013672</c:v>
                </c:pt>
                <c:pt idx="1016">
                  <c:v>62.932090759277344</c:v>
                </c:pt>
                <c:pt idx="1017">
                  <c:v>67.384414672851563</c:v>
                </c:pt>
                <c:pt idx="1018">
                  <c:v>69.448410034179688</c:v>
                </c:pt>
                <c:pt idx="1019">
                  <c:v>68.514701843261719</c:v>
                </c:pt>
                <c:pt idx="1020">
                  <c:v>66.725906372070313</c:v>
                </c:pt>
                <c:pt idx="1021">
                  <c:v>69.684295654296875</c:v>
                </c:pt>
                <c:pt idx="1022">
                  <c:v>68.229667663574219</c:v>
                </c:pt>
                <c:pt idx="1023">
                  <c:v>68.141220092773438</c:v>
                </c:pt>
                <c:pt idx="1024">
                  <c:v>66.372077941894531</c:v>
                </c:pt>
                <c:pt idx="1025">
                  <c:v>65.900314331054688</c:v>
                </c:pt>
                <c:pt idx="1026">
                  <c:v>65.566139221191406</c:v>
                </c:pt>
                <c:pt idx="1027">
                  <c:v>68.495040893554688</c:v>
                </c:pt>
                <c:pt idx="1028">
                  <c:v>69.084754943847656</c:v>
                </c:pt>
                <c:pt idx="1029">
                  <c:v>69.330467224121094</c:v>
                </c:pt>
                <c:pt idx="1030">
                  <c:v>66.834022521972656</c:v>
                </c:pt>
                <c:pt idx="1031">
                  <c:v>64.642257690429688</c:v>
                </c:pt>
                <c:pt idx="1032">
                  <c:v>63.610263824462891</c:v>
                </c:pt>
                <c:pt idx="1033">
                  <c:v>64.288436889648438</c:v>
                </c:pt>
                <c:pt idx="1034">
                  <c:v>64.249114990234375</c:v>
                </c:pt>
                <c:pt idx="1035">
                  <c:v>63.502147674560547</c:v>
                </c:pt>
                <c:pt idx="1036">
                  <c:v>65.438369750976563</c:v>
                </c:pt>
                <c:pt idx="1037">
                  <c:v>62.077011108398438</c:v>
                </c:pt>
                <c:pt idx="1038">
                  <c:v>62.312896728515625</c:v>
                </c:pt>
                <c:pt idx="1039">
                  <c:v>62.204780578613281</c:v>
                </c:pt>
                <c:pt idx="1040">
                  <c:v>61.919754028320313</c:v>
                </c:pt>
                <c:pt idx="1041">
                  <c:v>62.332550048828125</c:v>
                </c:pt>
                <c:pt idx="1042">
                  <c:v>62.627410888671875</c:v>
                </c:pt>
                <c:pt idx="1043">
                  <c:v>62.902606964111328</c:v>
                </c:pt>
                <c:pt idx="1044">
                  <c:v>62.912437438964844</c:v>
                </c:pt>
                <c:pt idx="1045">
                  <c:v>63.836315155029297</c:v>
                </c:pt>
                <c:pt idx="1046">
                  <c:v>63.7576904296875</c:v>
                </c:pt>
                <c:pt idx="1047">
                  <c:v>63.826492309570313</c:v>
                </c:pt>
                <c:pt idx="1048">
                  <c:v>63.620094299316406</c:v>
                </c:pt>
                <c:pt idx="1049">
                  <c:v>62.578262329101563</c:v>
                </c:pt>
                <c:pt idx="1050">
                  <c:v>63.964088439941406</c:v>
                </c:pt>
                <c:pt idx="1051">
                  <c:v>63.816661834716797</c:v>
                </c:pt>
                <c:pt idx="1052">
                  <c:v>63.964088439941406</c:v>
                </c:pt>
                <c:pt idx="1053">
                  <c:v>64.327743530273438</c:v>
                </c:pt>
                <c:pt idx="1054">
                  <c:v>67.836524963378906</c:v>
                </c:pt>
                <c:pt idx="1055">
                  <c:v>66.391738891601563</c:v>
                </c:pt>
                <c:pt idx="1056">
                  <c:v>67.020767211914063</c:v>
                </c:pt>
                <c:pt idx="1057">
                  <c:v>63.816661834716797</c:v>
                </c:pt>
                <c:pt idx="1058">
                  <c:v>64.465339660644531</c:v>
                </c:pt>
                <c:pt idx="1059">
                  <c:v>64.337570190429688</c:v>
                </c:pt>
                <c:pt idx="1060">
                  <c:v>65.851165771484375</c:v>
                </c:pt>
                <c:pt idx="1061">
                  <c:v>63.983745574951172</c:v>
                </c:pt>
                <c:pt idx="1062">
                  <c:v>65.841339111328125</c:v>
                </c:pt>
                <c:pt idx="1063">
                  <c:v>66.411392211914063</c:v>
                </c:pt>
                <c:pt idx="1064">
                  <c:v>67.404075622558594</c:v>
                </c:pt>
                <c:pt idx="1065">
                  <c:v>67.895500183105469</c:v>
                </c:pt>
                <c:pt idx="1066">
                  <c:v>67.433563232421875</c:v>
                </c:pt>
                <c:pt idx="1067">
                  <c:v>69.045440673828125</c:v>
                </c:pt>
                <c:pt idx="1068">
                  <c:v>68.809555053710938</c:v>
                </c:pt>
                <c:pt idx="1069">
                  <c:v>68.278816223144531</c:v>
                </c:pt>
                <c:pt idx="1070">
                  <c:v>68.691612243652344</c:v>
                </c:pt>
                <c:pt idx="1071">
                  <c:v>69.20269775390625</c:v>
                </c:pt>
                <c:pt idx="1072">
                  <c:v>69.19287109375</c:v>
                </c:pt>
                <c:pt idx="1073">
                  <c:v>67.954475402832031</c:v>
                </c:pt>
                <c:pt idx="1074">
                  <c:v>67.345100402832031</c:v>
                </c:pt>
                <c:pt idx="1075">
                  <c:v>67.561332702636719</c:v>
                </c:pt>
                <c:pt idx="1076">
                  <c:v>68.996292114257813</c:v>
                </c:pt>
                <c:pt idx="1077">
                  <c:v>66.598136901855469</c:v>
                </c:pt>
                <c:pt idx="1078">
                  <c:v>66.942131042480469</c:v>
                </c:pt>
                <c:pt idx="1079">
                  <c:v>68.308296203613281</c:v>
                </c:pt>
                <c:pt idx="1080">
                  <c:v>69.497550964355469</c:v>
                </c:pt>
                <c:pt idx="1081">
                  <c:v>69.045440673828125</c:v>
                </c:pt>
                <c:pt idx="1082">
                  <c:v>67.757904052734375</c:v>
                </c:pt>
                <c:pt idx="1083">
                  <c:v>69.772750854492188</c:v>
                </c:pt>
                <c:pt idx="1084">
                  <c:v>68.681777954101563</c:v>
                </c:pt>
                <c:pt idx="1085">
                  <c:v>68.003616333007813</c:v>
                </c:pt>
                <c:pt idx="1086">
                  <c:v>67.915153503417969</c:v>
                </c:pt>
                <c:pt idx="1087">
                  <c:v>67.099388122558594</c:v>
                </c:pt>
                <c:pt idx="1088">
                  <c:v>66.824188232421875</c:v>
                </c:pt>
                <c:pt idx="1089">
                  <c:v>68.151039123535156</c:v>
                </c:pt>
                <c:pt idx="1090">
                  <c:v>67.502357482910156</c:v>
                </c:pt>
                <c:pt idx="1091">
                  <c:v>66.706253051757813</c:v>
                </c:pt>
                <c:pt idx="1092">
                  <c:v>67.276298522949219</c:v>
                </c:pt>
                <c:pt idx="1093">
                  <c:v>68.593330383300781</c:v>
                </c:pt>
                <c:pt idx="1094">
                  <c:v>65.290939331054688</c:v>
                </c:pt>
                <c:pt idx="1095">
                  <c:v>67.158363342285156</c:v>
                </c:pt>
                <c:pt idx="1096">
                  <c:v>68.652297973632813</c:v>
                </c:pt>
                <c:pt idx="1097">
                  <c:v>67.472877502441406</c:v>
                </c:pt>
                <c:pt idx="1098">
                  <c:v>68.003616333007813</c:v>
                </c:pt>
                <c:pt idx="1099">
                  <c:v>66.981452941894531</c:v>
                </c:pt>
                <c:pt idx="1100">
                  <c:v>66.548988342285156</c:v>
                </c:pt>
                <c:pt idx="1101">
                  <c:v>65.831512451171875</c:v>
                </c:pt>
                <c:pt idx="1102">
                  <c:v>64.612770080566406</c:v>
                </c:pt>
                <c:pt idx="1103">
                  <c:v>66.185333251953125</c:v>
                </c:pt>
                <c:pt idx="1104">
                  <c:v>65.074714660644531</c:v>
                </c:pt>
                <c:pt idx="1105">
                  <c:v>64.897796630859375</c:v>
                </c:pt>
                <c:pt idx="1106">
                  <c:v>63.541461944580078</c:v>
                </c:pt>
                <c:pt idx="1107">
                  <c:v>63.394035339355469</c:v>
                </c:pt>
                <c:pt idx="1108">
                  <c:v>64.819168090820313</c:v>
                </c:pt>
                <c:pt idx="1109">
                  <c:v>63.364547729492188</c:v>
                </c:pt>
                <c:pt idx="1110">
                  <c:v>63.059867858886719</c:v>
                </c:pt>
                <c:pt idx="1111">
                  <c:v>64.219627380371094</c:v>
                </c:pt>
                <c:pt idx="1112">
                  <c:v>64.278602600097656</c:v>
                </c:pt>
                <c:pt idx="1113">
                  <c:v>64.376884460449219</c:v>
                </c:pt>
                <c:pt idx="1114">
                  <c:v>63.551292419433594</c:v>
                </c:pt>
                <c:pt idx="1115">
                  <c:v>63.492317199707031</c:v>
                </c:pt>
                <c:pt idx="1116">
                  <c:v>63.295749664306641</c:v>
                </c:pt>
                <c:pt idx="1117">
                  <c:v>63.069690704345703</c:v>
                </c:pt>
                <c:pt idx="1118">
                  <c:v>62.018035888671875</c:v>
                </c:pt>
                <c:pt idx="1119">
                  <c:v>63.787178039550781</c:v>
                </c:pt>
                <c:pt idx="1120">
                  <c:v>60.936901092529297</c:v>
                </c:pt>
                <c:pt idx="1121">
                  <c:v>60.868099212646484</c:v>
                </c:pt>
                <c:pt idx="1122">
                  <c:v>60.907417297363281</c:v>
                </c:pt>
                <c:pt idx="1123">
                  <c:v>60.307876586914063</c:v>
                </c:pt>
                <c:pt idx="1124">
                  <c:v>61.752670288085938</c:v>
                </c:pt>
                <c:pt idx="1125">
                  <c:v>61.703525543212891</c:v>
                </c:pt>
                <c:pt idx="1126">
                  <c:v>62.312896728515625</c:v>
                </c:pt>
                <c:pt idx="1127">
                  <c:v>65.36956787109375</c:v>
                </c:pt>
                <c:pt idx="1128">
                  <c:v>65.782363891601563</c:v>
                </c:pt>
                <c:pt idx="1129">
                  <c:v>64.180320739746094</c:v>
                </c:pt>
                <c:pt idx="1130">
                  <c:v>61.742839813232422</c:v>
                </c:pt>
                <c:pt idx="1131">
                  <c:v>61.723182678222656</c:v>
                </c:pt>
                <c:pt idx="1132">
                  <c:v>61.565925598144531</c:v>
                </c:pt>
                <c:pt idx="1133">
                  <c:v>62.067184448242188</c:v>
                </c:pt>
                <c:pt idx="1134">
                  <c:v>60.062160491943359</c:v>
                </c:pt>
                <c:pt idx="1135">
                  <c:v>60.337360382080078</c:v>
                </c:pt>
                <c:pt idx="1136">
                  <c:v>59.954048156738281</c:v>
                </c:pt>
                <c:pt idx="1137">
                  <c:v>59.767307281494141</c:v>
                </c:pt>
                <c:pt idx="1138">
                  <c:v>59.28570556640625</c:v>
                </c:pt>
                <c:pt idx="1139">
                  <c:v>58.695995330810547</c:v>
                </c:pt>
                <c:pt idx="1140">
                  <c:v>58.961368560791016</c:v>
                </c:pt>
                <c:pt idx="1141">
                  <c:v>59.187423706054688</c:v>
                </c:pt>
                <c:pt idx="1142">
                  <c:v>58.627197265625</c:v>
                </c:pt>
                <c:pt idx="1143">
                  <c:v>59.826274871826172</c:v>
                </c:pt>
                <c:pt idx="1144">
                  <c:v>58.666507720947266</c:v>
                </c:pt>
                <c:pt idx="1145">
                  <c:v>57.939197540283203</c:v>
                </c:pt>
                <c:pt idx="1146">
                  <c:v>58.017826080322266</c:v>
                </c:pt>
                <c:pt idx="1147">
                  <c:v>57.791770935058594</c:v>
                </c:pt>
                <c:pt idx="1148">
                  <c:v>57.595199584960938</c:v>
                </c:pt>
                <c:pt idx="1149">
                  <c:v>56.858058929443359</c:v>
                </c:pt>
                <c:pt idx="1150">
                  <c:v>57.447772979736328</c:v>
                </c:pt>
                <c:pt idx="1151">
                  <c:v>57.025146484375</c:v>
                </c:pt>
                <c:pt idx="1152">
                  <c:v>55.983318328857422</c:v>
                </c:pt>
                <c:pt idx="1153">
                  <c:v>54.921840667724609</c:v>
                </c:pt>
                <c:pt idx="1154">
                  <c:v>54.754753112792969</c:v>
                </c:pt>
                <c:pt idx="1155">
                  <c:v>54.862865447998047</c:v>
                </c:pt>
                <c:pt idx="1156">
                  <c:v>54.78424072265625</c:v>
                </c:pt>
                <c:pt idx="1157">
                  <c:v>54.931667327880859</c:v>
                </c:pt>
                <c:pt idx="1158">
                  <c:v>54.587669372558594</c:v>
                </c:pt>
                <c:pt idx="1159">
                  <c:v>54.047100067138672</c:v>
                </c:pt>
                <c:pt idx="1160">
                  <c:v>53.889842987060547</c:v>
                </c:pt>
                <c:pt idx="1161">
                  <c:v>53.457386016845703</c:v>
                </c:pt>
                <c:pt idx="1162">
                  <c:v>54.400924682617188</c:v>
                </c:pt>
                <c:pt idx="1163">
                  <c:v>54.224010467529297</c:v>
                </c:pt>
                <c:pt idx="1164">
                  <c:v>53.437728881835938</c:v>
                </c:pt>
                <c:pt idx="1165">
                  <c:v>53.506526947021484</c:v>
                </c:pt>
                <c:pt idx="1166">
                  <c:v>53.388587951660156</c:v>
                </c:pt>
                <c:pt idx="1167">
                  <c:v>50.813514709472656</c:v>
                </c:pt>
                <c:pt idx="1168">
                  <c:v>50.518657684326172</c:v>
                </c:pt>
                <c:pt idx="1169">
                  <c:v>49.66357421875</c:v>
                </c:pt>
                <c:pt idx="1170">
                  <c:v>49.958431243896484</c:v>
                </c:pt>
                <c:pt idx="1171">
                  <c:v>49.968257904052734</c:v>
                </c:pt>
                <c:pt idx="1172">
                  <c:v>49.594772338867188</c:v>
                </c:pt>
                <c:pt idx="1173">
                  <c:v>48.464492797851563</c:v>
                </c:pt>
                <c:pt idx="1174">
                  <c:v>51.186996459960938</c:v>
                </c:pt>
                <c:pt idx="1175">
                  <c:v>51.304939270019531</c:v>
                </c:pt>
                <c:pt idx="1176">
                  <c:v>52.091220855712891</c:v>
                </c:pt>
                <c:pt idx="1177">
                  <c:v>53.771900177001953</c:v>
                </c:pt>
                <c:pt idx="1178">
                  <c:v>53.044589996337891</c:v>
                </c:pt>
                <c:pt idx="1179">
                  <c:v>53.388587951660156</c:v>
                </c:pt>
                <c:pt idx="1180">
                  <c:v>52.798877716064453</c:v>
                </c:pt>
                <c:pt idx="1181">
                  <c:v>53.477043151855469</c:v>
                </c:pt>
                <c:pt idx="1182">
                  <c:v>53.290302276611328</c:v>
                </c:pt>
                <c:pt idx="1183">
                  <c:v>54.007785797119141</c:v>
                </c:pt>
                <c:pt idx="1184">
                  <c:v>53.368930816650391</c:v>
                </c:pt>
                <c:pt idx="1185">
                  <c:v>53.378761291503906</c:v>
                </c:pt>
                <c:pt idx="1186">
                  <c:v>53.457386016845703</c:v>
                </c:pt>
                <c:pt idx="1187">
                  <c:v>53.555675506591797</c:v>
                </c:pt>
                <c:pt idx="1188">
                  <c:v>53.123214721679688</c:v>
                </c:pt>
                <c:pt idx="1189">
                  <c:v>53.486869812011719</c:v>
                </c:pt>
                <c:pt idx="1190">
                  <c:v>54.400924682617188</c:v>
                </c:pt>
                <c:pt idx="1191">
                  <c:v>55.855552673339844</c:v>
                </c:pt>
                <c:pt idx="1192">
                  <c:v>56.651660919189453</c:v>
                </c:pt>
                <c:pt idx="1193">
                  <c:v>55.924350738525391</c:v>
                </c:pt>
                <c:pt idx="1194">
                  <c:v>55.826061248779297</c:v>
                </c:pt>
                <c:pt idx="1195">
                  <c:v>56.445262908935547</c:v>
                </c:pt>
                <c:pt idx="1196">
                  <c:v>55.403434753417969</c:v>
                </c:pt>
                <c:pt idx="1197">
                  <c:v>55.806404113769531</c:v>
                </c:pt>
                <c:pt idx="1198">
                  <c:v>55.295322418212891</c:v>
                </c:pt>
                <c:pt idx="1199">
                  <c:v>55.619663238525391</c:v>
                </c:pt>
                <c:pt idx="1200">
                  <c:v>55.521381378173828</c:v>
                </c:pt>
                <c:pt idx="1201">
                  <c:v>56.337146759033203</c:v>
                </c:pt>
                <c:pt idx="1202">
                  <c:v>53.575328826904297</c:v>
                </c:pt>
                <c:pt idx="1203">
                  <c:v>54.381271362304688</c:v>
                </c:pt>
                <c:pt idx="1204">
                  <c:v>53.693271636962891</c:v>
                </c:pt>
                <c:pt idx="1205">
                  <c:v>53.978298187255859</c:v>
                </c:pt>
                <c:pt idx="1206">
                  <c:v>55.708122253417969</c:v>
                </c:pt>
                <c:pt idx="1207">
                  <c:v>55.452579498291016</c:v>
                </c:pt>
                <c:pt idx="1208">
                  <c:v>57.319999694824219</c:v>
                </c:pt>
                <c:pt idx="1209">
                  <c:v>55.541034698486328</c:v>
                </c:pt>
                <c:pt idx="1210">
                  <c:v>53.565502166748047</c:v>
                </c:pt>
                <c:pt idx="1211">
                  <c:v>53.811214447021484</c:v>
                </c:pt>
                <c:pt idx="1212">
                  <c:v>54.322299957275391</c:v>
                </c:pt>
                <c:pt idx="1213">
                  <c:v>53.712932586669922</c:v>
                </c:pt>
                <c:pt idx="1214">
                  <c:v>54.970981597900391</c:v>
                </c:pt>
                <c:pt idx="1215">
                  <c:v>54.548355102539063</c:v>
                </c:pt>
                <c:pt idx="1216">
                  <c:v>53.437728881835938</c:v>
                </c:pt>
                <c:pt idx="1217">
                  <c:v>53.732585906982422</c:v>
                </c:pt>
                <c:pt idx="1218">
                  <c:v>53.742416381835938</c:v>
                </c:pt>
                <c:pt idx="1219">
                  <c:v>54.361614227294922</c:v>
                </c:pt>
                <c:pt idx="1220">
                  <c:v>54.902183532714844</c:v>
                </c:pt>
                <c:pt idx="1221">
                  <c:v>54.872699737548828</c:v>
                </c:pt>
                <c:pt idx="1222">
                  <c:v>55.413265228271484</c:v>
                </c:pt>
                <c:pt idx="1223">
                  <c:v>54.538528442382813</c:v>
                </c:pt>
                <c:pt idx="1224">
                  <c:v>56.307662963867188</c:v>
                </c:pt>
                <c:pt idx="1225">
                  <c:v>57.978515625</c:v>
                </c:pt>
                <c:pt idx="1226">
                  <c:v>58.607540130615234</c:v>
                </c:pt>
                <c:pt idx="1227">
                  <c:v>55.324810028076172</c:v>
                </c:pt>
                <c:pt idx="1228">
                  <c:v>54.410755157470703</c:v>
                </c:pt>
                <c:pt idx="1229">
                  <c:v>55.029953002929688</c:v>
                </c:pt>
                <c:pt idx="1230">
                  <c:v>58.057140350341797</c:v>
                </c:pt>
                <c:pt idx="1231">
                  <c:v>56.799087524414063</c:v>
                </c:pt>
                <c:pt idx="1232">
                  <c:v>57.290515899658203</c:v>
                </c:pt>
                <c:pt idx="1233">
                  <c:v>58.31268310546875</c:v>
                </c:pt>
                <c:pt idx="1234">
                  <c:v>58.224227905273438</c:v>
                </c:pt>
                <c:pt idx="1235">
                  <c:v>59.098964691162109</c:v>
                </c:pt>
                <c:pt idx="1236">
                  <c:v>61.438152313232422</c:v>
                </c:pt>
                <c:pt idx="1237">
                  <c:v>62.303066253662109</c:v>
                </c:pt>
                <c:pt idx="1238">
                  <c:v>65.3597412109375</c:v>
                </c:pt>
                <c:pt idx="1239">
                  <c:v>66.352424621582031</c:v>
                </c:pt>
                <c:pt idx="1240">
                  <c:v>65.36956787109375</c:v>
                </c:pt>
                <c:pt idx="1241">
                  <c:v>66.234481811523438</c:v>
                </c:pt>
                <c:pt idx="1242">
                  <c:v>62.214607238769531</c:v>
                </c:pt>
                <c:pt idx="1243">
                  <c:v>58.6468505859375</c:v>
                </c:pt>
                <c:pt idx="1244">
                  <c:v>57.221717834472656</c:v>
                </c:pt>
                <c:pt idx="1245">
                  <c:v>57.35931396484375</c:v>
                </c:pt>
                <c:pt idx="1246">
                  <c:v>59.492103576660156</c:v>
                </c:pt>
                <c:pt idx="1247">
                  <c:v>59.27587890625</c:v>
                </c:pt>
                <c:pt idx="1248">
                  <c:v>58.823764801025391</c:v>
                </c:pt>
                <c:pt idx="1249">
                  <c:v>57.762283325195313</c:v>
                </c:pt>
                <c:pt idx="1250">
                  <c:v>57.319999694824219</c:v>
                </c:pt>
                <c:pt idx="1251">
                  <c:v>58.159999847412109</c:v>
                </c:pt>
                <c:pt idx="1252">
                  <c:v>57.639999389648438</c:v>
                </c:pt>
                <c:pt idx="1253">
                  <c:v>57.509998321533203</c:v>
                </c:pt>
                <c:pt idx="1254">
                  <c:v>57.5</c:v>
                </c:pt>
                <c:pt idx="1255">
                  <c:v>58.209999084472656</c:v>
                </c:pt>
                <c:pt idx="1256">
                  <c:v>55.409999847412109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8-4928-9720-73501F2DD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476377"/>
        <c:axId val="1371371442"/>
      </c:lineChart>
      <c:catAx>
        <c:axId val="1323476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371371442"/>
        <c:crosses val="autoZero"/>
        <c:auto val="1"/>
        <c:lblAlgn val="ctr"/>
        <c:lblOffset val="100"/>
        <c:noMultiLvlLbl val="1"/>
      </c:catAx>
      <c:valAx>
        <c:axId val="1371371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GBMMODBFF.MX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3234763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GCARSOA1.MX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GrupoCarso!$B$1</c:f>
              <c:strCache>
                <c:ptCount val="1"/>
                <c:pt idx="0">
                  <c:v>GCARSOA1.MX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GrupoCarso!$A$2:$A$1258</c:f>
              <c:numCache>
                <c:formatCode>General</c:formatCode>
                <c:ptCount val="1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</c:numCache>
            </c:numRef>
          </c:cat>
          <c:val>
            <c:numRef>
              <c:f>GrupoCarso!$B$2:$B$1258</c:f>
              <c:numCache>
                <c:formatCode>General</c:formatCode>
                <c:ptCount val="1257"/>
                <c:pt idx="0">
                  <c:v>44.877822875976563</c:v>
                </c:pt>
                <c:pt idx="1">
                  <c:v>44.397087097167969</c:v>
                </c:pt>
                <c:pt idx="2">
                  <c:v>44.830692291259766</c:v>
                </c:pt>
                <c:pt idx="3">
                  <c:v>45.358558654785156</c:v>
                </c:pt>
                <c:pt idx="4">
                  <c:v>44.472499847412109</c:v>
                </c:pt>
                <c:pt idx="5">
                  <c:v>47.121246337890625</c:v>
                </c:pt>
                <c:pt idx="6">
                  <c:v>46.320026397705078</c:v>
                </c:pt>
                <c:pt idx="7">
                  <c:v>47.658535003662109</c:v>
                </c:pt>
                <c:pt idx="8">
                  <c:v>47.922466278076172</c:v>
                </c:pt>
                <c:pt idx="9">
                  <c:v>47.281490325927734</c:v>
                </c:pt>
                <c:pt idx="10">
                  <c:v>50.052768707275391</c:v>
                </c:pt>
                <c:pt idx="11">
                  <c:v>50.608913421630859</c:v>
                </c:pt>
                <c:pt idx="12">
                  <c:v>48.817947387695313</c:v>
                </c:pt>
                <c:pt idx="13">
                  <c:v>47.630252838134766</c:v>
                </c:pt>
                <c:pt idx="14">
                  <c:v>43.906936645507813</c:v>
                </c:pt>
                <c:pt idx="15">
                  <c:v>45.481098175048828</c:v>
                </c:pt>
                <c:pt idx="16">
                  <c:v>45.547084808349609</c:v>
                </c:pt>
                <c:pt idx="17">
                  <c:v>44.858974456787109</c:v>
                </c:pt>
                <c:pt idx="18">
                  <c:v>44.500774383544922</c:v>
                </c:pt>
                <c:pt idx="19">
                  <c:v>43.906936645507813</c:v>
                </c:pt>
                <c:pt idx="20">
                  <c:v>45.433971405029297</c:v>
                </c:pt>
                <c:pt idx="21">
                  <c:v>45.056915283203125</c:v>
                </c:pt>
                <c:pt idx="22">
                  <c:v>44.717582702636719</c:v>
                </c:pt>
                <c:pt idx="23">
                  <c:v>43.878654479980469</c:v>
                </c:pt>
                <c:pt idx="24">
                  <c:v>43.190547943115234</c:v>
                </c:pt>
                <c:pt idx="25">
                  <c:v>41.908592224121094</c:v>
                </c:pt>
                <c:pt idx="26">
                  <c:v>42.493011474609375</c:v>
                </c:pt>
                <c:pt idx="27">
                  <c:v>42.247932434082031</c:v>
                </c:pt>
                <c:pt idx="28">
                  <c:v>42.954891204833984</c:v>
                </c:pt>
                <c:pt idx="29">
                  <c:v>43.473331451416016</c:v>
                </c:pt>
                <c:pt idx="30">
                  <c:v>43.8409423828125</c:v>
                </c:pt>
                <c:pt idx="31">
                  <c:v>43.737262725830078</c:v>
                </c:pt>
                <c:pt idx="32">
                  <c:v>44.491355895996094</c:v>
                </c:pt>
                <c:pt idx="33">
                  <c:v>42.766368865966797</c:v>
                </c:pt>
                <c:pt idx="34">
                  <c:v>41.333599090576172</c:v>
                </c:pt>
                <c:pt idx="35">
                  <c:v>41.031959533691406</c:v>
                </c:pt>
                <c:pt idx="36">
                  <c:v>40.438117980957031</c:v>
                </c:pt>
                <c:pt idx="37">
                  <c:v>39.193870544433594</c:v>
                </c:pt>
                <c:pt idx="38">
                  <c:v>39.523780822753906</c:v>
                </c:pt>
                <c:pt idx="39">
                  <c:v>40.786888122558594</c:v>
                </c:pt>
                <c:pt idx="40">
                  <c:v>39.938529968261719</c:v>
                </c:pt>
                <c:pt idx="41">
                  <c:v>40.013942718505859</c:v>
                </c:pt>
                <c:pt idx="42">
                  <c:v>41.720069885253906</c:v>
                </c:pt>
                <c:pt idx="43">
                  <c:v>42.785224914550781</c:v>
                </c:pt>
                <c:pt idx="44">
                  <c:v>42.115966796875</c:v>
                </c:pt>
                <c:pt idx="45">
                  <c:v>42.106536865234375</c:v>
                </c:pt>
                <c:pt idx="46">
                  <c:v>41.493839263916016</c:v>
                </c:pt>
                <c:pt idx="47">
                  <c:v>41.597526550292969</c:v>
                </c:pt>
                <c:pt idx="48">
                  <c:v>40.834011077880859</c:v>
                </c:pt>
                <c:pt idx="49">
                  <c:v>40.645488739013672</c:v>
                </c:pt>
                <c:pt idx="50">
                  <c:v>41.418434143066406</c:v>
                </c:pt>
                <c:pt idx="51">
                  <c:v>40.617210388183594</c:v>
                </c:pt>
                <c:pt idx="52">
                  <c:v>40.504096984863281</c:v>
                </c:pt>
                <c:pt idx="53">
                  <c:v>40.570087432861328</c:v>
                </c:pt>
                <c:pt idx="54">
                  <c:v>41.390155792236328</c:v>
                </c:pt>
                <c:pt idx="55">
                  <c:v>41.786056518554688</c:v>
                </c:pt>
                <c:pt idx="56">
                  <c:v>42.775794982910156</c:v>
                </c:pt>
                <c:pt idx="57">
                  <c:v>43.190547943115234</c:v>
                </c:pt>
                <c:pt idx="58">
                  <c:v>43.218826293945313</c:v>
                </c:pt>
                <c:pt idx="59">
                  <c:v>44.038894653320313</c:v>
                </c:pt>
                <c:pt idx="60">
                  <c:v>44.755279541015625</c:v>
                </c:pt>
                <c:pt idx="61">
                  <c:v>44.566764831542969</c:v>
                </c:pt>
                <c:pt idx="62">
                  <c:v>44.953231811523438</c:v>
                </c:pt>
                <c:pt idx="63">
                  <c:v>43.8409423828125</c:v>
                </c:pt>
                <c:pt idx="64">
                  <c:v>42.653255462646484</c:v>
                </c:pt>
                <c:pt idx="65">
                  <c:v>42.50244140625</c:v>
                </c:pt>
                <c:pt idx="66">
                  <c:v>42.229084014892578</c:v>
                </c:pt>
                <c:pt idx="67">
                  <c:v>42.738094329833984</c:v>
                </c:pt>
                <c:pt idx="68">
                  <c:v>42.059406280517578</c:v>
                </c:pt>
                <c:pt idx="69">
                  <c:v>42.464729309082031</c:v>
                </c:pt>
                <c:pt idx="70">
                  <c:v>43.708980560302734</c:v>
                </c:pt>
                <c:pt idx="71">
                  <c:v>40.730323791503906</c:v>
                </c:pt>
                <c:pt idx="72">
                  <c:v>41.569244384765625</c:v>
                </c:pt>
                <c:pt idx="73">
                  <c:v>40.834011077880859</c:v>
                </c:pt>
                <c:pt idx="74">
                  <c:v>40.15533447265625</c:v>
                </c:pt>
                <c:pt idx="75">
                  <c:v>40.570087432861328</c:v>
                </c:pt>
                <c:pt idx="76">
                  <c:v>41.06024169921875</c:v>
                </c:pt>
                <c:pt idx="77">
                  <c:v>40.202465057373047</c:v>
                </c:pt>
                <c:pt idx="78">
                  <c:v>40.230743408203125</c:v>
                </c:pt>
                <c:pt idx="79">
                  <c:v>40.061073303222656</c:v>
                </c:pt>
                <c:pt idx="80">
                  <c:v>40.334426879882813</c:v>
                </c:pt>
                <c:pt idx="81">
                  <c:v>41.343025207519531</c:v>
                </c:pt>
                <c:pt idx="82">
                  <c:v>41.786056518554688</c:v>
                </c:pt>
                <c:pt idx="83">
                  <c:v>42.295063018798828</c:v>
                </c:pt>
                <c:pt idx="84">
                  <c:v>40.994258880615234</c:v>
                </c:pt>
                <c:pt idx="85">
                  <c:v>40.852867126464844</c:v>
                </c:pt>
                <c:pt idx="86">
                  <c:v>42.115966796875</c:v>
                </c:pt>
                <c:pt idx="87">
                  <c:v>41.776626586914063</c:v>
                </c:pt>
                <c:pt idx="88">
                  <c:v>42.879486083984375</c:v>
                </c:pt>
                <c:pt idx="89">
                  <c:v>42.455310821533203</c:v>
                </c:pt>
                <c:pt idx="90">
                  <c:v>43.030303955078125</c:v>
                </c:pt>
                <c:pt idx="91">
                  <c:v>43.567592620849609</c:v>
                </c:pt>
                <c:pt idx="92">
                  <c:v>42.822925567626953</c:v>
                </c:pt>
                <c:pt idx="93">
                  <c:v>41.390155792236328</c:v>
                </c:pt>
                <c:pt idx="94">
                  <c:v>41.757774353027344</c:v>
                </c:pt>
                <c:pt idx="95">
                  <c:v>42.794651031494141</c:v>
                </c:pt>
                <c:pt idx="96">
                  <c:v>43.039730072021484</c:v>
                </c:pt>
                <c:pt idx="97">
                  <c:v>42.662681579589844</c:v>
                </c:pt>
                <c:pt idx="98">
                  <c:v>44.274555206298828</c:v>
                </c:pt>
                <c:pt idx="99">
                  <c:v>44.274555206298828</c:v>
                </c:pt>
                <c:pt idx="100">
                  <c:v>44.906105041503906</c:v>
                </c:pt>
                <c:pt idx="101">
                  <c:v>43.492179870605469</c:v>
                </c:pt>
                <c:pt idx="102">
                  <c:v>43.595870971679688</c:v>
                </c:pt>
                <c:pt idx="103">
                  <c:v>42.653255462646484</c:v>
                </c:pt>
                <c:pt idx="104">
                  <c:v>41.550395965576172</c:v>
                </c:pt>
                <c:pt idx="105">
                  <c:v>41.550395965576172</c:v>
                </c:pt>
                <c:pt idx="106">
                  <c:v>39.985664367675781</c:v>
                </c:pt>
                <c:pt idx="107">
                  <c:v>40.570087432861328</c:v>
                </c:pt>
                <c:pt idx="108">
                  <c:v>39.721725463867188</c:v>
                </c:pt>
                <c:pt idx="109">
                  <c:v>40.117630004882813</c:v>
                </c:pt>
                <c:pt idx="110">
                  <c:v>40.108200073242188</c:v>
                </c:pt>
                <c:pt idx="111">
                  <c:v>39.844268798828125</c:v>
                </c:pt>
                <c:pt idx="112">
                  <c:v>38.26068115234375</c:v>
                </c:pt>
                <c:pt idx="113">
                  <c:v>37.138973236083984</c:v>
                </c:pt>
                <c:pt idx="114">
                  <c:v>37.025852203369141</c:v>
                </c:pt>
                <c:pt idx="115">
                  <c:v>36.903316497802734</c:v>
                </c:pt>
                <c:pt idx="116">
                  <c:v>37.996749877929688</c:v>
                </c:pt>
                <c:pt idx="117">
                  <c:v>39.269275665283203</c:v>
                </c:pt>
                <c:pt idx="118">
                  <c:v>38.741409301757813</c:v>
                </c:pt>
                <c:pt idx="119">
                  <c:v>40.315578460693359</c:v>
                </c:pt>
                <c:pt idx="120">
                  <c:v>40.805732727050781</c:v>
                </c:pt>
                <c:pt idx="121">
                  <c:v>42.125392913818359</c:v>
                </c:pt>
                <c:pt idx="122">
                  <c:v>42.002857208251953</c:v>
                </c:pt>
                <c:pt idx="123">
                  <c:v>42.577846527099609</c:v>
                </c:pt>
                <c:pt idx="124">
                  <c:v>44.057746887207031</c:v>
                </c:pt>
                <c:pt idx="125">
                  <c:v>44.378242492675781</c:v>
                </c:pt>
                <c:pt idx="126">
                  <c:v>43.803249359130859</c:v>
                </c:pt>
                <c:pt idx="127">
                  <c:v>43.991764068603516</c:v>
                </c:pt>
                <c:pt idx="128">
                  <c:v>42.898334503173828</c:v>
                </c:pt>
                <c:pt idx="129">
                  <c:v>43.511035919189453</c:v>
                </c:pt>
                <c:pt idx="130">
                  <c:v>44.595039367675781</c:v>
                </c:pt>
                <c:pt idx="131">
                  <c:v>43.708980560302734</c:v>
                </c:pt>
                <c:pt idx="132">
                  <c:v>44.067176818847656</c:v>
                </c:pt>
                <c:pt idx="133">
                  <c:v>43.265960693359375</c:v>
                </c:pt>
                <c:pt idx="134">
                  <c:v>45.9901123046875</c:v>
                </c:pt>
                <c:pt idx="135">
                  <c:v>45.745021820068359</c:v>
                </c:pt>
                <c:pt idx="136">
                  <c:v>46.338874816894531</c:v>
                </c:pt>
                <c:pt idx="137">
                  <c:v>46.329444885253906</c:v>
                </c:pt>
                <c:pt idx="138">
                  <c:v>45.236019134521484</c:v>
                </c:pt>
                <c:pt idx="139">
                  <c:v>47.894191741943359</c:v>
                </c:pt>
                <c:pt idx="140">
                  <c:v>47.837631225585938</c:v>
                </c:pt>
                <c:pt idx="141">
                  <c:v>48.384353637695313</c:v>
                </c:pt>
                <c:pt idx="142">
                  <c:v>48.063858032226563</c:v>
                </c:pt>
                <c:pt idx="143">
                  <c:v>48.46917724609375</c:v>
                </c:pt>
                <c:pt idx="144">
                  <c:v>49.223274230957031</c:v>
                </c:pt>
                <c:pt idx="145">
                  <c:v>50.278999328613281</c:v>
                </c:pt>
                <c:pt idx="146">
                  <c:v>53.710109710693359</c:v>
                </c:pt>
                <c:pt idx="147">
                  <c:v>52.569553375244141</c:v>
                </c:pt>
                <c:pt idx="148">
                  <c:v>52.531845092773438</c:v>
                </c:pt>
                <c:pt idx="149">
                  <c:v>50.005641937255859</c:v>
                </c:pt>
                <c:pt idx="150">
                  <c:v>54.219123840332031</c:v>
                </c:pt>
                <c:pt idx="151">
                  <c:v>56.820735931396484</c:v>
                </c:pt>
                <c:pt idx="152">
                  <c:v>58.649406433105469</c:v>
                </c:pt>
                <c:pt idx="153">
                  <c:v>61.731754302978516</c:v>
                </c:pt>
                <c:pt idx="154">
                  <c:v>62.872310638427734</c:v>
                </c:pt>
                <c:pt idx="155">
                  <c:v>62.570671081542969</c:v>
                </c:pt>
                <c:pt idx="156">
                  <c:v>61.599781036376953</c:v>
                </c:pt>
                <c:pt idx="157">
                  <c:v>62.193634033203125</c:v>
                </c:pt>
                <c:pt idx="158">
                  <c:v>63.032562255859375</c:v>
                </c:pt>
                <c:pt idx="159">
                  <c:v>63.720668792724609</c:v>
                </c:pt>
                <c:pt idx="160">
                  <c:v>65.323104858398438</c:v>
                </c:pt>
                <c:pt idx="161">
                  <c:v>64.088279724121094</c:v>
                </c:pt>
                <c:pt idx="162">
                  <c:v>63.060832977294922</c:v>
                </c:pt>
                <c:pt idx="163">
                  <c:v>60.798568725585938</c:v>
                </c:pt>
                <c:pt idx="164">
                  <c:v>61.43011474609375</c:v>
                </c:pt>
                <c:pt idx="165">
                  <c:v>61.929702758789063</c:v>
                </c:pt>
                <c:pt idx="166">
                  <c:v>61.392410278320313</c:v>
                </c:pt>
                <c:pt idx="167">
                  <c:v>61.326423645019531</c:v>
                </c:pt>
                <c:pt idx="168">
                  <c:v>59.931365966796875</c:v>
                </c:pt>
                <c:pt idx="169">
                  <c:v>58.988746643066406</c:v>
                </c:pt>
                <c:pt idx="170">
                  <c:v>57.659660339355469</c:v>
                </c:pt>
                <c:pt idx="171">
                  <c:v>57.697364807128906</c:v>
                </c:pt>
                <c:pt idx="172">
                  <c:v>56.471973419189453</c:v>
                </c:pt>
                <c:pt idx="173">
                  <c:v>54.303955078125</c:v>
                </c:pt>
                <c:pt idx="174">
                  <c:v>52.267913818359375</c:v>
                </c:pt>
                <c:pt idx="175">
                  <c:v>48.629425048828125</c:v>
                </c:pt>
                <c:pt idx="176">
                  <c:v>49.298683166503906</c:v>
                </c:pt>
                <c:pt idx="177">
                  <c:v>49.336383819580078</c:v>
                </c:pt>
                <c:pt idx="178">
                  <c:v>51.05194091796875</c:v>
                </c:pt>
                <c:pt idx="179">
                  <c:v>50.646617889404297</c:v>
                </c:pt>
                <c:pt idx="180">
                  <c:v>48.865077972412109</c:v>
                </c:pt>
                <c:pt idx="181">
                  <c:v>50.363838195800781</c:v>
                </c:pt>
                <c:pt idx="182">
                  <c:v>51.070793151855469</c:v>
                </c:pt>
                <c:pt idx="183">
                  <c:v>49.194995880126953</c:v>
                </c:pt>
                <c:pt idx="184">
                  <c:v>49.440078735351563</c:v>
                </c:pt>
                <c:pt idx="185">
                  <c:v>50.090476989746094</c:v>
                </c:pt>
                <c:pt idx="186">
                  <c:v>49.920806884765625</c:v>
                </c:pt>
                <c:pt idx="187">
                  <c:v>51.004814147949219</c:v>
                </c:pt>
                <c:pt idx="188">
                  <c:v>49.194995880126953</c:v>
                </c:pt>
                <c:pt idx="189">
                  <c:v>48.374916076660156</c:v>
                </c:pt>
                <c:pt idx="190">
                  <c:v>46.423709869384766</c:v>
                </c:pt>
                <c:pt idx="191">
                  <c:v>47.941318511962891</c:v>
                </c:pt>
                <c:pt idx="192">
                  <c:v>47.34747314453125</c:v>
                </c:pt>
                <c:pt idx="193">
                  <c:v>46.404857635498047</c:v>
                </c:pt>
                <c:pt idx="194">
                  <c:v>48.865077972412109</c:v>
                </c:pt>
                <c:pt idx="195">
                  <c:v>49.053600311279297</c:v>
                </c:pt>
                <c:pt idx="196">
                  <c:v>49.62860107421875</c:v>
                </c:pt>
                <c:pt idx="197">
                  <c:v>50.203590393066406</c:v>
                </c:pt>
                <c:pt idx="198">
                  <c:v>51.278167724609375</c:v>
                </c:pt>
                <c:pt idx="199">
                  <c:v>50.674896240234375</c:v>
                </c:pt>
                <c:pt idx="200">
                  <c:v>51.13677978515625</c:v>
                </c:pt>
                <c:pt idx="201">
                  <c:v>51.664649963378906</c:v>
                </c:pt>
                <c:pt idx="202">
                  <c:v>53.201099395751953</c:v>
                </c:pt>
                <c:pt idx="203">
                  <c:v>52.088817596435547</c:v>
                </c:pt>
                <c:pt idx="204">
                  <c:v>51.919151306152344</c:v>
                </c:pt>
                <c:pt idx="205">
                  <c:v>52.890037536621094</c:v>
                </c:pt>
                <c:pt idx="206">
                  <c:v>53.465034484863281</c:v>
                </c:pt>
                <c:pt idx="207">
                  <c:v>53.229381561279297</c:v>
                </c:pt>
                <c:pt idx="208">
                  <c:v>50.552356719970703</c:v>
                </c:pt>
                <c:pt idx="209">
                  <c:v>51.457267761230469</c:v>
                </c:pt>
                <c:pt idx="210">
                  <c:v>50.919975280761719</c:v>
                </c:pt>
                <c:pt idx="211">
                  <c:v>50.901126861572266</c:v>
                </c:pt>
                <c:pt idx="212">
                  <c:v>51.636367797851563</c:v>
                </c:pt>
                <c:pt idx="213">
                  <c:v>52.522418975830078</c:v>
                </c:pt>
                <c:pt idx="214">
                  <c:v>54.765838623046875</c:v>
                </c:pt>
                <c:pt idx="215">
                  <c:v>54.115432739257813</c:v>
                </c:pt>
                <c:pt idx="216">
                  <c:v>52.673240661621094</c:v>
                </c:pt>
                <c:pt idx="217">
                  <c:v>54.464199066162109</c:v>
                </c:pt>
                <c:pt idx="218">
                  <c:v>55.548210144042969</c:v>
                </c:pt>
                <c:pt idx="219">
                  <c:v>56.198616027832031</c:v>
                </c:pt>
                <c:pt idx="220">
                  <c:v>55.981807708740234</c:v>
                </c:pt>
                <c:pt idx="221">
                  <c:v>54.096588134765625</c:v>
                </c:pt>
                <c:pt idx="222">
                  <c:v>56.010086059570313</c:v>
                </c:pt>
                <c:pt idx="223">
                  <c:v>56.066646575927734</c:v>
                </c:pt>
                <c:pt idx="224">
                  <c:v>56.651065826416016</c:v>
                </c:pt>
                <c:pt idx="225">
                  <c:v>57.065814971923828</c:v>
                </c:pt>
                <c:pt idx="226">
                  <c:v>57.640819549560547</c:v>
                </c:pt>
                <c:pt idx="227">
                  <c:v>55.020339965820313</c:v>
                </c:pt>
                <c:pt idx="228">
                  <c:v>55.161731719970703</c:v>
                </c:pt>
                <c:pt idx="229">
                  <c:v>57.282619476318359</c:v>
                </c:pt>
                <c:pt idx="230">
                  <c:v>57.772777557373047</c:v>
                </c:pt>
                <c:pt idx="231">
                  <c:v>58.573997497558594</c:v>
                </c:pt>
                <c:pt idx="232">
                  <c:v>56.292877197265625</c:v>
                </c:pt>
                <c:pt idx="233">
                  <c:v>56.915000915527344</c:v>
                </c:pt>
                <c:pt idx="234">
                  <c:v>56.358856201171875</c:v>
                </c:pt>
                <c:pt idx="235">
                  <c:v>56.179752349853516</c:v>
                </c:pt>
                <c:pt idx="236">
                  <c:v>54.435916900634766</c:v>
                </c:pt>
                <c:pt idx="237">
                  <c:v>55.190013885498047</c:v>
                </c:pt>
                <c:pt idx="238">
                  <c:v>55.453952789306641</c:v>
                </c:pt>
                <c:pt idx="239">
                  <c:v>55.642471313476563</c:v>
                </c:pt>
                <c:pt idx="240">
                  <c:v>55.039199829101563</c:v>
                </c:pt>
                <c:pt idx="241">
                  <c:v>54.398216247558594</c:v>
                </c:pt>
                <c:pt idx="242">
                  <c:v>55.717880249023438</c:v>
                </c:pt>
                <c:pt idx="243">
                  <c:v>55.133457183837891</c:v>
                </c:pt>
                <c:pt idx="244">
                  <c:v>54.417072296142578</c:v>
                </c:pt>
                <c:pt idx="245">
                  <c:v>54.577316284179688</c:v>
                </c:pt>
                <c:pt idx="246">
                  <c:v>54.351085662841797</c:v>
                </c:pt>
                <c:pt idx="247">
                  <c:v>54.84124755859375</c:v>
                </c:pt>
                <c:pt idx="248">
                  <c:v>54.869525909423828</c:v>
                </c:pt>
                <c:pt idx="249">
                  <c:v>54.944938659667969</c:v>
                </c:pt>
                <c:pt idx="250">
                  <c:v>54.812969207763672</c:v>
                </c:pt>
                <c:pt idx="251">
                  <c:v>53.832649230957031</c:v>
                </c:pt>
                <c:pt idx="252">
                  <c:v>53.710109710693359</c:v>
                </c:pt>
                <c:pt idx="253">
                  <c:v>52.484718322753906</c:v>
                </c:pt>
                <c:pt idx="254">
                  <c:v>53.097415924072266</c:v>
                </c:pt>
                <c:pt idx="255">
                  <c:v>55.001491546630859</c:v>
                </c:pt>
                <c:pt idx="256">
                  <c:v>56.519100189208984</c:v>
                </c:pt>
                <c:pt idx="257">
                  <c:v>56.820735931396484</c:v>
                </c:pt>
                <c:pt idx="258">
                  <c:v>59.309234619140625</c:v>
                </c:pt>
                <c:pt idx="259">
                  <c:v>61.194461822509766</c:v>
                </c:pt>
                <c:pt idx="260">
                  <c:v>59.290386199951172</c:v>
                </c:pt>
                <c:pt idx="261">
                  <c:v>60.440372467041016</c:v>
                </c:pt>
                <c:pt idx="262">
                  <c:v>61.486675262451172</c:v>
                </c:pt>
                <c:pt idx="263">
                  <c:v>62.910015106201172</c:v>
                </c:pt>
                <c:pt idx="264">
                  <c:v>61.279300689697266</c:v>
                </c:pt>
                <c:pt idx="265">
                  <c:v>61.486675262451172</c:v>
                </c:pt>
                <c:pt idx="266">
                  <c:v>61.722328186035156</c:v>
                </c:pt>
                <c:pt idx="267">
                  <c:v>61.694049835205078</c:v>
                </c:pt>
                <c:pt idx="268">
                  <c:v>62.137077331542969</c:v>
                </c:pt>
                <c:pt idx="269">
                  <c:v>60.82684326171875</c:v>
                </c:pt>
                <c:pt idx="270">
                  <c:v>60.892826080322266</c:v>
                </c:pt>
                <c:pt idx="271">
                  <c:v>61.203887939453125</c:v>
                </c:pt>
                <c:pt idx="272">
                  <c:v>61.241600036621094</c:v>
                </c:pt>
                <c:pt idx="273">
                  <c:v>59.196125030517578</c:v>
                </c:pt>
                <c:pt idx="274">
                  <c:v>58.847358703613281</c:v>
                </c:pt>
                <c:pt idx="275">
                  <c:v>59.249435424804688</c:v>
                </c:pt>
                <c:pt idx="276">
                  <c:v>59.68023681640625</c:v>
                </c:pt>
                <c:pt idx="277">
                  <c:v>60.790740966796875</c:v>
                </c:pt>
                <c:pt idx="278">
                  <c:v>59.766399383544922</c:v>
                </c:pt>
                <c:pt idx="279">
                  <c:v>59.632369995117188</c:v>
                </c:pt>
                <c:pt idx="280">
                  <c:v>60.580135345458984</c:v>
                </c:pt>
                <c:pt idx="281">
                  <c:v>61.614055633544922</c:v>
                </c:pt>
                <c:pt idx="282">
                  <c:v>61.968269348144531</c:v>
                </c:pt>
                <c:pt idx="283">
                  <c:v>61.365142822265625</c:v>
                </c:pt>
                <c:pt idx="284">
                  <c:v>60.790740966796875</c:v>
                </c:pt>
                <c:pt idx="285">
                  <c:v>59.823833465576172</c:v>
                </c:pt>
                <c:pt idx="286">
                  <c:v>60.178047180175781</c:v>
                </c:pt>
                <c:pt idx="287">
                  <c:v>59.096263885498047</c:v>
                </c:pt>
                <c:pt idx="288">
                  <c:v>56.875247955322266</c:v>
                </c:pt>
                <c:pt idx="289">
                  <c:v>58.732479095458984</c:v>
                </c:pt>
                <c:pt idx="290">
                  <c:v>60.111034393310547</c:v>
                </c:pt>
                <c:pt idx="291">
                  <c:v>60.838611602783203</c:v>
                </c:pt>
                <c:pt idx="292">
                  <c:v>58.675037384033203</c:v>
                </c:pt>
                <c:pt idx="293">
                  <c:v>60.857757568359375</c:v>
                </c:pt>
                <c:pt idx="294">
                  <c:v>58.895221710205078</c:v>
                </c:pt>
                <c:pt idx="295">
                  <c:v>59.431331634521484</c:v>
                </c:pt>
                <c:pt idx="296">
                  <c:v>60.302505493164063</c:v>
                </c:pt>
                <c:pt idx="297">
                  <c:v>61.001361846923828</c:v>
                </c:pt>
                <c:pt idx="298">
                  <c:v>62.293758392333984</c:v>
                </c:pt>
                <c:pt idx="299">
                  <c:v>61.853389739990234</c:v>
                </c:pt>
                <c:pt idx="300">
                  <c:v>60.972633361816406</c:v>
                </c:pt>
                <c:pt idx="301">
                  <c:v>62.274612426757813</c:v>
                </c:pt>
                <c:pt idx="302">
                  <c:v>61.336421966552734</c:v>
                </c:pt>
                <c:pt idx="303">
                  <c:v>63.011756896972656</c:v>
                </c:pt>
                <c:pt idx="304">
                  <c:v>62.973464965820313</c:v>
                </c:pt>
                <c:pt idx="305">
                  <c:v>64.189277648925781</c:v>
                </c:pt>
                <c:pt idx="306">
                  <c:v>63.576587677001953</c:v>
                </c:pt>
                <c:pt idx="307">
                  <c:v>63.739345550537109</c:v>
                </c:pt>
                <c:pt idx="308">
                  <c:v>63.346828460693359</c:v>
                </c:pt>
                <c:pt idx="309">
                  <c:v>62.561805725097656</c:v>
                </c:pt>
                <c:pt idx="310">
                  <c:v>62.389492034912109</c:v>
                </c:pt>
                <c:pt idx="311">
                  <c:v>61.547042846679688</c:v>
                </c:pt>
                <c:pt idx="312">
                  <c:v>62.284183502197266</c:v>
                </c:pt>
                <c:pt idx="313">
                  <c:v>61.269412994384766</c:v>
                </c:pt>
                <c:pt idx="314">
                  <c:v>62.466079711914063</c:v>
                </c:pt>
                <c:pt idx="315">
                  <c:v>61.585330963134766</c:v>
                </c:pt>
                <c:pt idx="316">
                  <c:v>60.867336273193359</c:v>
                </c:pt>
                <c:pt idx="317">
                  <c:v>60.963066101074219</c:v>
                </c:pt>
                <c:pt idx="318">
                  <c:v>61.374717712402344</c:v>
                </c:pt>
                <c:pt idx="319">
                  <c:v>61.815090179443359</c:v>
                </c:pt>
                <c:pt idx="320">
                  <c:v>61.317283630371094</c:v>
                </c:pt>
                <c:pt idx="321">
                  <c:v>61.757652282714844</c:v>
                </c:pt>
                <c:pt idx="322">
                  <c:v>62.092720031738281</c:v>
                </c:pt>
                <c:pt idx="323">
                  <c:v>65.357223510742188</c:v>
                </c:pt>
                <c:pt idx="324">
                  <c:v>62.571388244628906</c:v>
                </c:pt>
                <c:pt idx="325">
                  <c:v>61.594905853271484</c:v>
                </c:pt>
                <c:pt idx="326">
                  <c:v>62.523513793945313</c:v>
                </c:pt>
                <c:pt idx="327">
                  <c:v>64.945571899414063</c:v>
                </c:pt>
                <c:pt idx="328">
                  <c:v>64.916847229003906</c:v>
                </c:pt>
                <c:pt idx="329">
                  <c:v>64.993446350097656</c:v>
                </c:pt>
                <c:pt idx="330">
                  <c:v>64.620079040527344</c:v>
                </c:pt>
                <c:pt idx="331">
                  <c:v>65.156196594238281</c:v>
                </c:pt>
                <c:pt idx="332">
                  <c:v>64.342460632324219</c:v>
                </c:pt>
                <c:pt idx="333">
                  <c:v>66.544319152832031</c:v>
                </c:pt>
                <c:pt idx="334">
                  <c:v>71.98199462890625</c:v>
                </c:pt>
                <c:pt idx="335">
                  <c:v>71.800094604492188</c:v>
                </c:pt>
                <c:pt idx="336">
                  <c:v>70.402374267578125</c:v>
                </c:pt>
                <c:pt idx="337">
                  <c:v>69.789688110351563</c:v>
                </c:pt>
                <c:pt idx="338">
                  <c:v>69.48333740234375</c:v>
                </c:pt>
                <c:pt idx="339">
                  <c:v>70.258781433105469</c:v>
                </c:pt>
                <c:pt idx="340">
                  <c:v>69.042976379394531</c:v>
                </c:pt>
                <c:pt idx="341">
                  <c:v>69.349319458007813</c:v>
                </c:pt>
                <c:pt idx="342">
                  <c:v>66.649635314941406</c:v>
                </c:pt>
                <c:pt idx="343">
                  <c:v>65.02215576171875</c:v>
                </c:pt>
                <c:pt idx="344">
                  <c:v>67.693130493164063</c:v>
                </c:pt>
                <c:pt idx="345">
                  <c:v>67.042137145996094</c:v>
                </c:pt>
                <c:pt idx="346">
                  <c:v>68.391975402832031</c:v>
                </c:pt>
                <c:pt idx="347">
                  <c:v>68.746192932128906</c:v>
                </c:pt>
                <c:pt idx="348">
                  <c:v>68.774917602539063</c:v>
                </c:pt>
                <c:pt idx="349">
                  <c:v>70.373664855957031</c:v>
                </c:pt>
                <c:pt idx="350">
                  <c:v>69.741813659667969</c:v>
                </c:pt>
                <c:pt idx="351">
                  <c:v>71.742652893066406</c:v>
                </c:pt>
                <c:pt idx="352">
                  <c:v>70.440673828125</c:v>
                </c:pt>
                <c:pt idx="353">
                  <c:v>70.852333068847656</c:v>
                </c:pt>
                <c:pt idx="354">
                  <c:v>70.670433044433594</c:v>
                </c:pt>
                <c:pt idx="355">
                  <c:v>71.666061401367188</c:v>
                </c:pt>
                <c:pt idx="356">
                  <c:v>70.612998962402344</c:v>
                </c:pt>
                <c:pt idx="357">
                  <c:v>69.875846862792969</c:v>
                </c:pt>
                <c:pt idx="358">
                  <c:v>70.325798034667969</c:v>
                </c:pt>
                <c:pt idx="359">
                  <c:v>67.760139465332031</c:v>
                </c:pt>
                <c:pt idx="360">
                  <c:v>68.152656555175781</c:v>
                </c:pt>
                <c:pt idx="361">
                  <c:v>67.702705383300781</c:v>
                </c:pt>
                <c:pt idx="362">
                  <c:v>68.985527038574219</c:v>
                </c:pt>
                <c:pt idx="363">
                  <c:v>67.559097290039063</c:v>
                </c:pt>
                <c:pt idx="364">
                  <c:v>66.247543334960938</c:v>
                </c:pt>
                <c:pt idx="365">
                  <c:v>66.295417785644531</c:v>
                </c:pt>
                <c:pt idx="366">
                  <c:v>67.693130493164063</c:v>
                </c:pt>
                <c:pt idx="367">
                  <c:v>68.774917602539063</c:v>
                </c:pt>
                <c:pt idx="368">
                  <c:v>67.932449340820313</c:v>
                </c:pt>
                <c:pt idx="369">
                  <c:v>67.291038513183594</c:v>
                </c:pt>
                <c:pt idx="370">
                  <c:v>67.568672180175781</c:v>
                </c:pt>
                <c:pt idx="371">
                  <c:v>68.497299194335938</c:v>
                </c:pt>
                <c:pt idx="372">
                  <c:v>67.444221496582031</c:v>
                </c:pt>
                <c:pt idx="373">
                  <c:v>66.984695434570313</c:v>
                </c:pt>
                <c:pt idx="374">
                  <c:v>64.342460632324219</c:v>
                </c:pt>
                <c:pt idx="375">
                  <c:v>63.777633666992188</c:v>
                </c:pt>
                <c:pt idx="376">
                  <c:v>65.433815002441406</c:v>
                </c:pt>
                <c:pt idx="377">
                  <c:v>65.251930236816406</c:v>
                </c:pt>
                <c:pt idx="378">
                  <c:v>64.486053466796875</c:v>
                </c:pt>
                <c:pt idx="379">
                  <c:v>62.456508636474609</c:v>
                </c:pt>
                <c:pt idx="380">
                  <c:v>61.384292602539063</c:v>
                </c:pt>
                <c:pt idx="381">
                  <c:v>59.440898895263672</c:v>
                </c:pt>
                <c:pt idx="382">
                  <c:v>59.929145812988281</c:v>
                </c:pt>
                <c:pt idx="383">
                  <c:v>56.961406707763672</c:v>
                </c:pt>
                <c:pt idx="384">
                  <c:v>56.319999694824219</c:v>
                </c:pt>
                <c:pt idx="385">
                  <c:v>59.708953857421875</c:v>
                </c:pt>
                <c:pt idx="386">
                  <c:v>58.205940246582031</c:v>
                </c:pt>
                <c:pt idx="387">
                  <c:v>59.775970458984375</c:v>
                </c:pt>
                <c:pt idx="388">
                  <c:v>58.617595672607422</c:v>
                </c:pt>
                <c:pt idx="389">
                  <c:v>57.899593353271484</c:v>
                </c:pt>
                <c:pt idx="390">
                  <c:v>58.675037384033203</c:v>
                </c:pt>
                <c:pt idx="391">
                  <c:v>58.225086212158203</c:v>
                </c:pt>
                <c:pt idx="392">
                  <c:v>57.775138854980469</c:v>
                </c:pt>
                <c:pt idx="393">
                  <c:v>57.382633209228516</c:v>
                </c:pt>
                <c:pt idx="394">
                  <c:v>56.329566955566406</c:v>
                </c:pt>
                <c:pt idx="395">
                  <c:v>57.353916168212891</c:v>
                </c:pt>
                <c:pt idx="396">
                  <c:v>57.286899566650391</c:v>
                </c:pt>
                <c:pt idx="397">
                  <c:v>55.630714416503906</c:v>
                </c:pt>
                <c:pt idx="398">
                  <c:v>58.713329315185547</c:v>
                </c:pt>
                <c:pt idx="399">
                  <c:v>56.291267395019531</c:v>
                </c:pt>
                <c:pt idx="400">
                  <c:v>56.923110961914063</c:v>
                </c:pt>
                <c:pt idx="401">
                  <c:v>59.172843933105469</c:v>
                </c:pt>
                <c:pt idx="402">
                  <c:v>58.636745452880859</c:v>
                </c:pt>
                <c:pt idx="403">
                  <c:v>58.990951538085938</c:v>
                </c:pt>
                <c:pt idx="404">
                  <c:v>60.560981750488281</c:v>
                </c:pt>
                <c:pt idx="405">
                  <c:v>59.402606964111328</c:v>
                </c:pt>
                <c:pt idx="406">
                  <c:v>59.641937255859375</c:v>
                </c:pt>
                <c:pt idx="407">
                  <c:v>60.484401702880859</c:v>
                </c:pt>
                <c:pt idx="408">
                  <c:v>63.365978240966797</c:v>
                </c:pt>
                <c:pt idx="409">
                  <c:v>61.977836608886719</c:v>
                </c:pt>
                <c:pt idx="410">
                  <c:v>62.408645629882813</c:v>
                </c:pt>
                <c:pt idx="411">
                  <c:v>59.900421142578125</c:v>
                </c:pt>
                <c:pt idx="412">
                  <c:v>59.785541534423828</c:v>
                </c:pt>
                <c:pt idx="413">
                  <c:v>58.588874816894531</c:v>
                </c:pt>
                <c:pt idx="414">
                  <c:v>58.014472961425781</c:v>
                </c:pt>
                <c:pt idx="415">
                  <c:v>58.550579071044922</c:v>
                </c:pt>
                <c:pt idx="416">
                  <c:v>61.068374633789063</c:v>
                </c:pt>
                <c:pt idx="417">
                  <c:v>61.346004486083984</c:v>
                </c:pt>
                <c:pt idx="418">
                  <c:v>61.231121063232422</c:v>
                </c:pt>
                <c:pt idx="419">
                  <c:v>62.456508636474609</c:v>
                </c:pt>
                <c:pt idx="420">
                  <c:v>60.254638671875</c:v>
                </c:pt>
                <c:pt idx="421">
                  <c:v>58.694187164306641</c:v>
                </c:pt>
                <c:pt idx="422">
                  <c:v>60.063175201416016</c:v>
                </c:pt>
                <c:pt idx="423">
                  <c:v>57.995330810546875</c:v>
                </c:pt>
                <c:pt idx="424">
                  <c:v>56.310413360595703</c:v>
                </c:pt>
                <c:pt idx="425">
                  <c:v>55.123321533203125</c:v>
                </c:pt>
                <c:pt idx="426">
                  <c:v>54.577648162841797</c:v>
                </c:pt>
                <c:pt idx="427">
                  <c:v>54.185134887695313</c:v>
                </c:pt>
                <c:pt idx="428">
                  <c:v>54.453193664550781</c:v>
                </c:pt>
                <c:pt idx="429">
                  <c:v>55.228630065917969</c:v>
                </c:pt>
                <c:pt idx="430">
                  <c:v>56.023216247558594</c:v>
                </c:pt>
                <c:pt idx="431">
                  <c:v>56.501884460449219</c:v>
                </c:pt>
                <c:pt idx="432">
                  <c:v>53.409694671630859</c:v>
                </c:pt>
                <c:pt idx="433">
                  <c:v>53.582019805908203</c:v>
                </c:pt>
                <c:pt idx="434">
                  <c:v>53.649032592773438</c:v>
                </c:pt>
                <c:pt idx="435">
                  <c:v>54.079830169677734</c:v>
                </c:pt>
                <c:pt idx="436">
                  <c:v>53.31396484375</c:v>
                </c:pt>
                <c:pt idx="437">
                  <c:v>55.228630065917969</c:v>
                </c:pt>
                <c:pt idx="438">
                  <c:v>53.639457702636719</c:v>
                </c:pt>
                <c:pt idx="439">
                  <c:v>54.568073272705078</c:v>
                </c:pt>
                <c:pt idx="440">
                  <c:v>56.588050842285156</c:v>
                </c:pt>
                <c:pt idx="441">
                  <c:v>55.161617279052734</c:v>
                </c:pt>
                <c:pt idx="442">
                  <c:v>56.530605316162109</c:v>
                </c:pt>
                <c:pt idx="443">
                  <c:v>56.980552673339844</c:v>
                </c:pt>
                <c:pt idx="444">
                  <c:v>60.934345245361328</c:v>
                </c:pt>
                <c:pt idx="445">
                  <c:v>60.063175201416016</c:v>
                </c:pt>
                <c:pt idx="446">
                  <c:v>58.655887603759766</c:v>
                </c:pt>
                <c:pt idx="447">
                  <c:v>59.823833465576172</c:v>
                </c:pt>
                <c:pt idx="448">
                  <c:v>59.708953857421875</c:v>
                </c:pt>
                <c:pt idx="449">
                  <c:v>60.273780822753906</c:v>
                </c:pt>
                <c:pt idx="450">
                  <c:v>64.237144470214844</c:v>
                </c:pt>
                <c:pt idx="451">
                  <c:v>63.844638824462891</c:v>
                </c:pt>
                <c:pt idx="452">
                  <c:v>63.289386749267578</c:v>
                </c:pt>
                <c:pt idx="453">
                  <c:v>61.087516784667969</c:v>
                </c:pt>
                <c:pt idx="454">
                  <c:v>58.933521270751953</c:v>
                </c:pt>
                <c:pt idx="455">
                  <c:v>61.929969787597656</c:v>
                </c:pt>
                <c:pt idx="456">
                  <c:v>61.432159423828125</c:v>
                </c:pt>
                <c:pt idx="457">
                  <c:v>60.312080383300781</c:v>
                </c:pt>
                <c:pt idx="458">
                  <c:v>60.752452850341797</c:v>
                </c:pt>
                <c:pt idx="459">
                  <c:v>62.15972900390625</c:v>
                </c:pt>
                <c:pt idx="460">
                  <c:v>66.649635314941406</c:v>
                </c:pt>
                <c:pt idx="461">
                  <c:v>67.089996337890625</c:v>
                </c:pt>
                <c:pt idx="462">
                  <c:v>72.144729614257813</c:v>
                </c:pt>
                <c:pt idx="463">
                  <c:v>71.876678466796875</c:v>
                </c:pt>
                <c:pt idx="464">
                  <c:v>70.565132141113281</c:v>
                </c:pt>
                <c:pt idx="465">
                  <c:v>72.384063720703125</c:v>
                </c:pt>
                <c:pt idx="466">
                  <c:v>72.5372314453125</c:v>
                </c:pt>
                <c:pt idx="467">
                  <c:v>72.575531005859375</c:v>
                </c:pt>
                <c:pt idx="468">
                  <c:v>71.120391845703125</c:v>
                </c:pt>
                <c:pt idx="469">
                  <c:v>70.392807006835938</c:v>
                </c:pt>
                <c:pt idx="470">
                  <c:v>71.235267639160156</c:v>
                </c:pt>
                <c:pt idx="471">
                  <c:v>71.522468566894531</c:v>
                </c:pt>
                <c:pt idx="472">
                  <c:v>71.043792724609375</c:v>
                </c:pt>
                <c:pt idx="473">
                  <c:v>70.871475219726563</c:v>
                </c:pt>
                <c:pt idx="474">
                  <c:v>71.331001281738281</c:v>
                </c:pt>
                <c:pt idx="475">
                  <c:v>70.392807006835938</c:v>
                </c:pt>
                <c:pt idx="476">
                  <c:v>68.162216186523438</c:v>
                </c:pt>
                <c:pt idx="477">
                  <c:v>70.0577392578125</c:v>
                </c:pt>
                <c:pt idx="478">
                  <c:v>70.086463928222656</c:v>
                </c:pt>
                <c:pt idx="479">
                  <c:v>68.554733276367188</c:v>
                </c:pt>
                <c:pt idx="480">
                  <c:v>68.593032836914063</c:v>
                </c:pt>
                <c:pt idx="481">
                  <c:v>70.708732604980469</c:v>
                </c:pt>
                <c:pt idx="482">
                  <c:v>71.493743896484375</c:v>
                </c:pt>
                <c:pt idx="483">
                  <c:v>68.545150756835938</c:v>
                </c:pt>
                <c:pt idx="484">
                  <c:v>67.338912963867188</c:v>
                </c:pt>
                <c:pt idx="485">
                  <c:v>68.3441162109375</c:v>
                </c:pt>
                <c:pt idx="486">
                  <c:v>66.103950500488281</c:v>
                </c:pt>
                <c:pt idx="487">
                  <c:v>64.801979064941406</c:v>
                </c:pt>
                <c:pt idx="488">
                  <c:v>65.883773803710938</c:v>
                </c:pt>
                <c:pt idx="489">
                  <c:v>63.815925598144531</c:v>
                </c:pt>
                <c:pt idx="490">
                  <c:v>64.294593811035156</c:v>
                </c:pt>
                <c:pt idx="491">
                  <c:v>63.346828460693359</c:v>
                </c:pt>
                <c:pt idx="492">
                  <c:v>64.562644958496094</c:v>
                </c:pt>
                <c:pt idx="493">
                  <c:v>62.064002990722656</c:v>
                </c:pt>
                <c:pt idx="494">
                  <c:v>61.547042846679688</c:v>
                </c:pt>
                <c:pt idx="495">
                  <c:v>62.437362670898438</c:v>
                </c:pt>
                <c:pt idx="496">
                  <c:v>62.370346069335938</c:v>
                </c:pt>
                <c:pt idx="497">
                  <c:v>60.178047180175781</c:v>
                </c:pt>
                <c:pt idx="498">
                  <c:v>62.064002990722656</c:v>
                </c:pt>
                <c:pt idx="499">
                  <c:v>62.169315338134766</c:v>
                </c:pt>
                <c:pt idx="500">
                  <c:v>62.188449859619141</c:v>
                </c:pt>
                <c:pt idx="501">
                  <c:v>62.935169219970703</c:v>
                </c:pt>
                <c:pt idx="502">
                  <c:v>61.843814849853516</c:v>
                </c:pt>
                <c:pt idx="503">
                  <c:v>63.040481567382813</c:v>
                </c:pt>
                <c:pt idx="504">
                  <c:v>69.071693420410156</c:v>
                </c:pt>
                <c:pt idx="505">
                  <c:v>70.0577392578125</c:v>
                </c:pt>
                <c:pt idx="506">
                  <c:v>71.235267639160156</c:v>
                </c:pt>
                <c:pt idx="507">
                  <c:v>72.99676513671875</c:v>
                </c:pt>
                <c:pt idx="508">
                  <c:v>74.748695373535156</c:v>
                </c:pt>
                <c:pt idx="509">
                  <c:v>76.940971374511719</c:v>
                </c:pt>
                <c:pt idx="510">
                  <c:v>79.248146057128906</c:v>
                </c:pt>
                <c:pt idx="511">
                  <c:v>78.60833740234375</c:v>
                </c:pt>
                <c:pt idx="512">
                  <c:v>76.931282043457031</c:v>
                </c:pt>
                <c:pt idx="513">
                  <c:v>74.459320068359375</c:v>
                </c:pt>
                <c:pt idx="514">
                  <c:v>75.535362243652344</c:v>
                </c:pt>
                <c:pt idx="515">
                  <c:v>75.932807922363281</c:v>
                </c:pt>
                <c:pt idx="516">
                  <c:v>76.078224182128906</c:v>
                </c:pt>
                <c:pt idx="517">
                  <c:v>75.399635314941406</c:v>
                </c:pt>
                <c:pt idx="518">
                  <c:v>76.078224182128906</c:v>
                </c:pt>
                <c:pt idx="519">
                  <c:v>73.470535278320313</c:v>
                </c:pt>
                <c:pt idx="520">
                  <c:v>75.457809448242188</c:v>
                </c:pt>
                <c:pt idx="521">
                  <c:v>75.293006896972656</c:v>
                </c:pt>
                <c:pt idx="522">
                  <c:v>73.858314514160156</c:v>
                </c:pt>
                <c:pt idx="523">
                  <c:v>74.38177490234375</c:v>
                </c:pt>
                <c:pt idx="524">
                  <c:v>71.114906311035156</c:v>
                </c:pt>
                <c:pt idx="525">
                  <c:v>72.549613952636719</c:v>
                </c:pt>
                <c:pt idx="526">
                  <c:v>73.441459655761719</c:v>
                </c:pt>
                <c:pt idx="527">
                  <c:v>72.656242370605469</c:v>
                </c:pt>
                <c:pt idx="528">
                  <c:v>71.87103271484375</c:v>
                </c:pt>
                <c:pt idx="529">
                  <c:v>72.442985534667969</c:v>
                </c:pt>
                <c:pt idx="530">
                  <c:v>72.956764221191406</c:v>
                </c:pt>
                <c:pt idx="531">
                  <c:v>73.654731750488281</c:v>
                </c:pt>
                <c:pt idx="532">
                  <c:v>73.199111938476563</c:v>
                </c:pt>
                <c:pt idx="533">
                  <c:v>72.656242370605469</c:v>
                </c:pt>
                <c:pt idx="534">
                  <c:v>72.220016479492188</c:v>
                </c:pt>
                <c:pt idx="535">
                  <c:v>74.43994140625</c:v>
                </c:pt>
                <c:pt idx="536">
                  <c:v>73.635337829589844</c:v>
                </c:pt>
                <c:pt idx="537">
                  <c:v>74.711372375488281</c:v>
                </c:pt>
                <c:pt idx="538">
                  <c:v>74.944015502929688</c:v>
                </c:pt>
                <c:pt idx="539">
                  <c:v>74.76953125</c:v>
                </c:pt>
                <c:pt idx="540">
                  <c:v>74.604736328125</c:v>
                </c:pt>
                <c:pt idx="541">
                  <c:v>75.234840393066406</c:v>
                </c:pt>
                <c:pt idx="542">
                  <c:v>73.654731750488281</c:v>
                </c:pt>
                <c:pt idx="543">
                  <c:v>74.653213500976563</c:v>
                </c:pt>
                <c:pt idx="544">
                  <c:v>75.118507385253906</c:v>
                </c:pt>
                <c:pt idx="545">
                  <c:v>74.953720092773438</c:v>
                </c:pt>
                <c:pt idx="546">
                  <c:v>75.2154541015625</c:v>
                </c:pt>
                <c:pt idx="547">
                  <c:v>75.050651550292969</c:v>
                </c:pt>
                <c:pt idx="548">
                  <c:v>74.498092651367188</c:v>
                </c:pt>
                <c:pt idx="549">
                  <c:v>74.87615966796875</c:v>
                </c:pt>
                <c:pt idx="550">
                  <c:v>74.633811950683594</c:v>
                </c:pt>
                <c:pt idx="551">
                  <c:v>74.624122619628906</c:v>
                </c:pt>
                <c:pt idx="552">
                  <c:v>75.574134826660156</c:v>
                </c:pt>
                <c:pt idx="553">
                  <c:v>77.503227233886719</c:v>
                </c:pt>
                <c:pt idx="554">
                  <c:v>77.076705932617188</c:v>
                </c:pt>
                <c:pt idx="555">
                  <c:v>78.773147583007813</c:v>
                </c:pt>
                <c:pt idx="556">
                  <c:v>78.230270385742188</c:v>
                </c:pt>
                <c:pt idx="557">
                  <c:v>76.679237365722656</c:v>
                </c:pt>
                <c:pt idx="558">
                  <c:v>78.172103881835938</c:v>
                </c:pt>
                <c:pt idx="559">
                  <c:v>77.096084594726563</c:v>
                </c:pt>
                <c:pt idx="560">
                  <c:v>76.902206420898438</c:v>
                </c:pt>
                <c:pt idx="561">
                  <c:v>76.950675964355469</c:v>
                </c:pt>
                <c:pt idx="562">
                  <c:v>75.990974426269531</c:v>
                </c:pt>
                <c:pt idx="563">
                  <c:v>77.357826232910156</c:v>
                </c:pt>
                <c:pt idx="564">
                  <c:v>77.086380004882813</c:v>
                </c:pt>
                <c:pt idx="565">
                  <c:v>78.472618103027344</c:v>
                </c:pt>
                <c:pt idx="566">
                  <c:v>77.270584106445313</c:v>
                </c:pt>
                <c:pt idx="567">
                  <c:v>78.017005920410156</c:v>
                </c:pt>
                <c:pt idx="568">
                  <c:v>77.38690185546875</c:v>
                </c:pt>
                <c:pt idx="569">
                  <c:v>75.641990661621094</c:v>
                </c:pt>
                <c:pt idx="570">
                  <c:v>74.788925170898438</c:v>
                </c:pt>
                <c:pt idx="571">
                  <c:v>73.81951904296875</c:v>
                </c:pt>
                <c:pt idx="572">
                  <c:v>73.20880126953125</c:v>
                </c:pt>
                <c:pt idx="573">
                  <c:v>74.197593688964844</c:v>
                </c:pt>
                <c:pt idx="574">
                  <c:v>73.683815002441406</c:v>
                </c:pt>
                <c:pt idx="575">
                  <c:v>71.938888549804688</c:v>
                </c:pt>
                <c:pt idx="576">
                  <c:v>70.47509765625</c:v>
                </c:pt>
                <c:pt idx="577">
                  <c:v>67.208236694335938</c:v>
                </c:pt>
                <c:pt idx="578">
                  <c:v>66.054656982421875</c:v>
                </c:pt>
                <c:pt idx="579">
                  <c:v>65.53118896484375</c:v>
                </c:pt>
                <c:pt idx="580">
                  <c:v>67.334266662597656</c:v>
                </c:pt>
                <c:pt idx="581">
                  <c:v>67.004661560058594</c:v>
                </c:pt>
                <c:pt idx="582">
                  <c:v>65.841384887695313</c:v>
                </c:pt>
                <c:pt idx="583">
                  <c:v>66.655693054199219</c:v>
                </c:pt>
                <c:pt idx="584">
                  <c:v>67.59600830078125</c:v>
                </c:pt>
                <c:pt idx="585">
                  <c:v>72.278190612792969</c:v>
                </c:pt>
                <c:pt idx="586">
                  <c:v>72.258796691894531</c:v>
                </c:pt>
                <c:pt idx="587">
                  <c:v>72.607780456542969</c:v>
                </c:pt>
                <c:pt idx="588">
                  <c:v>72.888908386230469</c:v>
                </c:pt>
                <c:pt idx="589">
                  <c:v>73.974617004394531</c:v>
                </c:pt>
                <c:pt idx="590">
                  <c:v>74.023101806640625</c:v>
                </c:pt>
                <c:pt idx="591">
                  <c:v>74.013397216796875</c:v>
                </c:pt>
                <c:pt idx="592">
                  <c:v>72.249107360839844</c:v>
                </c:pt>
                <c:pt idx="593">
                  <c:v>70.242454528808594</c:v>
                </c:pt>
                <c:pt idx="594">
                  <c:v>68.933769226074219</c:v>
                </c:pt>
                <c:pt idx="595">
                  <c:v>68.836837768554688</c:v>
                </c:pt>
                <c:pt idx="596">
                  <c:v>70.7562255859375</c:v>
                </c:pt>
                <c:pt idx="597">
                  <c:v>72.200630187988281</c:v>
                </c:pt>
                <c:pt idx="598">
                  <c:v>71.900123596191406</c:v>
                </c:pt>
                <c:pt idx="599">
                  <c:v>73.383285522460938</c:v>
                </c:pt>
                <c:pt idx="600">
                  <c:v>72.297569274902344</c:v>
                </c:pt>
                <c:pt idx="601">
                  <c:v>72.685340881347656</c:v>
                </c:pt>
                <c:pt idx="602">
                  <c:v>73.577178955078125</c:v>
                </c:pt>
                <c:pt idx="603">
                  <c:v>72.733802795410156</c:v>
                </c:pt>
                <c:pt idx="604">
                  <c:v>71.376640319824219</c:v>
                </c:pt>
                <c:pt idx="605">
                  <c:v>71.492973327636719</c:v>
                </c:pt>
                <c:pt idx="606">
                  <c:v>71.92919921875</c:v>
                </c:pt>
                <c:pt idx="607">
                  <c:v>72.43328857421875</c:v>
                </c:pt>
                <c:pt idx="608">
                  <c:v>70.950111389160156</c:v>
                </c:pt>
                <c:pt idx="609">
                  <c:v>74.4884033203125</c:v>
                </c:pt>
                <c:pt idx="610">
                  <c:v>72.423599243164063</c:v>
                </c:pt>
                <c:pt idx="611">
                  <c:v>72.520530700683594</c:v>
                </c:pt>
                <c:pt idx="612">
                  <c:v>72.636863708496094</c:v>
                </c:pt>
                <c:pt idx="613">
                  <c:v>74.14910888671875</c:v>
                </c:pt>
                <c:pt idx="614">
                  <c:v>72.491447448730469</c:v>
                </c:pt>
                <c:pt idx="615">
                  <c:v>75.031272888183594</c:v>
                </c:pt>
                <c:pt idx="616">
                  <c:v>74.43023681640625</c:v>
                </c:pt>
                <c:pt idx="617">
                  <c:v>76.737411499023438</c:v>
                </c:pt>
                <c:pt idx="618">
                  <c:v>76.4368896484375</c:v>
                </c:pt>
                <c:pt idx="619">
                  <c:v>77.454757690429688</c:v>
                </c:pt>
                <c:pt idx="620">
                  <c:v>79.189979553222656</c:v>
                </c:pt>
                <c:pt idx="621">
                  <c:v>79.500190734863281</c:v>
                </c:pt>
                <c:pt idx="622">
                  <c:v>82.398681640625</c:v>
                </c:pt>
                <c:pt idx="623">
                  <c:v>80.459884643554688</c:v>
                </c:pt>
                <c:pt idx="624">
                  <c:v>80.556831359863281</c:v>
                </c:pt>
                <c:pt idx="625">
                  <c:v>79.306312561035156</c:v>
                </c:pt>
                <c:pt idx="626">
                  <c:v>80.459884643554688</c:v>
                </c:pt>
                <c:pt idx="627">
                  <c:v>83.368080139160156</c:v>
                </c:pt>
                <c:pt idx="628">
                  <c:v>84.715530395507813</c:v>
                </c:pt>
                <c:pt idx="629">
                  <c:v>83.019088745117188</c:v>
                </c:pt>
                <c:pt idx="630">
                  <c:v>82.5150146484375</c:v>
                </c:pt>
                <c:pt idx="631">
                  <c:v>83.261444091796875</c:v>
                </c:pt>
                <c:pt idx="632">
                  <c:v>84.221145629882813</c:v>
                </c:pt>
                <c:pt idx="633">
                  <c:v>84.482887268066406</c:v>
                </c:pt>
                <c:pt idx="634">
                  <c:v>82.737960815429688</c:v>
                </c:pt>
                <c:pt idx="635">
                  <c:v>80.808876037597656</c:v>
                </c:pt>
                <c:pt idx="636">
                  <c:v>79.781318664550781</c:v>
                </c:pt>
                <c:pt idx="637">
                  <c:v>80.285400390625</c:v>
                </c:pt>
                <c:pt idx="638">
                  <c:v>80.06243896484375</c:v>
                </c:pt>
                <c:pt idx="639">
                  <c:v>81.516517639160156</c:v>
                </c:pt>
                <c:pt idx="640">
                  <c:v>84.172676086425781</c:v>
                </c:pt>
                <c:pt idx="641">
                  <c:v>83.338996887207031</c:v>
                </c:pt>
                <c:pt idx="642">
                  <c:v>80.459884643554688</c:v>
                </c:pt>
                <c:pt idx="643">
                  <c:v>79.587432861328125</c:v>
                </c:pt>
                <c:pt idx="644">
                  <c:v>81.419586181640625</c:v>
                </c:pt>
                <c:pt idx="645">
                  <c:v>82.146636962890625</c:v>
                </c:pt>
                <c:pt idx="646">
                  <c:v>81.846115112304688</c:v>
                </c:pt>
                <c:pt idx="647">
                  <c:v>85.190544128417969</c:v>
                </c:pt>
                <c:pt idx="648">
                  <c:v>83.736442565917969</c:v>
                </c:pt>
                <c:pt idx="649">
                  <c:v>81.632858276367188</c:v>
                </c:pt>
                <c:pt idx="650">
                  <c:v>81.943061828613281</c:v>
                </c:pt>
                <c:pt idx="651">
                  <c:v>83.726753234863281</c:v>
                </c:pt>
                <c:pt idx="652">
                  <c:v>83.416557312011719</c:v>
                </c:pt>
                <c:pt idx="653">
                  <c:v>84.550743103027344</c:v>
                </c:pt>
                <c:pt idx="654">
                  <c:v>82.418075561523438</c:v>
                </c:pt>
                <c:pt idx="655">
                  <c:v>85.47998046875</c:v>
                </c:pt>
                <c:pt idx="656">
                  <c:v>83.997787475585938</c:v>
                </c:pt>
                <c:pt idx="657">
                  <c:v>84.836387634277344</c:v>
                </c:pt>
                <c:pt idx="658">
                  <c:v>82.262039184570313</c:v>
                </c:pt>
                <c:pt idx="659">
                  <c:v>82.067024230957031</c:v>
                </c:pt>
                <c:pt idx="660">
                  <c:v>79.980239868164063</c:v>
                </c:pt>
                <c:pt idx="661">
                  <c:v>82.720359802246094</c:v>
                </c:pt>
                <c:pt idx="662">
                  <c:v>82.320549011230469</c:v>
                </c:pt>
                <c:pt idx="663">
                  <c:v>81.48193359375</c:v>
                </c:pt>
                <c:pt idx="664">
                  <c:v>84.183059692382813</c:v>
                </c:pt>
                <c:pt idx="665">
                  <c:v>87.742286682128906</c:v>
                </c:pt>
                <c:pt idx="666">
                  <c:v>87.02069091796875</c:v>
                </c:pt>
                <c:pt idx="667">
                  <c:v>85.18743896484375</c:v>
                </c:pt>
                <c:pt idx="668">
                  <c:v>86.913421630859375</c:v>
                </c:pt>
                <c:pt idx="669">
                  <c:v>87.439987182617188</c:v>
                </c:pt>
                <c:pt idx="670">
                  <c:v>89.126968383789063</c:v>
                </c:pt>
                <c:pt idx="671">
                  <c:v>90.492156982421875</c:v>
                </c:pt>
                <c:pt idx="672">
                  <c:v>88.103080749511719</c:v>
                </c:pt>
                <c:pt idx="673">
                  <c:v>89.858314514160156</c:v>
                </c:pt>
                <c:pt idx="674">
                  <c:v>89.760810852050781</c:v>
                </c:pt>
                <c:pt idx="675">
                  <c:v>90.414146423339844</c:v>
                </c:pt>
                <c:pt idx="676">
                  <c:v>92.608192443847656</c:v>
                </c:pt>
                <c:pt idx="677">
                  <c:v>92.530174255371094</c:v>
                </c:pt>
                <c:pt idx="678">
                  <c:v>94.2171630859375</c:v>
                </c:pt>
                <c:pt idx="679">
                  <c:v>94.58770751953125</c:v>
                </c:pt>
                <c:pt idx="680">
                  <c:v>94.58770751953125</c:v>
                </c:pt>
                <c:pt idx="681">
                  <c:v>93.125007629394531</c:v>
                </c:pt>
                <c:pt idx="682">
                  <c:v>92.149879455566406</c:v>
                </c:pt>
                <c:pt idx="683">
                  <c:v>93.125007629394531</c:v>
                </c:pt>
                <c:pt idx="684">
                  <c:v>92.803215026855469</c:v>
                </c:pt>
                <c:pt idx="685">
                  <c:v>94.538948059082031</c:v>
                </c:pt>
                <c:pt idx="686">
                  <c:v>92.978736877441406</c:v>
                </c:pt>
                <c:pt idx="687">
                  <c:v>90.765190124511719</c:v>
                </c:pt>
                <c:pt idx="688">
                  <c:v>91.203994750976563</c:v>
                </c:pt>
                <c:pt idx="689">
                  <c:v>90.999221801757813</c:v>
                </c:pt>
                <c:pt idx="690">
                  <c:v>90.667678833007813</c:v>
                </c:pt>
                <c:pt idx="691">
                  <c:v>87.342475891113281</c:v>
                </c:pt>
                <c:pt idx="692">
                  <c:v>88.454124450683594</c:v>
                </c:pt>
                <c:pt idx="693">
                  <c:v>88.678413391113281</c:v>
                </c:pt>
                <c:pt idx="694">
                  <c:v>87.664268493652344</c:v>
                </c:pt>
                <c:pt idx="695">
                  <c:v>88.044578552246094</c:v>
                </c:pt>
                <c:pt idx="696">
                  <c:v>85.587242126464844</c:v>
                </c:pt>
                <c:pt idx="697">
                  <c:v>86.357589721679688</c:v>
                </c:pt>
                <c:pt idx="698">
                  <c:v>85.431221008300781</c:v>
                </c:pt>
                <c:pt idx="699">
                  <c:v>84.19281005859375</c:v>
                </c:pt>
                <c:pt idx="700">
                  <c:v>85.128936767578125</c:v>
                </c:pt>
                <c:pt idx="701">
                  <c:v>85.528732299804688</c:v>
                </c:pt>
                <c:pt idx="702">
                  <c:v>86.338096618652344</c:v>
                </c:pt>
                <c:pt idx="703">
                  <c:v>86.737907409667969</c:v>
                </c:pt>
                <c:pt idx="704">
                  <c:v>88.610153198242188</c:v>
                </c:pt>
                <c:pt idx="705">
                  <c:v>88.073829650878906</c:v>
                </c:pt>
                <c:pt idx="706">
                  <c:v>85.343460083007813</c:v>
                </c:pt>
                <c:pt idx="707">
                  <c:v>85.245941162109375</c:v>
                </c:pt>
                <c:pt idx="708">
                  <c:v>85.2264404296875</c:v>
                </c:pt>
                <c:pt idx="709">
                  <c:v>85.948043823242188</c:v>
                </c:pt>
                <c:pt idx="710">
                  <c:v>84.709625244140625</c:v>
                </c:pt>
                <c:pt idx="711">
                  <c:v>84.875396728515625</c:v>
                </c:pt>
                <c:pt idx="712">
                  <c:v>84.787635803222656</c:v>
                </c:pt>
                <c:pt idx="713">
                  <c:v>82.320549011230469</c:v>
                </c:pt>
                <c:pt idx="714">
                  <c:v>82.652099609375</c:v>
                </c:pt>
                <c:pt idx="715">
                  <c:v>82.681350708007813</c:v>
                </c:pt>
                <c:pt idx="716">
                  <c:v>82.808113098144531</c:v>
                </c:pt>
                <c:pt idx="717">
                  <c:v>82.096275329589844</c:v>
                </c:pt>
                <c:pt idx="718">
                  <c:v>84.056282043457031</c:v>
                </c:pt>
                <c:pt idx="719">
                  <c:v>83.480964660644531</c:v>
                </c:pt>
                <c:pt idx="720">
                  <c:v>82.466819763183594</c:v>
                </c:pt>
                <c:pt idx="721">
                  <c:v>86.942680358886719</c:v>
                </c:pt>
                <c:pt idx="722">
                  <c:v>89.107467651367188</c:v>
                </c:pt>
                <c:pt idx="723">
                  <c:v>87.391242980957031</c:v>
                </c:pt>
                <c:pt idx="724">
                  <c:v>87.498504638671875</c:v>
                </c:pt>
                <c:pt idx="725">
                  <c:v>88.824676513671875</c:v>
                </c:pt>
                <c:pt idx="726">
                  <c:v>86.279586791992188</c:v>
                </c:pt>
                <c:pt idx="727">
                  <c:v>90.326377868652344</c:v>
                </c:pt>
                <c:pt idx="728">
                  <c:v>91.896331787109375</c:v>
                </c:pt>
                <c:pt idx="729">
                  <c:v>94.246406555175781</c:v>
                </c:pt>
                <c:pt idx="730">
                  <c:v>95.91387939453125</c:v>
                </c:pt>
                <c:pt idx="731">
                  <c:v>93.437049865722656</c:v>
                </c:pt>
                <c:pt idx="732">
                  <c:v>95.718864440917969</c:v>
                </c:pt>
                <c:pt idx="733">
                  <c:v>94.49993896484375</c:v>
                </c:pt>
                <c:pt idx="734">
                  <c:v>94.577949523925781</c:v>
                </c:pt>
                <c:pt idx="735">
                  <c:v>97.337570190429688</c:v>
                </c:pt>
                <c:pt idx="736">
                  <c:v>100.614013671875</c:v>
                </c:pt>
                <c:pt idx="737">
                  <c:v>98.48822021484375</c:v>
                </c:pt>
                <c:pt idx="738">
                  <c:v>97.591110229492188</c:v>
                </c:pt>
                <c:pt idx="739">
                  <c:v>97.737380981445313</c:v>
                </c:pt>
                <c:pt idx="740">
                  <c:v>96.713485717773438</c:v>
                </c:pt>
                <c:pt idx="741">
                  <c:v>99.521858215332031</c:v>
                </c:pt>
                <c:pt idx="742">
                  <c:v>96.976776123046875</c:v>
                </c:pt>
                <c:pt idx="743">
                  <c:v>98.517471313476563</c:v>
                </c:pt>
                <c:pt idx="744">
                  <c:v>97.513092041015625</c:v>
                </c:pt>
                <c:pt idx="745">
                  <c:v>97.357063293457031</c:v>
                </c:pt>
                <c:pt idx="746">
                  <c:v>98.117683410644531</c:v>
                </c:pt>
                <c:pt idx="747">
                  <c:v>98.507720947265625</c:v>
                </c:pt>
                <c:pt idx="748">
                  <c:v>100.92604827880859</c:v>
                </c:pt>
                <c:pt idx="749">
                  <c:v>100.43849182128906</c:v>
                </c:pt>
                <c:pt idx="750">
                  <c:v>100.60425567626953</c:v>
                </c:pt>
                <c:pt idx="751">
                  <c:v>100.04843139648438</c:v>
                </c:pt>
                <c:pt idx="752">
                  <c:v>101.111328125</c:v>
                </c:pt>
                <c:pt idx="753">
                  <c:v>100.77978515625</c:v>
                </c:pt>
                <c:pt idx="754">
                  <c:v>101.43312072753906</c:v>
                </c:pt>
                <c:pt idx="755">
                  <c:v>101.81341552734375</c:v>
                </c:pt>
                <c:pt idx="756">
                  <c:v>100.47749328613281</c:v>
                </c:pt>
                <c:pt idx="757">
                  <c:v>99.746147155761719</c:v>
                </c:pt>
                <c:pt idx="758">
                  <c:v>98.585739135742188</c:v>
                </c:pt>
                <c:pt idx="759">
                  <c:v>99.092803955078125</c:v>
                </c:pt>
                <c:pt idx="760">
                  <c:v>102.34973907470703</c:v>
                </c:pt>
                <c:pt idx="761">
                  <c:v>107.84947967529297</c:v>
                </c:pt>
                <c:pt idx="762">
                  <c:v>108.57107543945313</c:v>
                </c:pt>
                <c:pt idx="763">
                  <c:v>100.45799255371094</c:v>
                </c:pt>
                <c:pt idx="764">
                  <c:v>104.61204528808594</c:v>
                </c:pt>
                <c:pt idx="765">
                  <c:v>110.26780700683594</c:v>
                </c:pt>
                <c:pt idx="766">
                  <c:v>109.32192230224609</c:v>
                </c:pt>
                <c:pt idx="767">
                  <c:v>112.05229949951172</c:v>
                </c:pt>
                <c:pt idx="768">
                  <c:v>111.01865386962891</c:v>
                </c:pt>
                <c:pt idx="769">
                  <c:v>112.72513580322266</c:v>
                </c:pt>
                <c:pt idx="770">
                  <c:v>112.98842620849609</c:v>
                </c:pt>
                <c:pt idx="771">
                  <c:v>113.45648193359375</c:v>
                </c:pt>
                <c:pt idx="772">
                  <c:v>114.70465087890625</c:v>
                </c:pt>
                <c:pt idx="773">
                  <c:v>116.28436279296875</c:v>
                </c:pt>
                <c:pt idx="774">
                  <c:v>116.81092834472656</c:v>
                </c:pt>
                <c:pt idx="775">
                  <c:v>115.84555816650391</c:v>
                </c:pt>
                <c:pt idx="776">
                  <c:v>115.95282745361328</c:v>
                </c:pt>
                <c:pt idx="777">
                  <c:v>117.86408233642578</c:v>
                </c:pt>
                <c:pt idx="778">
                  <c:v>117.50328063964844</c:v>
                </c:pt>
                <c:pt idx="779">
                  <c:v>116.908447265625</c:v>
                </c:pt>
                <c:pt idx="780">
                  <c:v>117.42527008056641</c:v>
                </c:pt>
                <c:pt idx="781">
                  <c:v>117.30825042724609</c:v>
                </c:pt>
                <c:pt idx="782">
                  <c:v>118.92696380615234</c:v>
                </c:pt>
                <c:pt idx="783">
                  <c:v>117.76082611083984</c:v>
                </c:pt>
                <c:pt idx="784">
                  <c:v>119.06416320800781</c:v>
                </c:pt>
                <c:pt idx="785">
                  <c:v>121.22005462646484</c:v>
                </c:pt>
                <c:pt idx="786">
                  <c:v>123.00356292724609</c:v>
                </c:pt>
                <c:pt idx="787">
                  <c:v>121.36705780029297</c:v>
                </c:pt>
                <c:pt idx="788">
                  <c:v>121.59243774414063</c:v>
                </c:pt>
                <c:pt idx="789">
                  <c:v>122.07261657714844</c:v>
                </c:pt>
                <c:pt idx="790">
                  <c:v>120.72028350830078</c:v>
                </c:pt>
                <c:pt idx="791">
                  <c:v>119.69132995605469</c:v>
                </c:pt>
                <c:pt idx="792">
                  <c:v>121.47484588623047</c:v>
                </c:pt>
                <c:pt idx="793">
                  <c:v>122.21961212158203</c:v>
                </c:pt>
                <c:pt idx="794">
                  <c:v>124.84587860107422</c:v>
                </c:pt>
                <c:pt idx="795">
                  <c:v>123.37595367431641</c:v>
                </c:pt>
                <c:pt idx="796">
                  <c:v>123.90512847900391</c:v>
                </c:pt>
                <c:pt idx="797">
                  <c:v>126.88417053222656</c:v>
                </c:pt>
                <c:pt idx="798">
                  <c:v>126.21781921386719</c:v>
                </c:pt>
                <c:pt idx="799">
                  <c:v>125.58084106445313</c:v>
                </c:pt>
                <c:pt idx="800">
                  <c:v>125.54164886474609</c:v>
                </c:pt>
                <c:pt idx="801">
                  <c:v>127.36436462402344</c:v>
                </c:pt>
                <c:pt idx="802">
                  <c:v>128.07972717285156</c:v>
                </c:pt>
                <c:pt idx="803">
                  <c:v>129.35366821289063</c:v>
                </c:pt>
                <c:pt idx="804">
                  <c:v>129.44184875488281</c:v>
                </c:pt>
                <c:pt idx="805">
                  <c:v>130.3336181640625</c:v>
                </c:pt>
                <c:pt idx="806">
                  <c:v>130.51979064941406</c:v>
                </c:pt>
                <c:pt idx="807">
                  <c:v>126.83517456054688</c:v>
                </c:pt>
                <c:pt idx="808">
                  <c:v>123.37595367431641</c:v>
                </c:pt>
                <c:pt idx="809">
                  <c:v>126.43341064453125</c:v>
                </c:pt>
                <c:pt idx="810">
                  <c:v>129.83384704589844</c:v>
                </c:pt>
                <c:pt idx="811">
                  <c:v>125.94342803955078</c:v>
                </c:pt>
                <c:pt idx="812">
                  <c:v>125.32605743408203</c:v>
                </c:pt>
                <c:pt idx="813">
                  <c:v>126.44320678710938</c:v>
                </c:pt>
                <c:pt idx="814">
                  <c:v>127.06056976318359</c:v>
                </c:pt>
                <c:pt idx="815">
                  <c:v>125.36524963378906</c:v>
                </c:pt>
                <c:pt idx="816">
                  <c:v>125.86502838134766</c:v>
                </c:pt>
                <c:pt idx="817">
                  <c:v>129.44184875488281</c:v>
                </c:pt>
                <c:pt idx="818">
                  <c:v>131.8917236328125</c:v>
                </c:pt>
                <c:pt idx="819">
                  <c:v>130.235595703125</c:v>
                </c:pt>
                <c:pt idx="820">
                  <c:v>131.2547607421875</c:v>
                </c:pt>
                <c:pt idx="821">
                  <c:v>127.12916564941406</c:v>
                </c:pt>
                <c:pt idx="822">
                  <c:v>127.39374542236328</c:v>
                </c:pt>
                <c:pt idx="823">
                  <c:v>132.78349304199219</c:v>
                </c:pt>
                <c:pt idx="824">
                  <c:v>130.225830078125</c:v>
                </c:pt>
                <c:pt idx="825">
                  <c:v>134.63558959960938</c:v>
                </c:pt>
                <c:pt idx="826">
                  <c:v>134.73359680175781</c:v>
                </c:pt>
                <c:pt idx="827">
                  <c:v>135.32156372070313</c:v>
                </c:pt>
                <c:pt idx="828">
                  <c:v>137.34027099609375</c:v>
                </c:pt>
                <c:pt idx="829">
                  <c:v>132.07794189453125</c:v>
                </c:pt>
                <c:pt idx="830">
                  <c:v>129.36344909667969</c:v>
                </c:pt>
                <c:pt idx="831">
                  <c:v>133.195068359375</c:v>
                </c:pt>
                <c:pt idx="832">
                  <c:v>133.77323913574219</c:v>
                </c:pt>
                <c:pt idx="833">
                  <c:v>131.03916931152344</c:v>
                </c:pt>
                <c:pt idx="834">
                  <c:v>134.63558959960938</c:v>
                </c:pt>
                <c:pt idx="835">
                  <c:v>133.98883056640625</c:v>
                </c:pt>
                <c:pt idx="836">
                  <c:v>134.11622619628906</c:v>
                </c:pt>
                <c:pt idx="837">
                  <c:v>136.11531066894531</c:v>
                </c:pt>
                <c:pt idx="838">
                  <c:v>134.13581848144531</c:v>
                </c:pt>
                <c:pt idx="839">
                  <c:v>134.99818420410156</c:v>
                </c:pt>
                <c:pt idx="840">
                  <c:v>142.09304809570313</c:v>
                </c:pt>
                <c:pt idx="841">
                  <c:v>135.41957092285156</c:v>
                </c:pt>
                <c:pt idx="842">
                  <c:v>137.85963439941406</c:v>
                </c:pt>
                <c:pt idx="843">
                  <c:v>140.62310791015625</c:v>
                </c:pt>
                <c:pt idx="844">
                  <c:v>135.39015197753906</c:v>
                </c:pt>
                <c:pt idx="845">
                  <c:v>134.30242919921875</c:v>
                </c:pt>
                <c:pt idx="846">
                  <c:v>127.42315673828125</c:v>
                </c:pt>
                <c:pt idx="847">
                  <c:v>127.12916564941406</c:v>
                </c:pt>
                <c:pt idx="848">
                  <c:v>127.20756530761719</c:v>
                </c:pt>
                <c:pt idx="849">
                  <c:v>126.57059478759766</c:v>
                </c:pt>
                <c:pt idx="850">
                  <c:v>123.99331665039063</c:v>
                </c:pt>
                <c:pt idx="851">
                  <c:v>123.05255889892578</c:v>
                </c:pt>
                <c:pt idx="852">
                  <c:v>123.60134124755859</c:v>
                </c:pt>
                <c:pt idx="853">
                  <c:v>121.19065856933594</c:v>
                </c:pt>
                <c:pt idx="854">
                  <c:v>126.12962341308594</c:v>
                </c:pt>
                <c:pt idx="855">
                  <c:v>126.58039093017578</c:v>
                </c:pt>
                <c:pt idx="856">
                  <c:v>127.30557250976563</c:v>
                </c:pt>
                <c:pt idx="857">
                  <c:v>130.66679382324219</c:v>
                </c:pt>
                <c:pt idx="858">
                  <c:v>130.87258911132813</c:v>
                </c:pt>
                <c:pt idx="859">
                  <c:v>130.36299133300781</c:v>
                </c:pt>
                <c:pt idx="860">
                  <c:v>124.51268768310547</c:v>
                </c:pt>
                <c:pt idx="861">
                  <c:v>127.20756530761719</c:v>
                </c:pt>
                <c:pt idx="862">
                  <c:v>125.6396484375</c:v>
                </c:pt>
                <c:pt idx="863">
                  <c:v>128.77549743652344</c:v>
                </c:pt>
                <c:pt idx="864">
                  <c:v>125.82582092285156</c:v>
                </c:pt>
                <c:pt idx="865">
                  <c:v>126.61959075927734</c:v>
                </c:pt>
                <c:pt idx="866">
                  <c:v>122.06281280517578</c:v>
                </c:pt>
                <c:pt idx="867">
                  <c:v>117.89802551269531</c:v>
                </c:pt>
                <c:pt idx="868">
                  <c:v>117.57463836669922</c:v>
                </c:pt>
                <c:pt idx="869">
                  <c:v>118.15280914306641</c:v>
                </c:pt>
                <c:pt idx="870">
                  <c:v>117.33945465087891</c:v>
                </c:pt>
                <c:pt idx="871">
                  <c:v>114.43878936767578</c:v>
                </c:pt>
                <c:pt idx="872">
                  <c:v>113.24324798583984</c:v>
                </c:pt>
                <c:pt idx="873">
                  <c:v>114.64457702636719</c:v>
                </c:pt>
                <c:pt idx="874">
                  <c:v>125.32605743408203</c:v>
                </c:pt>
                <c:pt idx="875">
                  <c:v>130.80398559570313</c:v>
                </c:pt>
                <c:pt idx="876">
                  <c:v>125.42404937744141</c:v>
                </c:pt>
                <c:pt idx="877">
                  <c:v>125.40444946289063</c:v>
                </c:pt>
                <c:pt idx="878">
                  <c:v>122.99376678466797</c:v>
                </c:pt>
                <c:pt idx="879">
                  <c:v>122.10201263427734</c:v>
                </c:pt>
                <c:pt idx="880">
                  <c:v>124.60089874267578</c:v>
                </c:pt>
                <c:pt idx="881">
                  <c:v>130.31401062011719</c:v>
                </c:pt>
                <c:pt idx="882">
                  <c:v>131.80354309082031</c:v>
                </c:pt>
                <c:pt idx="883">
                  <c:v>135.05699157714844</c:v>
                </c:pt>
                <c:pt idx="884">
                  <c:v>134.1064453125</c:v>
                </c:pt>
                <c:pt idx="885">
                  <c:v>134.65518188476563</c:v>
                </c:pt>
                <c:pt idx="886">
                  <c:v>133.48905944824219</c:v>
                </c:pt>
                <c:pt idx="887">
                  <c:v>135.595947265625</c:v>
                </c:pt>
                <c:pt idx="888">
                  <c:v>134.94918823242188</c:v>
                </c:pt>
                <c:pt idx="889">
                  <c:v>137.30107116699219</c:v>
                </c:pt>
                <c:pt idx="890">
                  <c:v>138.28103637695313</c:v>
                </c:pt>
                <c:pt idx="891">
                  <c:v>146.03244018554688</c:v>
                </c:pt>
                <c:pt idx="892">
                  <c:v>154.38163757324219</c:v>
                </c:pt>
                <c:pt idx="893">
                  <c:v>153.87205505371094</c:v>
                </c:pt>
                <c:pt idx="894">
                  <c:v>154.32284545898438</c:v>
                </c:pt>
                <c:pt idx="895">
                  <c:v>159.90855407714844</c:v>
                </c:pt>
                <c:pt idx="896">
                  <c:v>157.59588623046875</c:v>
                </c:pt>
                <c:pt idx="897">
                  <c:v>161.43730163574219</c:v>
                </c:pt>
                <c:pt idx="898">
                  <c:v>157.34109497070313</c:v>
                </c:pt>
                <c:pt idx="899">
                  <c:v>160.02615356445313</c:v>
                </c:pt>
                <c:pt idx="900">
                  <c:v>163.57356262207031</c:v>
                </c:pt>
                <c:pt idx="901">
                  <c:v>166.76821899414063</c:v>
                </c:pt>
                <c:pt idx="902">
                  <c:v>177.30270385742188</c:v>
                </c:pt>
                <c:pt idx="903">
                  <c:v>175.95571899414063</c:v>
                </c:pt>
                <c:pt idx="904">
                  <c:v>175.98521423339844</c:v>
                </c:pt>
                <c:pt idx="905">
                  <c:v>173.20272827148438</c:v>
                </c:pt>
                <c:pt idx="906">
                  <c:v>177.47967529296875</c:v>
                </c:pt>
                <c:pt idx="907">
                  <c:v>178.07943725585938</c:v>
                </c:pt>
                <c:pt idx="908">
                  <c:v>180.38017272949219</c:v>
                </c:pt>
                <c:pt idx="909">
                  <c:v>180.63581848144531</c:v>
                </c:pt>
                <c:pt idx="910">
                  <c:v>185.10942077636719</c:v>
                </c:pt>
                <c:pt idx="911">
                  <c:v>186.04347229003906</c:v>
                </c:pt>
                <c:pt idx="912">
                  <c:v>183.37895202636719</c:v>
                </c:pt>
                <c:pt idx="913">
                  <c:v>176.85043334960938</c:v>
                </c:pt>
                <c:pt idx="914">
                  <c:v>175.19863891601563</c:v>
                </c:pt>
                <c:pt idx="915">
                  <c:v>179.73124694824219</c:v>
                </c:pt>
                <c:pt idx="916">
                  <c:v>180.47848510742188</c:v>
                </c:pt>
                <c:pt idx="917">
                  <c:v>171.59025573730469</c:v>
                </c:pt>
                <c:pt idx="918">
                  <c:v>173.22238159179688</c:v>
                </c:pt>
                <c:pt idx="919">
                  <c:v>173.18305969238281</c:v>
                </c:pt>
                <c:pt idx="920">
                  <c:v>170.69552612304688</c:v>
                </c:pt>
                <c:pt idx="921">
                  <c:v>166.55619812011719</c:v>
                </c:pt>
                <c:pt idx="922">
                  <c:v>165.04205322265625</c:v>
                </c:pt>
                <c:pt idx="923">
                  <c:v>159.5458984375</c:v>
                </c:pt>
                <c:pt idx="924">
                  <c:v>150.71662902832031</c:v>
                </c:pt>
                <c:pt idx="925">
                  <c:v>156.07516479492188</c:v>
                </c:pt>
                <c:pt idx="926">
                  <c:v>150.7952880859375</c:v>
                </c:pt>
                <c:pt idx="927">
                  <c:v>156.26194763183594</c:v>
                </c:pt>
                <c:pt idx="928">
                  <c:v>160.29313659667969</c:v>
                </c:pt>
                <c:pt idx="929">
                  <c:v>158.75933837890625</c:v>
                </c:pt>
                <c:pt idx="930">
                  <c:v>162.77084350585938</c:v>
                </c:pt>
                <c:pt idx="931">
                  <c:v>165.24853515625</c:v>
                </c:pt>
                <c:pt idx="932">
                  <c:v>163.20344543457031</c:v>
                </c:pt>
                <c:pt idx="933">
                  <c:v>158.47418212890625</c:v>
                </c:pt>
                <c:pt idx="934">
                  <c:v>152.41761779785156</c:v>
                </c:pt>
                <c:pt idx="935">
                  <c:v>152.62406921386719</c:v>
                </c:pt>
                <c:pt idx="936">
                  <c:v>158.59217834472656</c:v>
                </c:pt>
                <c:pt idx="937">
                  <c:v>150.83462524414063</c:v>
                </c:pt>
                <c:pt idx="938">
                  <c:v>151.21807861328125</c:v>
                </c:pt>
                <c:pt idx="939">
                  <c:v>148.54374694824219</c:v>
                </c:pt>
                <c:pt idx="940">
                  <c:v>149.4384765625</c:v>
                </c:pt>
                <c:pt idx="941">
                  <c:v>147.01976013183594</c:v>
                </c:pt>
                <c:pt idx="942">
                  <c:v>151.32624816894531</c:v>
                </c:pt>
                <c:pt idx="943">
                  <c:v>147.19676208496094</c:v>
                </c:pt>
                <c:pt idx="944">
                  <c:v>147.15742492675781</c:v>
                </c:pt>
                <c:pt idx="945">
                  <c:v>150.05789184570313</c:v>
                </c:pt>
                <c:pt idx="946">
                  <c:v>151.73919677734375</c:v>
                </c:pt>
                <c:pt idx="947">
                  <c:v>145.22048950195313</c:v>
                </c:pt>
                <c:pt idx="948">
                  <c:v>145.49578857421875</c:v>
                </c:pt>
                <c:pt idx="949">
                  <c:v>145.12217712402344</c:v>
                </c:pt>
                <c:pt idx="950">
                  <c:v>144.79771423339844</c:v>
                </c:pt>
                <c:pt idx="951">
                  <c:v>148.47491455078125</c:v>
                </c:pt>
                <c:pt idx="952">
                  <c:v>144.75837707519531</c:v>
                </c:pt>
                <c:pt idx="953">
                  <c:v>145.15165710449219</c:v>
                </c:pt>
                <c:pt idx="954">
                  <c:v>144.63056945800781</c:v>
                </c:pt>
                <c:pt idx="955">
                  <c:v>143.57852172851563</c:v>
                </c:pt>
                <c:pt idx="956">
                  <c:v>145.42697143554688</c:v>
                </c:pt>
                <c:pt idx="957">
                  <c:v>145.50563049316406</c:v>
                </c:pt>
                <c:pt idx="958">
                  <c:v>141.07133483886719</c:v>
                </c:pt>
                <c:pt idx="959">
                  <c:v>137.1483154296875</c:v>
                </c:pt>
                <c:pt idx="960">
                  <c:v>140.11761474609375</c:v>
                </c:pt>
                <c:pt idx="961">
                  <c:v>140.93368530273438</c:v>
                </c:pt>
                <c:pt idx="962">
                  <c:v>144.05046081542969</c:v>
                </c:pt>
                <c:pt idx="963">
                  <c:v>147.54086303710938</c:v>
                </c:pt>
                <c:pt idx="964">
                  <c:v>140.59939575195313</c:v>
                </c:pt>
                <c:pt idx="965">
                  <c:v>141.23846435546875</c:v>
                </c:pt>
                <c:pt idx="966">
                  <c:v>148.140625</c:v>
                </c:pt>
                <c:pt idx="967">
                  <c:v>144.76821899414063</c:v>
                </c:pt>
                <c:pt idx="968">
                  <c:v>142.33967590332031</c:v>
                </c:pt>
                <c:pt idx="969">
                  <c:v>142.08403015136719</c:v>
                </c:pt>
                <c:pt idx="970">
                  <c:v>142.37899780273438</c:v>
                </c:pt>
                <c:pt idx="971">
                  <c:v>146.67564392089844</c:v>
                </c:pt>
                <c:pt idx="972">
                  <c:v>145.42697143554688</c:v>
                </c:pt>
                <c:pt idx="973">
                  <c:v>144.59123229980469</c:v>
                </c:pt>
                <c:pt idx="974">
                  <c:v>142.07420349121094</c:v>
                </c:pt>
                <c:pt idx="975">
                  <c:v>142.07420349121094</c:v>
                </c:pt>
                <c:pt idx="976">
                  <c:v>145.34831237792969</c:v>
                </c:pt>
                <c:pt idx="977">
                  <c:v>143.99147033691406</c:v>
                </c:pt>
                <c:pt idx="978">
                  <c:v>142.58549499511719</c:v>
                </c:pt>
                <c:pt idx="979">
                  <c:v>136.01760864257813</c:v>
                </c:pt>
                <c:pt idx="980">
                  <c:v>138.76078796386719</c:v>
                </c:pt>
                <c:pt idx="981">
                  <c:v>141.23846435546875</c:v>
                </c:pt>
                <c:pt idx="982">
                  <c:v>135.53584289550781</c:v>
                </c:pt>
                <c:pt idx="983">
                  <c:v>134.70994567871094</c:v>
                </c:pt>
                <c:pt idx="984">
                  <c:v>134.46412658691406</c:v>
                </c:pt>
                <c:pt idx="985">
                  <c:v>136.90252685546875</c:v>
                </c:pt>
                <c:pt idx="986">
                  <c:v>136.56820678710938</c:v>
                </c:pt>
                <c:pt idx="987">
                  <c:v>138.56413269042969</c:v>
                </c:pt>
                <c:pt idx="988">
                  <c:v>138.8099365234375</c:v>
                </c:pt>
                <c:pt idx="989">
                  <c:v>132.18309020996094</c:v>
                </c:pt>
                <c:pt idx="990">
                  <c:v>129.45957946777344</c:v>
                </c:pt>
                <c:pt idx="991">
                  <c:v>136.65670776367188</c:v>
                </c:pt>
                <c:pt idx="992">
                  <c:v>137.63993835449219</c:v>
                </c:pt>
                <c:pt idx="993">
                  <c:v>131.75047302246094</c:v>
                </c:pt>
                <c:pt idx="994">
                  <c:v>138.65263366699219</c:v>
                </c:pt>
                <c:pt idx="995">
                  <c:v>139.62600708007813</c:v>
                </c:pt>
                <c:pt idx="996">
                  <c:v>143.27372741699219</c:v>
                </c:pt>
                <c:pt idx="997">
                  <c:v>143.70634460449219</c:v>
                </c:pt>
                <c:pt idx="998">
                  <c:v>143.96197509765625</c:v>
                </c:pt>
                <c:pt idx="999">
                  <c:v>147.06892395019531</c:v>
                </c:pt>
                <c:pt idx="1000">
                  <c:v>146.84278869628906</c:v>
                </c:pt>
                <c:pt idx="1001">
                  <c:v>145.61376953125</c:v>
                </c:pt>
                <c:pt idx="1002">
                  <c:v>141.19914245605469</c:v>
                </c:pt>
                <c:pt idx="1003">
                  <c:v>148.09146118164063</c:v>
                </c:pt>
                <c:pt idx="1004">
                  <c:v>146.38069152832031</c:v>
                </c:pt>
                <c:pt idx="1005">
                  <c:v>147.19676208496094</c:v>
                </c:pt>
                <c:pt idx="1006">
                  <c:v>141.21881103515625</c:v>
                </c:pt>
                <c:pt idx="1007">
                  <c:v>135.69316101074219</c:v>
                </c:pt>
                <c:pt idx="1008">
                  <c:v>139.21305847167969</c:v>
                </c:pt>
                <c:pt idx="1009">
                  <c:v>139.95045471191406</c:v>
                </c:pt>
                <c:pt idx="1010">
                  <c:v>135.2015380859375</c:v>
                </c:pt>
                <c:pt idx="1011">
                  <c:v>132.73368835449219</c:v>
                </c:pt>
                <c:pt idx="1012">
                  <c:v>134.58212280273438</c:v>
                </c:pt>
                <c:pt idx="1013">
                  <c:v>132.73368835449219</c:v>
                </c:pt>
                <c:pt idx="1014">
                  <c:v>136.23391723632813</c:v>
                </c:pt>
                <c:pt idx="1015">
                  <c:v>128.68284606933594</c:v>
                </c:pt>
                <c:pt idx="1016">
                  <c:v>124.06175994873047</c:v>
                </c:pt>
                <c:pt idx="1017">
                  <c:v>130.69844055175781</c:v>
                </c:pt>
                <c:pt idx="1018">
                  <c:v>137.45310974121094</c:v>
                </c:pt>
                <c:pt idx="1019">
                  <c:v>137.51210021972656</c:v>
                </c:pt>
                <c:pt idx="1020">
                  <c:v>131.26869201660156</c:v>
                </c:pt>
                <c:pt idx="1021">
                  <c:v>137.26629638671875</c:v>
                </c:pt>
                <c:pt idx="1022">
                  <c:v>143.01809692382813</c:v>
                </c:pt>
                <c:pt idx="1023">
                  <c:v>139.07540893554688</c:v>
                </c:pt>
                <c:pt idx="1024">
                  <c:v>133.42193603515625</c:v>
                </c:pt>
                <c:pt idx="1025">
                  <c:v>131.26869201660156</c:v>
                </c:pt>
                <c:pt idx="1026">
                  <c:v>127.21786499023438</c:v>
                </c:pt>
                <c:pt idx="1027">
                  <c:v>132.50755310058594</c:v>
                </c:pt>
                <c:pt idx="1028">
                  <c:v>133.61857604980469</c:v>
                </c:pt>
                <c:pt idx="1029">
                  <c:v>135.67349243164063</c:v>
                </c:pt>
                <c:pt idx="1030">
                  <c:v>131.11138916015625</c:v>
                </c:pt>
                <c:pt idx="1031">
                  <c:v>131.06224060058594</c:v>
                </c:pt>
                <c:pt idx="1032">
                  <c:v>130.62960815429688</c:v>
                </c:pt>
                <c:pt idx="1033">
                  <c:v>128.75167846679688</c:v>
                </c:pt>
                <c:pt idx="1034">
                  <c:v>128.26432800292969</c:v>
                </c:pt>
                <c:pt idx="1035">
                  <c:v>125.13130950927734</c:v>
                </c:pt>
                <c:pt idx="1036">
                  <c:v>130.31321716308594</c:v>
                </c:pt>
                <c:pt idx="1037">
                  <c:v>125.4495849609375</c:v>
                </c:pt>
                <c:pt idx="1038">
                  <c:v>129.59709167480469</c:v>
                </c:pt>
                <c:pt idx="1039">
                  <c:v>130.45245361328125</c:v>
                </c:pt>
                <c:pt idx="1040">
                  <c:v>127.18020629882813</c:v>
                </c:pt>
                <c:pt idx="1041">
                  <c:v>130.90997314453125</c:v>
                </c:pt>
                <c:pt idx="1042">
                  <c:v>131.04920959472656</c:v>
                </c:pt>
                <c:pt idx="1043">
                  <c:v>134.46072387695313</c:v>
                </c:pt>
                <c:pt idx="1044">
                  <c:v>127.51837921142578</c:v>
                </c:pt>
                <c:pt idx="1045">
                  <c:v>133.35670471191406</c:v>
                </c:pt>
                <c:pt idx="1046">
                  <c:v>130.54197692871094</c:v>
                </c:pt>
                <c:pt idx="1047">
                  <c:v>131.03927612304688</c:v>
                </c:pt>
                <c:pt idx="1048">
                  <c:v>126.31489562988281</c:v>
                </c:pt>
                <c:pt idx="1049">
                  <c:v>125.38991546630859</c:v>
                </c:pt>
                <c:pt idx="1050">
                  <c:v>127.58798980712891</c:v>
                </c:pt>
                <c:pt idx="1051">
                  <c:v>129.30865478515625</c:v>
                </c:pt>
                <c:pt idx="1052">
                  <c:v>125.86732482910156</c:v>
                </c:pt>
                <c:pt idx="1053">
                  <c:v>125.61867523193359</c:v>
                </c:pt>
                <c:pt idx="1054">
                  <c:v>121.35181427001953</c:v>
                </c:pt>
                <c:pt idx="1055">
                  <c:v>119.88974761962891</c:v>
                </c:pt>
                <c:pt idx="1056">
                  <c:v>117.59220886230469</c:v>
                </c:pt>
                <c:pt idx="1057">
                  <c:v>117.44301605224609</c:v>
                </c:pt>
                <c:pt idx="1058">
                  <c:v>120.04888153076172</c:v>
                </c:pt>
                <c:pt idx="1059">
                  <c:v>118.73600006103516</c:v>
                </c:pt>
                <c:pt idx="1060">
                  <c:v>119.11395263671875</c:v>
                </c:pt>
                <c:pt idx="1061">
                  <c:v>115.42396545410156</c:v>
                </c:pt>
                <c:pt idx="1062">
                  <c:v>117.68171691894531</c:v>
                </c:pt>
                <c:pt idx="1063">
                  <c:v>115.07585144042969</c:v>
                </c:pt>
                <c:pt idx="1064">
                  <c:v>117.91048431396484</c:v>
                </c:pt>
                <c:pt idx="1065">
                  <c:v>118.39783477783203</c:v>
                </c:pt>
                <c:pt idx="1066">
                  <c:v>118.05966949462891</c:v>
                </c:pt>
                <c:pt idx="1067">
                  <c:v>120.18812561035156</c:v>
                </c:pt>
                <c:pt idx="1068">
                  <c:v>116.86614227294922</c:v>
                </c:pt>
                <c:pt idx="1069">
                  <c:v>120.13839721679688</c:v>
                </c:pt>
                <c:pt idx="1070">
                  <c:v>119.55157470703125</c:v>
                </c:pt>
                <c:pt idx="1071">
                  <c:v>120.09860992431641</c:v>
                </c:pt>
                <c:pt idx="1072">
                  <c:v>120.34725952148438</c:v>
                </c:pt>
                <c:pt idx="1073">
                  <c:v>118.49729919433594</c:v>
                </c:pt>
                <c:pt idx="1074">
                  <c:v>118.09944915771484</c:v>
                </c:pt>
                <c:pt idx="1075">
                  <c:v>121.01364898681641</c:v>
                </c:pt>
                <c:pt idx="1076">
                  <c:v>119.54163360595703</c:v>
                </c:pt>
                <c:pt idx="1077">
                  <c:v>115.89142608642578</c:v>
                </c:pt>
                <c:pt idx="1078">
                  <c:v>115.67262268066406</c:v>
                </c:pt>
                <c:pt idx="1079">
                  <c:v>116.52798461914063</c:v>
                </c:pt>
                <c:pt idx="1080">
                  <c:v>120.00910186767578</c:v>
                </c:pt>
                <c:pt idx="1081">
                  <c:v>117.34355926513672</c:v>
                </c:pt>
                <c:pt idx="1082">
                  <c:v>115.37423706054688</c:v>
                </c:pt>
                <c:pt idx="1083">
                  <c:v>116.93576812744141</c:v>
                </c:pt>
                <c:pt idx="1084">
                  <c:v>115.85164642333984</c:v>
                </c:pt>
                <c:pt idx="1085">
                  <c:v>114.87693023681641</c:v>
                </c:pt>
                <c:pt idx="1086">
                  <c:v>114.32989501953125</c:v>
                </c:pt>
                <c:pt idx="1087">
                  <c:v>115.32450103759766</c:v>
                </c:pt>
                <c:pt idx="1088">
                  <c:v>114.65811920166016</c:v>
                </c:pt>
                <c:pt idx="1089">
                  <c:v>117.21425628662109</c:v>
                </c:pt>
                <c:pt idx="1090">
                  <c:v>116.18981170654297</c:v>
                </c:pt>
                <c:pt idx="1091">
                  <c:v>118.36800384521484</c:v>
                </c:pt>
                <c:pt idx="1092">
                  <c:v>118.24864196777344</c:v>
                </c:pt>
                <c:pt idx="1093">
                  <c:v>121.09321594238281</c:v>
                </c:pt>
                <c:pt idx="1094">
                  <c:v>117.85079956054688</c:v>
                </c:pt>
                <c:pt idx="1095">
                  <c:v>116.06051635742188</c:v>
                </c:pt>
                <c:pt idx="1096">
                  <c:v>122.41604614257813</c:v>
                </c:pt>
                <c:pt idx="1097">
                  <c:v>121.40154266357422</c:v>
                </c:pt>
                <c:pt idx="1098">
                  <c:v>124.8031005859375</c:v>
                </c:pt>
                <c:pt idx="1099">
                  <c:v>121.28219604492188</c:v>
                </c:pt>
                <c:pt idx="1100">
                  <c:v>120.88435363769531</c:v>
                </c:pt>
                <c:pt idx="1101">
                  <c:v>121.88890838623047</c:v>
                </c:pt>
                <c:pt idx="1102">
                  <c:v>118.07956695556641</c:v>
                </c:pt>
                <c:pt idx="1103">
                  <c:v>122.91334533691406</c:v>
                </c:pt>
                <c:pt idx="1104">
                  <c:v>122.43593597412109</c:v>
                </c:pt>
                <c:pt idx="1105">
                  <c:v>120.93407440185547</c:v>
                </c:pt>
                <c:pt idx="1106">
                  <c:v>121.50100708007813</c:v>
                </c:pt>
                <c:pt idx="1107">
                  <c:v>123.52999877929688</c:v>
                </c:pt>
                <c:pt idx="1108">
                  <c:v>124.096923828125</c:v>
                </c:pt>
                <c:pt idx="1109">
                  <c:v>123.21172332763672</c:v>
                </c:pt>
                <c:pt idx="1110">
                  <c:v>122.24696350097656</c:v>
                </c:pt>
                <c:pt idx="1111">
                  <c:v>121.23246002197266</c:v>
                </c:pt>
                <c:pt idx="1112">
                  <c:v>120.44672393798828</c:v>
                </c:pt>
                <c:pt idx="1113">
                  <c:v>121.12305450439453</c:v>
                </c:pt>
                <c:pt idx="1114">
                  <c:v>120.42683410644531</c:v>
                </c:pt>
                <c:pt idx="1115">
                  <c:v>118.15913391113281</c:v>
                </c:pt>
                <c:pt idx="1116">
                  <c:v>119.34271240234375</c:v>
                </c:pt>
                <c:pt idx="1117">
                  <c:v>119.52173614501953</c:v>
                </c:pt>
                <c:pt idx="1118">
                  <c:v>118.98464965820313</c:v>
                </c:pt>
                <c:pt idx="1119">
                  <c:v>119.21341705322266</c:v>
                </c:pt>
                <c:pt idx="1120">
                  <c:v>117.23415374755859</c:v>
                </c:pt>
                <c:pt idx="1121">
                  <c:v>118.19891357421875</c:v>
                </c:pt>
                <c:pt idx="1122">
                  <c:v>119.93946838378906</c:v>
                </c:pt>
                <c:pt idx="1123">
                  <c:v>122.21711730957031</c:v>
                </c:pt>
                <c:pt idx="1124">
                  <c:v>118.19891357421875</c:v>
                </c:pt>
                <c:pt idx="1125">
                  <c:v>117.960205078125</c:v>
                </c:pt>
                <c:pt idx="1126">
                  <c:v>116.34895324707031</c:v>
                </c:pt>
                <c:pt idx="1127">
                  <c:v>123.33107757568359</c:v>
                </c:pt>
                <c:pt idx="1128">
                  <c:v>119.18357849121094</c:v>
                </c:pt>
                <c:pt idx="1129">
                  <c:v>118.69621276855469</c:v>
                </c:pt>
                <c:pt idx="1130">
                  <c:v>117.72150421142578</c:v>
                </c:pt>
                <c:pt idx="1131">
                  <c:v>117.41317749023438</c:v>
                </c:pt>
                <c:pt idx="1132">
                  <c:v>116.45835113525391</c:v>
                </c:pt>
                <c:pt idx="1133">
                  <c:v>117.11479187011719</c:v>
                </c:pt>
                <c:pt idx="1134">
                  <c:v>116.29921722412109</c:v>
                </c:pt>
                <c:pt idx="1135">
                  <c:v>114.75757598876953</c:v>
                </c:pt>
                <c:pt idx="1136">
                  <c:v>117.02528381347656</c:v>
                </c:pt>
                <c:pt idx="1137">
                  <c:v>118.95481109619141</c:v>
                </c:pt>
                <c:pt idx="1138">
                  <c:v>116.55781555175781</c:v>
                </c:pt>
                <c:pt idx="1139">
                  <c:v>115.60299682617188</c:v>
                </c:pt>
                <c:pt idx="1140">
                  <c:v>121.41149139404297</c:v>
                </c:pt>
                <c:pt idx="1141">
                  <c:v>121.44132995605469</c:v>
                </c:pt>
                <c:pt idx="1142">
                  <c:v>120.90424346923828</c:v>
                </c:pt>
                <c:pt idx="1143">
                  <c:v>125.81759643554688</c:v>
                </c:pt>
                <c:pt idx="1144">
                  <c:v>126.07619476318359</c:v>
                </c:pt>
                <c:pt idx="1145">
                  <c:v>121.11310577392578</c:v>
                </c:pt>
                <c:pt idx="1146">
                  <c:v>121.77949523925781</c:v>
                </c:pt>
                <c:pt idx="1147">
                  <c:v>121.50100708007813</c:v>
                </c:pt>
                <c:pt idx="1148">
                  <c:v>120.44672393798828</c:v>
                </c:pt>
                <c:pt idx="1149">
                  <c:v>116.96560668945313</c:v>
                </c:pt>
                <c:pt idx="1150">
                  <c:v>115.64277648925781</c:v>
                </c:pt>
                <c:pt idx="1151">
                  <c:v>116.70700073242188</c:v>
                </c:pt>
                <c:pt idx="1152">
                  <c:v>117.64193725585938</c:v>
                </c:pt>
                <c:pt idx="1153">
                  <c:v>119.02443695068359</c:v>
                </c:pt>
                <c:pt idx="1154">
                  <c:v>116.97554779052734</c:v>
                </c:pt>
                <c:pt idx="1155">
                  <c:v>114.30005645751953</c:v>
                </c:pt>
                <c:pt idx="1156">
                  <c:v>110.79904937744141</c:v>
                </c:pt>
                <c:pt idx="1157">
                  <c:v>111.40576171875</c:v>
                </c:pt>
                <c:pt idx="1158">
                  <c:v>111.71408843994141</c:v>
                </c:pt>
                <c:pt idx="1159">
                  <c:v>111.92295074462891</c:v>
                </c:pt>
                <c:pt idx="1160">
                  <c:v>112.68880462646484</c:v>
                </c:pt>
                <c:pt idx="1161">
                  <c:v>111.3858642578125</c:v>
                </c:pt>
                <c:pt idx="1162">
                  <c:v>114.91671752929688</c:v>
                </c:pt>
                <c:pt idx="1163">
                  <c:v>115.06591033935547</c:v>
                </c:pt>
                <c:pt idx="1164">
                  <c:v>112.00252532958984</c:v>
                </c:pt>
                <c:pt idx="1165">
                  <c:v>110.68964385986328</c:v>
                </c:pt>
                <c:pt idx="1166">
                  <c:v>112.41030883789063</c:v>
                </c:pt>
                <c:pt idx="1167">
                  <c:v>113.23583221435547</c:v>
                </c:pt>
                <c:pt idx="1168">
                  <c:v>115.49359130859375</c:v>
                </c:pt>
                <c:pt idx="1169">
                  <c:v>112.63906860351563</c:v>
                </c:pt>
                <c:pt idx="1170">
                  <c:v>113.94200134277344</c:v>
                </c:pt>
                <c:pt idx="1171">
                  <c:v>117.81101989746094</c:v>
                </c:pt>
                <c:pt idx="1172">
                  <c:v>119.68087768554688</c:v>
                </c:pt>
                <c:pt idx="1173">
                  <c:v>116.56775665283203</c:v>
                </c:pt>
                <c:pt idx="1174">
                  <c:v>115.93121337890625</c:v>
                </c:pt>
                <c:pt idx="1175">
                  <c:v>116.36884307861328</c:v>
                </c:pt>
                <c:pt idx="1176">
                  <c:v>116.18981170654297</c:v>
                </c:pt>
                <c:pt idx="1177">
                  <c:v>117.9801025390625</c:v>
                </c:pt>
                <c:pt idx="1178">
                  <c:v>119.57147216796875</c:v>
                </c:pt>
                <c:pt idx="1179">
                  <c:v>121.03354644775391</c:v>
                </c:pt>
                <c:pt idx="1180">
                  <c:v>118.47740936279297</c:v>
                </c:pt>
                <c:pt idx="1181">
                  <c:v>119.34271240234375</c:v>
                </c:pt>
                <c:pt idx="1182">
                  <c:v>119.14379119873047</c:v>
                </c:pt>
                <c:pt idx="1183">
                  <c:v>120.18812561035156</c:v>
                </c:pt>
                <c:pt idx="1184">
                  <c:v>117.04517364501953</c:v>
                </c:pt>
                <c:pt idx="1185">
                  <c:v>115.99089050292969</c:v>
                </c:pt>
                <c:pt idx="1186">
                  <c:v>115.67262268066406</c:v>
                </c:pt>
                <c:pt idx="1187">
                  <c:v>116.52798461914063</c:v>
                </c:pt>
                <c:pt idx="1188">
                  <c:v>115.45380401611328</c:v>
                </c:pt>
                <c:pt idx="1189">
                  <c:v>118.60670471191406</c:v>
                </c:pt>
                <c:pt idx="1190">
                  <c:v>121.34186553955078</c:v>
                </c:pt>
                <c:pt idx="1191">
                  <c:v>120.90424346923828</c:v>
                </c:pt>
                <c:pt idx="1192">
                  <c:v>121.68997955322266</c:v>
                </c:pt>
                <c:pt idx="1193">
                  <c:v>121.78943634033203</c:v>
                </c:pt>
                <c:pt idx="1194">
                  <c:v>118.97470855712891</c:v>
                </c:pt>
                <c:pt idx="1195">
                  <c:v>123.30123901367188</c:v>
                </c:pt>
                <c:pt idx="1196">
                  <c:v>123.55984497070313</c:v>
                </c:pt>
                <c:pt idx="1197">
                  <c:v>123.33107757568359</c:v>
                </c:pt>
                <c:pt idx="1198">
                  <c:v>120.79483032226563</c:v>
                </c:pt>
                <c:pt idx="1199">
                  <c:v>121.20262145996094</c:v>
                </c:pt>
                <c:pt idx="1200">
                  <c:v>118.05966949462891</c:v>
                </c:pt>
                <c:pt idx="1201">
                  <c:v>117.56236267089844</c:v>
                </c:pt>
                <c:pt idx="1202">
                  <c:v>115.97100067138672</c:v>
                </c:pt>
                <c:pt idx="1203">
                  <c:v>118.71611022949219</c:v>
                </c:pt>
                <c:pt idx="1204">
                  <c:v>116.53792572021484</c:v>
                </c:pt>
                <c:pt idx="1205">
                  <c:v>119.18357849121094</c:v>
                </c:pt>
                <c:pt idx="1206">
                  <c:v>114.72773742675781</c:v>
                </c:pt>
                <c:pt idx="1207">
                  <c:v>115.05596160888672</c:v>
                </c:pt>
                <c:pt idx="1208">
                  <c:v>116.17986297607422</c:v>
                </c:pt>
                <c:pt idx="1209">
                  <c:v>116.61749267578125</c:v>
                </c:pt>
                <c:pt idx="1210">
                  <c:v>113.95195007324219</c:v>
                </c:pt>
                <c:pt idx="1211">
                  <c:v>113.85249328613281</c:v>
                </c:pt>
                <c:pt idx="1212">
                  <c:v>116.07045745849609</c:v>
                </c:pt>
                <c:pt idx="1213">
                  <c:v>118.75589752197266</c:v>
                </c:pt>
                <c:pt idx="1214">
                  <c:v>113.59389495849609</c:v>
                </c:pt>
                <c:pt idx="1215">
                  <c:v>115.96105194091797</c:v>
                </c:pt>
                <c:pt idx="1216">
                  <c:v>116.23954772949219</c:v>
                </c:pt>
                <c:pt idx="1217">
                  <c:v>116.65727996826172</c:v>
                </c:pt>
                <c:pt idx="1218">
                  <c:v>115.71239471435547</c:v>
                </c:pt>
                <c:pt idx="1219">
                  <c:v>117.34355926513672</c:v>
                </c:pt>
                <c:pt idx="1220">
                  <c:v>117.50269317626953</c:v>
                </c:pt>
                <c:pt idx="1221">
                  <c:v>119.08411407470703</c:v>
                </c:pt>
                <c:pt idx="1222">
                  <c:v>118.71611022949219</c:v>
                </c:pt>
                <c:pt idx="1223">
                  <c:v>118.59675598144531</c:v>
                </c:pt>
                <c:pt idx="1224">
                  <c:v>118.63654327392578</c:v>
                </c:pt>
                <c:pt idx="1225">
                  <c:v>123.08242797851563</c:v>
                </c:pt>
                <c:pt idx="1226">
                  <c:v>129.14952087402344</c:v>
                </c:pt>
                <c:pt idx="1227">
                  <c:v>120.53623962402344</c:v>
                </c:pt>
                <c:pt idx="1228">
                  <c:v>115.52342987060547</c:v>
                </c:pt>
                <c:pt idx="1229">
                  <c:v>117.65188598632813</c:v>
                </c:pt>
                <c:pt idx="1230">
                  <c:v>128.73178100585938</c:v>
                </c:pt>
                <c:pt idx="1231">
                  <c:v>130.06455993652344</c:v>
                </c:pt>
                <c:pt idx="1232">
                  <c:v>125.67835235595703</c:v>
                </c:pt>
                <c:pt idx="1233">
                  <c:v>129.21914672851563</c:v>
                </c:pt>
                <c:pt idx="1234">
                  <c:v>127.21999359130859</c:v>
                </c:pt>
                <c:pt idx="1235">
                  <c:v>128.98043823242188</c:v>
                </c:pt>
                <c:pt idx="1236">
                  <c:v>128.95059204101563</c:v>
                </c:pt>
                <c:pt idx="1237">
                  <c:v>131.93441772460938</c:v>
                </c:pt>
                <c:pt idx="1238">
                  <c:v>138.58831787109375</c:v>
                </c:pt>
                <c:pt idx="1239">
                  <c:v>141.19419860839844</c:v>
                </c:pt>
                <c:pt idx="1240">
                  <c:v>144.20785522460938</c:v>
                </c:pt>
                <c:pt idx="1241">
                  <c:v>147.67901611328125</c:v>
                </c:pt>
                <c:pt idx="1242">
                  <c:v>134.88839721679688</c:v>
                </c:pt>
                <c:pt idx="1243">
                  <c:v>135.64430236816406</c:v>
                </c:pt>
                <c:pt idx="1244">
                  <c:v>134.27174377441406</c:v>
                </c:pt>
                <c:pt idx="1245">
                  <c:v>130.36294555664063</c:v>
                </c:pt>
                <c:pt idx="1246">
                  <c:v>135.77359008789063</c:v>
                </c:pt>
                <c:pt idx="1247">
                  <c:v>137.29533386230469</c:v>
                </c:pt>
                <c:pt idx="1248">
                  <c:v>131.47689819335938</c:v>
                </c:pt>
                <c:pt idx="1249">
                  <c:v>130.10433959960938</c:v>
                </c:pt>
                <c:pt idx="1250">
                  <c:v>126.45413970947266</c:v>
                </c:pt>
                <c:pt idx="1251">
                  <c:v>129.43795776367188</c:v>
                </c:pt>
                <c:pt idx="1252">
                  <c:v>126.21543884277344</c:v>
                </c:pt>
                <c:pt idx="1253">
                  <c:v>126.40440368652344</c:v>
                </c:pt>
                <c:pt idx="1254">
                  <c:v>125.60872650146484</c:v>
                </c:pt>
                <c:pt idx="1255">
                  <c:v>127.71729278564453</c:v>
                </c:pt>
                <c:pt idx="1256">
                  <c:v>124.56439208984375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A-4119-9AFF-F92B7F75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230634"/>
        <c:axId val="277651741"/>
      </c:lineChart>
      <c:catAx>
        <c:axId val="423230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77651741"/>
        <c:crosses val="autoZero"/>
        <c:auto val="1"/>
        <c:lblAlgn val="ctr"/>
        <c:lblOffset val="100"/>
        <c:noMultiLvlLbl val="1"/>
      </c:catAx>
      <c:valAx>
        <c:axId val="27765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GCARSOA1.MX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232306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GMEXICOB.MX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GrupoMexico!$B$1</c:f>
              <c:strCache>
                <c:ptCount val="1"/>
                <c:pt idx="0">
                  <c:v>GMEXICOB.MX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GrupoMexico!$A$2:$A$1258</c:f>
              <c:numCache>
                <c:formatCode>General</c:formatCode>
                <c:ptCount val="1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</c:numCache>
            </c:numRef>
          </c:cat>
          <c:val>
            <c:numRef>
              <c:f>GrupoMexico!$B$2:$B$1258</c:f>
              <c:numCache>
                <c:formatCode>General</c:formatCode>
                <c:ptCount val="1257"/>
                <c:pt idx="0">
                  <c:v>38.177249908447266</c:v>
                </c:pt>
                <c:pt idx="1">
                  <c:v>37.633049011230469</c:v>
                </c:pt>
                <c:pt idx="2">
                  <c:v>37.335884094238281</c:v>
                </c:pt>
                <c:pt idx="3">
                  <c:v>37.716861724853516</c:v>
                </c:pt>
                <c:pt idx="4">
                  <c:v>37.434947967529297</c:v>
                </c:pt>
                <c:pt idx="5">
                  <c:v>36.177715301513672</c:v>
                </c:pt>
                <c:pt idx="6">
                  <c:v>37.975933074951172</c:v>
                </c:pt>
                <c:pt idx="7">
                  <c:v>39.019821166992188</c:v>
                </c:pt>
                <c:pt idx="8">
                  <c:v>38.699794769287109</c:v>
                </c:pt>
                <c:pt idx="9">
                  <c:v>38.501682281494141</c:v>
                </c:pt>
                <c:pt idx="10">
                  <c:v>40.147514343261719</c:v>
                </c:pt>
                <c:pt idx="11">
                  <c:v>40.741836547851563</c:v>
                </c:pt>
                <c:pt idx="12">
                  <c:v>40.284656524658203</c:v>
                </c:pt>
                <c:pt idx="13">
                  <c:v>40.254188537597656</c:v>
                </c:pt>
                <c:pt idx="14">
                  <c:v>39.728431701660156</c:v>
                </c:pt>
                <c:pt idx="15">
                  <c:v>40.543731689453125</c:v>
                </c:pt>
                <c:pt idx="16">
                  <c:v>38.501682281494141</c:v>
                </c:pt>
                <c:pt idx="17">
                  <c:v>39.766529083251953</c:v>
                </c:pt>
                <c:pt idx="18">
                  <c:v>39.195060729980469</c:v>
                </c:pt>
                <c:pt idx="19">
                  <c:v>38.280712127685547</c:v>
                </c:pt>
                <c:pt idx="20">
                  <c:v>40.558967590332031</c:v>
                </c:pt>
                <c:pt idx="21">
                  <c:v>40.185604095458984</c:v>
                </c:pt>
                <c:pt idx="22">
                  <c:v>40.307525634765625</c:v>
                </c:pt>
                <c:pt idx="23">
                  <c:v>40.086559295654297</c:v>
                </c:pt>
                <c:pt idx="24">
                  <c:v>40.056083679199219</c:v>
                </c:pt>
                <c:pt idx="25">
                  <c:v>39.964641571044922</c:v>
                </c:pt>
                <c:pt idx="26">
                  <c:v>40.254188537597656</c:v>
                </c:pt>
                <c:pt idx="27">
                  <c:v>40.711357116699219</c:v>
                </c:pt>
                <c:pt idx="28">
                  <c:v>40.498016357421875</c:v>
                </c:pt>
                <c:pt idx="29">
                  <c:v>41.625705718994141</c:v>
                </c:pt>
                <c:pt idx="30">
                  <c:v>41.267589569091797</c:v>
                </c:pt>
                <c:pt idx="31">
                  <c:v>41.671424865722656</c:v>
                </c:pt>
                <c:pt idx="32">
                  <c:v>41.953350067138672</c:v>
                </c:pt>
                <c:pt idx="33">
                  <c:v>42.22003173828125</c:v>
                </c:pt>
                <c:pt idx="34">
                  <c:v>42.341941833496094</c:v>
                </c:pt>
                <c:pt idx="35">
                  <c:v>41.648571014404297</c:v>
                </c:pt>
                <c:pt idx="36">
                  <c:v>43.522983551025391</c:v>
                </c:pt>
                <c:pt idx="37">
                  <c:v>42.578151702880859</c:v>
                </c:pt>
                <c:pt idx="38">
                  <c:v>42.593391418457031</c:v>
                </c:pt>
                <c:pt idx="39">
                  <c:v>41.976211547851563</c:v>
                </c:pt>
                <c:pt idx="40">
                  <c:v>41.55712890625</c:v>
                </c:pt>
                <c:pt idx="41">
                  <c:v>41.709526062011719</c:v>
                </c:pt>
                <c:pt idx="42">
                  <c:v>41.389495849609375</c:v>
                </c:pt>
                <c:pt idx="43">
                  <c:v>43.492500305175781</c:v>
                </c:pt>
                <c:pt idx="44">
                  <c:v>44.208744049072266</c:v>
                </c:pt>
                <c:pt idx="45">
                  <c:v>44.940223693847656</c:v>
                </c:pt>
                <c:pt idx="46">
                  <c:v>45.313583374023438</c:v>
                </c:pt>
                <c:pt idx="47">
                  <c:v>46.845115661621094</c:v>
                </c:pt>
                <c:pt idx="48">
                  <c:v>45.526924133300781</c:v>
                </c:pt>
                <c:pt idx="49">
                  <c:v>43.218193054199219</c:v>
                </c:pt>
                <c:pt idx="50">
                  <c:v>42.829586029052734</c:v>
                </c:pt>
                <c:pt idx="51">
                  <c:v>43.439163208007813</c:v>
                </c:pt>
                <c:pt idx="52">
                  <c:v>44.178260803222656</c:v>
                </c:pt>
                <c:pt idx="53">
                  <c:v>46.951789855957031</c:v>
                </c:pt>
                <c:pt idx="54">
                  <c:v>47.073699951171875</c:v>
                </c:pt>
                <c:pt idx="55">
                  <c:v>45.229763031005859</c:v>
                </c:pt>
                <c:pt idx="56">
                  <c:v>45.008792877197266</c:v>
                </c:pt>
                <c:pt idx="57">
                  <c:v>44.627811431884766</c:v>
                </c:pt>
                <c:pt idx="58">
                  <c:v>44.422088623046875</c:v>
                </c:pt>
                <c:pt idx="59">
                  <c:v>44.818302154541016</c:v>
                </c:pt>
                <c:pt idx="60">
                  <c:v>45.145946502685547</c:v>
                </c:pt>
                <c:pt idx="61">
                  <c:v>44.78021240234375</c:v>
                </c:pt>
                <c:pt idx="62">
                  <c:v>44.955463409423828</c:v>
                </c:pt>
                <c:pt idx="63">
                  <c:v>46.631771087646484</c:v>
                </c:pt>
                <c:pt idx="64">
                  <c:v>45.580268859863281</c:v>
                </c:pt>
                <c:pt idx="65">
                  <c:v>44.513523101806641</c:v>
                </c:pt>
                <c:pt idx="66">
                  <c:v>44.818302154541016</c:v>
                </c:pt>
                <c:pt idx="67">
                  <c:v>45.219993591308594</c:v>
                </c:pt>
                <c:pt idx="68">
                  <c:v>45.575321197509766</c:v>
                </c:pt>
                <c:pt idx="69">
                  <c:v>44.432075500488281</c:v>
                </c:pt>
                <c:pt idx="70">
                  <c:v>45.3822021484375</c:v>
                </c:pt>
                <c:pt idx="71">
                  <c:v>45.111854553222656</c:v>
                </c:pt>
                <c:pt idx="72">
                  <c:v>46.502277374267578</c:v>
                </c:pt>
                <c:pt idx="73">
                  <c:v>46.672214508056641</c:v>
                </c:pt>
                <c:pt idx="74">
                  <c:v>45.583042144775391</c:v>
                </c:pt>
                <c:pt idx="75">
                  <c:v>45.946109771728516</c:v>
                </c:pt>
                <c:pt idx="76">
                  <c:v>45.876583099365234</c:v>
                </c:pt>
                <c:pt idx="77">
                  <c:v>44.517051696777344</c:v>
                </c:pt>
                <c:pt idx="78">
                  <c:v>45.219993591308594</c:v>
                </c:pt>
                <c:pt idx="79">
                  <c:v>45.281784057617188</c:v>
                </c:pt>
                <c:pt idx="80">
                  <c:v>45.899749755859375</c:v>
                </c:pt>
                <c:pt idx="81">
                  <c:v>45.335845947265625</c:v>
                </c:pt>
                <c:pt idx="82">
                  <c:v>45.026870727539063</c:v>
                </c:pt>
                <c:pt idx="83">
                  <c:v>44.92645263671875</c:v>
                </c:pt>
                <c:pt idx="84">
                  <c:v>43.481948852539063</c:v>
                </c:pt>
                <c:pt idx="85">
                  <c:v>42.593612670898438</c:v>
                </c:pt>
                <c:pt idx="86">
                  <c:v>43.196132659912109</c:v>
                </c:pt>
                <c:pt idx="87">
                  <c:v>41.998813629150391</c:v>
                </c:pt>
                <c:pt idx="88">
                  <c:v>42.500930786132813</c:v>
                </c:pt>
                <c:pt idx="89">
                  <c:v>42.516365051269531</c:v>
                </c:pt>
                <c:pt idx="90">
                  <c:v>42.524089813232422</c:v>
                </c:pt>
                <c:pt idx="91">
                  <c:v>42.470024108886719</c:v>
                </c:pt>
                <c:pt idx="92">
                  <c:v>43.4510498046875</c:v>
                </c:pt>
                <c:pt idx="93">
                  <c:v>41.875221252441406</c:v>
                </c:pt>
                <c:pt idx="94">
                  <c:v>41.97564697265625</c:v>
                </c:pt>
                <c:pt idx="95">
                  <c:v>42.161037445068359</c:v>
                </c:pt>
                <c:pt idx="96">
                  <c:v>42.539539337158203</c:v>
                </c:pt>
                <c:pt idx="97">
                  <c:v>44.223514556884766</c:v>
                </c:pt>
                <c:pt idx="98">
                  <c:v>45.544418334960938</c:v>
                </c:pt>
                <c:pt idx="99">
                  <c:v>45.544418334960938</c:v>
                </c:pt>
                <c:pt idx="100">
                  <c:v>44.802848815917969</c:v>
                </c:pt>
                <c:pt idx="101">
                  <c:v>45.498081207275391</c:v>
                </c:pt>
                <c:pt idx="102">
                  <c:v>45.243152618408203</c:v>
                </c:pt>
                <c:pt idx="103">
                  <c:v>45.243152618408203</c:v>
                </c:pt>
                <c:pt idx="104">
                  <c:v>45.343585968017578</c:v>
                </c:pt>
                <c:pt idx="105">
                  <c:v>45.343585968017578</c:v>
                </c:pt>
                <c:pt idx="106">
                  <c:v>46.417308807373047</c:v>
                </c:pt>
                <c:pt idx="107">
                  <c:v>47.730495452880859</c:v>
                </c:pt>
                <c:pt idx="108">
                  <c:v>47.800018310546875</c:v>
                </c:pt>
                <c:pt idx="109">
                  <c:v>48.63427734375</c:v>
                </c:pt>
                <c:pt idx="110">
                  <c:v>47.313365936279297</c:v>
                </c:pt>
                <c:pt idx="111">
                  <c:v>48.425704956054688</c:v>
                </c:pt>
                <c:pt idx="112">
                  <c:v>47.274749755859375</c:v>
                </c:pt>
                <c:pt idx="113">
                  <c:v>46.803531646728516</c:v>
                </c:pt>
                <c:pt idx="114">
                  <c:v>46.540897369384766</c:v>
                </c:pt>
                <c:pt idx="115">
                  <c:v>47.645519256591797</c:v>
                </c:pt>
                <c:pt idx="116">
                  <c:v>47.205219268798828</c:v>
                </c:pt>
                <c:pt idx="117">
                  <c:v>47.923603057861328</c:v>
                </c:pt>
                <c:pt idx="118">
                  <c:v>48.217144012451172</c:v>
                </c:pt>
                <c:pt idx="119">
                  <c:v>48.997333526611328</c:v>
                </c:pt>
                <c:pt idx="120">
                  <c:v>49.723453521728516</c:v>
                </c:pt>
                <c:pt idx="121">
                  <c:v>49.429904937744141</c:v>
                </c:pt>
                <c:pt idx="122">
                  <c:v>49.453079223632813</c:v>
                </c:pt>
                <c:pt idx="123">
                  <c:v>50.35687255859375</c:v>
                </c:pt>
                <c:pt idx="124">
                  <c:v>51.894069671630859</c:v>
                </c:pt>
                <c:pt idx="125">
                  <c:v>51.878631591796875</c:v>
                </c:pt>
                <c:pt idx="126">
                  <c:v>50.858951568603516</c:v>
                </c:pt>
                <c:pt idx="127">
                  <c:v>51.291545867919922</c:v>
                </c:pt>
                <c:pt idx="128">
                  <c:v>52.434795379638672</c:v>
                </c:pt>
                <c:pt idx="129">
                  <c:v>53.863849639892578</c:v>
                </c:pt>
                <c:pt idx="130">
                  <c:v>55.729068756103516</c:v>
                </c:pt>
                <c:pt idx="131">
                  <c:v>57.703987121582031</c:v>
                </c:pt>
                <c:pt idx="132">
                  <c:v>55.893638610839844</c:v>
                </c:pt>
                <c:pt idx="133">
                  <c:v>57.476711273193359</c:v>
                </c:pt>
                <c:pt idx="134">
                  <c:v>58.785499572753906</c:v>
                </c:pt>
                <c:pt idx="135">
                  <c:v>61.740070343017578</c:v>
                </c:pt>
                <c:pt idx="136">
                  <c:v>63.581741333007813</c:v>
                </c:pt>
                <c:pt idx="137">
                  <c:v>62.915611267089844</c:v>
                </c:pt>
                <c:pt idx="138">
                  <c:v>61.591152191162109</c:v>
                </c:pt>
                <c:pt idx="139">
                  <c:v>61.410911560058594</c:v>
                </c:pt>
                <c:pt idx="140">
                  <c:v>60.204006195068359</c:v>
                </c:pt>
                <c:pt idx="141">
                  <c:v>61.26983642578125</c:v>
                </c:pt>
                <c:pt idx="142">
                  <c:v>61.497119903564453</c:v>
                </c:pt>
                <c:pt idx="143">
                  <c:v>60.948505401611328</c:v>
                </c:pt>
                <c:pt idx="144">
                  <c:v>63.542583465576172</c:v>
                </c:pt>
                <c:pt idx="145">
                  <c:v>62.978305816650391</c:v>
                </c:pt>
                <c:pt idx="146">
                  <c:v>64.631919860839844</c:v>
                </c:pt>
                <c:pt idx="147">
                  <c:v>65.384262084960938</c:v>
                </c:pt>
                <c:pt idx="148">
                  <c:v>65.713424682617188</c:v>
                </c:pt>
                <c:pt idx="149">
                  <c:v>62.98614501953125</c:v>
                </c:pt>
                <c:pt idx="150">
                  <c:v>65.376426696777344</c:v>
                </c:pt>
                <c:pt idx="151">
                  <c:v>64.467330932617188</c:v>
                </c:pt>
                <c:pt idx="152">
                  <c:v>66.724395751953125</c:v>
                </c:pt>
                <c:pt idx="153">
                  <c:v>67.89996337890625</c:v>
                </c:pt>
                <c:pt idx="154">
                  <c:v>67.633514404296875</c:v>
                </c:pt>
                <c:pt idx="155">
                  <c:v>65.925025939941406</c:v>
                </c:pt>
                <c:pt idx="156">
                  <c:v>69.522224426269531</c:v>
                </c:pt>
                <c:pt idx="157">
                  <c:v>71.207183837890625</c:v>
                </c:pt>
                <c:pt idx="158">
                  <c:v>71.740097045898438</c:v>
                </c:pt>
                <c:pt idx="159">
                  <c:v>72.578659057617188</c:v>
                </c:pt>
                <c:pt idx="160">
                  <c:v>76.199356079101563</c:v>
                </c:pt>
                <c:pt idx="161">
                  <c:v>73.088066101074219</c:v>
                </c:pt>
                <c:pt idx="162">
                  <c:v>72.484611511230469</c:v>
                </c:pt>
                <c:pt idx="163">
                  <c:v>71.332565307617188</c:v>
                </c:pt>
                <c:pt idx="164">
                  <c:v>71.324745178222656</c:v>
                </c:pt>
                <c:pt idx="165">
                  <c:v>69.122535705566406</c:v>
                </c:pt>
                <c:pt idx="166">
                  <c:v>71.622535705566406</c:v>
                </c:pt>
                <c:pt idx="167">
                  <c:v>69.85137939453125</c:v>
                </c:pt>
                <c:pt idx="168">
                  <c:v>70.219711303710938</c:v>
                </c:pt>
                <c:pt idx="169">
                  <c:v>70.760467529296875</c:v>
                </c:pt>
                <c:pt idx="170">
                  <c:v>70.697769165039063</c:v>
                </c:pt>
                <c:pt idx="171">
                  <c:v>72.31219482421875</c:v>
                </c:pt>
                <c:pt idx="172">
                  <c:v>71.207183837890625</c:v>
                </c:pt>
                <c:pt idx="173">
                  <c:v>71.1209716796875</c:v>
                </c:pt>
                <c:pt idx="174">
                  <c:v>71.222862243652344</c:v>
                </c:pt>
                <c:pt idx="175">
                  <c:v>68.840408325195313</c:v>
                </c:pt>
                <c:pt idx="176">
                  <c:v>71.661727905273438</c:v>
                </c:pt>
                <c:pt idx="177">
                  <c:v>71.434455871582031</c:v>
                </c:pt>
                <c:pt idx="178">
                  <c:v>68.887428283691406</c:v>
                </c:pt>
                <c:pt idx="179">
                  <c:v>68.550430297851563</c:v>
                </c:pt>
                <c:pt idx="180">
                  <c:v>70.525367736816406</c:v>
                </c:pt>
                <c:pt idx="181">
                  <c:v>73.009696960449219</c:v>
                </c:pt>
                <c:pt idx="182">
                  <c:v>72.061416625976563</c:v>
                </c:pt>
                <c:pt idx="183">
                  <c:v>70.509689331054688</c:v>
                </c:pt>
                <c:pt idx="184">
                  <c:v>69.114700317382813</c:v>
                </c:pt>
                <c:pt idx="185">
                  <c:v>70.094337463378906</c:v>
                </c:pt>
                <c:pt idx="186">
                  <c:v>72.570823669433594</c:v>
                </c:pt>
                <c:pt idx="187">
                  <c:v>75.462677001953125</c:v>
                </c:pt>
                <c:pt idx="188">
                  <c:v>76.787139892578125</c:v>
                </c:pt>
                <c:pt idx="189">
                  <c:v>79.88275146484375</c:v>
                </c:pt>
                <c:pt idx="190">
                  <c:v>86.183723449707031</c:v>
                </c:pt>
                <c:pt idx="191">
                  <c:v>84.86712646484375</c:v>
                </c:pt>
                <c:pt idx="192">
                  <c:v>82.678825378417969</c:v>
                </c:pt>
                <c:pt idx="193">
                  <c:v>79.087203979492188</c:v>
                </c:pt>
                <c:pt idx="194">
                  <c:v>78.754203796386719</c:v>
                </c:pt>
                <c:pt idx="195">
                  <c:v>78.801773071289063</c:v>
                </c:pt>
                <c:pt idx="196">
                  <c:v>83.860191345214844</c:v>
                </c:pt>
                <c:pt idx="197">
                  <c:v>82.42510986328125</c:v>
                </c:pt>
                <c:pt idx="198">
                  <c:v>79.721488952636719</c:v>
                </c:pt>
                <c:pt idx="199">
                  <c:v>79.443977355957031</c:v>
                </c:pt>
                <c:pt idx="200">
                  <c:v>83.225906372070313</c:v>
                </c:pt>
                <c:pt idx="201">
                  <c:v>83.72540283203125</c:v>
                </c:pt>
                <c:pt idx="202">
                  <c:v>84.058395385742188</c:v>
                </c:pt>
                <c:pt idx="203">
                  <c:v>84.573753356933594</c:v>
                </c:pt>
                <c:pt idx="204">
                  <c:v>85.430030822753906</c:v>
                </c:pt>
                <c:pt idx="205">
                  <c:v>82.8453369140625</c:v>
                </c:pt>
                <c:pt idx="206">
                  <c:v>82.662979125976563</c:v>
                </c:pt>
                <c:pt idx="207">
                  <c:v>82.250679016113281</c:v>
                </c:pt>
                <c:pt idx="208">
                  <c:v>80.97418212890625</c:v>
                </c:pt>
                <c:pt idx="209">
                  <c:v>80.720497131347656</c:v>
                </c:pt>
                <c:pt idx="210">
                  <c:v>80.633270263671875</c:v>
                </c:pt>
                <c:pt idx="211">
                  <c:v>79.30126953125</c:v>
                </c:pt>
                <c:pt idx="212">
                  <c:v>79.745254516601563</c:v>
                </c:pt>
                <c:pt idx="213">
                  <c:v>81.188270568847656</c:v>
                </c:pt>
                <c:pt idx="214">
                  <c:v>82.329986572265625</c:v>
                </c:pt>
                <c:pt idx="215">
                  <c:v>82.448890686035156</c:v>
                </c:pt>
                <c:pt idx="216">
                  <c:v>85.200111389160156</c:v>
                </c:pt>
                <c:pt idx="217">
                  <c:v>84.565834045410156</c:v>
                </c:pt>
                <c:pt idx="218">
                  <c:v>83.788848876953125</c:v>
                </c:pt>
                <c:pt idx="219">
                  <c:v>83.479606628417969</c:v>
                </c:pt>
                <c:pt idx="220">
                  <c:v>81.806694030761719</c:v>
                </c:pt>
                <c:pt idx="221">
                  <c:v>80.530197143554688</c:v>
                </c:pt>
                <c:pt idx="222">
                  <c:v>80.062416076660156</c:v>
                </c:pt>
                <c:pt idx="223">
                  <c:v>80.133766174316406</c:v>
                </c:pt>
                <c:pt idx="224">
                  <c:v>80.982124328613281</c:v>
                </c:pt>
                <c:pt idx="225">
                  <c:v>83.392402648925781</c:v>
                </c:pt>
                <c:pt idx="226">
                  <c:v>82.195198059082031</c:v>
                </c:pt>
                <c:pt idx="227">
                  <c:v>81.172401428222656</c:v>
                </c:pt>
                <c:pt idx="228">
                  <c:v>81.101058959960938</c:v>
                </c:pt>
                <c:pt idx="229">
                  <c:v>82.734321594238281</c:v>
                </c:pt>
                <c:pt idx="230">
                  <c:v>81.108993530273438</c:v>
                </c:pt>
                <c:pt idx="231">
                  <c:v>80.720497131347656</c:v>
                </c:pt>
                <c:pt idx="232">
                  <c:v>80.958335876464844</c:v>
                </c:pt>
                <c:pt idx="233">
                  <c:v>79.840408325195313</c:v>
                </c:pt>
                <c:pt idx="234">
                  <c:v>77.342918395996094</c:v>
                </c:pt>
                <c:pt idx="235">
                  <c:v>75.138786315917969</c:v>
                </c:pt>
                <c:pt idx="236">
                  <c:v>72.601661682128906</c:v>
                </c:pt>
                <c:pt idx="237">
                  <c:v>72.09423828125</c:v>
                </c:pt>
                <c:pt idx="238">
                  <c:v>71.158653259277344</c:v>
                </c:pt>
                <c:pt idx="239">
                  <c:v>74.147712707519531</c:v>
                </c:pt>
                <c:pt idx="240">
                  <c:v>76.605545043945313</c:v>
                </c:pt>
                <c:pt idx="241">
                  <c:v>79.451919555664063</c:v>
                </c:pt>
                <c:pt idx="242">
                  <c:v>86.365615844726563</c:v>
                </c:pt>
                <c:pt idx="243">
                  <c:v>87.055389404296875</c:v>
                </c:pt>
                <c:pt idx="244">
                  <c:v>82.908767700195313</c:v>
                </c:pt>
                <c:pt idx="245">
                  <c:v>82.147628784179688</c:v>
                </c:pt>
                <c:pt idx="246">
                  <c:v>79.745254516601563</c:v>
                </c:pt>
                <c:pt idx="247">
                  <c:v>79.54705810546875</c:v>
                </c:pt>
                <c:pt idx="248">
                  <c:v>80.506401062011719</c:v>
                </c:pt>
                <c:pt idx="249">
                  <c:v>77.660064697265625</c:v>
                </c:pt>
                <c:pt idx="250">
                  <c:v>75.154647827148438</c:v>
                </c:pt>
                <c:pt idx="251">
                  <c:v>75.9395751953125</c:v>
                </c:pt>
                <c:pt idx="252">
                  <c:v>74.567955017089844</c:v>
                </c:pt>
                <c:pt idx="253">
                  <c:v>73.319084167480469</c:v>
                </c:pt>
                <c:pt idx="254">
                  <c:v>73.842803955078125</c:v>
                </c:pt>
                <c:pt idx="255">
                  <c:v>74.809646606445313</c:v>
                </c:pt>
                <c:pt idx="256">
                  <c:v>77.01727294921875</c:v>
                </c:pt>
                <c:pt idx="257">
                  <c:v>78.26611328125</c:v>
                </c:pt>
                <c:pt idx="258">
                  <c:v>78.040512084960938</c:v>
                </c:pt>
                <c:pt idx="259">
                  <c:v>78.967079162597656</c:v>
                </c:pt>
                <c:pt idx="260">
                  <c:v>78.701187133789063</c:v>
                </c:pt>
                <c:pt idx="261">
                  <c:v>80.320671081542969</c:v>
                </c:pt>
                <c:pt idx="262">
                  <c:v>74.833816528320313</c:v>
                </c:pt>
                <c:pt idx="263">
                  <c:v>73.270744323730469</c:v>
                </c:pt>
                <c:pt idx="264">
                  <c:v>74.261772155761719</c:v>
                </c:pt>
                <c:pt idx="265">
                  <c:v>73.850868225097656</c:v>
                </c:pt>
                <c:pt idx="266">
                  <c:v>75.212486267089844</c:v>
                </c:pt>
                <c:pt idx="267">
                  <c:v>74.874099731445313</c:v>
                </c:pt>
                <c:pt idx="268">
                  <c:v>73.649421691894531</c:v>
                </c:pt>
                <c:pt idx="269">
                  <c:v>71.175926208496094</c:v>
                </c:pt>
                <c:pt idx="270">
                  <c:v>69.806221008300781</c:v>
                </c:pt>
                <c:pt idx="271">
                  <c:v>72.392532348632813</c:v>
                </c:pt>
                <c:pt idx="272">
                  <c:v>70.861701965332031</c:v>
                </c:pt>
                <c:pt idx="273">
                  <c:v>73.254646301269531</c:v>
                </c:pt>
                <c:pt idx="274">
                  <c:v>73.866966247558594</c:v>
                </c:pt>
                <c:pt idx="275">
                  <c:v>74.020057678222656</c:v>
                </c:pt>
                <c:pt idx="276">
                  <c:v>74.157035827636719</c:v>
                </c:pt>
                <c:pt idx="277">
                  <c:v>74.374565124511719</c:v>
                </c:pt>
                <c:pt idx="278">
                  <c:v>75.6072998046875</c:v>
                </c:pt>
                <c:pt idx="279">
                  <c:v>75.542839050292969</c:v>
                </c:pt>
                <c:pt idx="280">
                  <c:v>75.6959228515625</c:v>
                </c:pt>
                <c:pt idx="281">
                  <c:v>76.380783081054688</c:v>
                </c:pt>
                <c:pt idx="282">
                  <c:v>76.606361389160156</c:v>
                </c:pt>
                <c:pt idx="283">
                  <c:v>75.615341186523438</c:v>
                </c:pt>
                <c:pt idx="284">
                  <c:v>75.518669128417969</c:v>
                </c:pt>
                <c:pt idx="285">
                  <c:v>74.293998718261719</c:v>
                </c:pt>
                <c:pt idx="286">
                  <c:v>73.907257080078125</c:v>
                </c:pt>
                <c:pt idx="287">
                  <c:v>73.834747314453125</c:v>
                </c:pt>
                <c:pt idx="288">
                  <c:v>72.988754272460938</c:v>
                </c:pt>
                <c:pt idx="289">
                  <c:v>71.296768188476563</c:v>
                </c:pt>
                <c:pt idx="290">
                  <c:v>76.388816833496094</c:v>
                </c:pt>
                <c:pt idx="291">
                  <c:v>74.65655517578125</c:v>
                </c:pt>
                <c:pt idx="292">
                  <c:v>72.916244506835938</c:v>
                </c:pt>
                <c:pt idx="293">
                  <c:v>72.851776123046875</c:v>
                </c:pt>
                <c:pt idx="294">
                  <c:v>74.721015930175781</c:v>
                </c:pt>
                <c:pt idx="295">
                  <c:v>75.905410766601563</c:v>
                </c:pt>
                <c:pt idx="296">
                  <c:v>76.437171936035156</c:v>
                </c:pt>
                <c:pt idx="297">
                  <c:v>78.024391174316406</c:v>
                </c:pt>
                <c:pt idx="298">
                  <c:v>79.25714111328125</c:v>
                </c:pt>
                <c:pt idx="299">
                  <c:v>77.637657165527344</c:v>
                </c:pt>
                <c:pt idx="300">
                  <c:v>78.193603515625</c:v>
                </c:pt>
                <c:pt idx="301">
                  <c:v>73.488296508789063</c:v>
                </c:pt>
                <c:pt idx="302">
                  <c:v>73.528572082519531</c:v>
                </c:pt>
                <c:pt idx="303">
                  <c:v>75.011077880859375</c:v>
                </c:pt>
                <c:pt idx="304">
                  <c:v>75.9617919921875</c:v>
                </c:pt>
                <c:pt idx="305">
                  <c:v>76.566070556640625</c:v>
                </c:pt>
                <c:pt idx="306">
                  <c:v>76.380783081054688</c:v>
                </c:pt>
                <c:pt idx="307">
                  <c:v>75.534767150878906</c:v>
                </c:pt>
                <c:pt idx="308">
                  <c:v>75.5750732421875</c:v>
                </c:pt>
                <c:pt idx="309">
                  <c:v>77.001152038574219</c:v>
                </c:pt>
                <c:pt idx="310">
                  <c:v>74.527641296386719</c:v>
                </c:pt>
                <c:pt idx="311">
                  <c:v>75.123878479003906</c:v>
                </c:pt>
                <c:pt idx="312">
                  <c:v>74.229545593261719</c:v>
                </c:pt>
                <c:pt idx="313">
                  <c:v>72.980697631835938</c:v>
                </c:pt>
                <c:pt idx="314">
                  <c:v>73.294937133789063</c:v>
                </c:pt>
                <c:pt idx="315">
                  <c:v>69.620918273925781</c:v>
                </c:pt>
                <c:pt idx="316">
                  <c:v>70.668327331542969</c:v>
                </c:pt>
                <c:pt idx="317">
                  <c:v>71.353164672851563</c:v>
                </c:pt>
                <c:pt idx="318">
                  <c:v>71.071189880371094</c:v>
                </c:pt>
                <c:pt idx="319">
                  <c:v>72.835662841796875</c:v>
                </c:pt>
                <c:pt idx="320">
                  <c:v>73.197189331054688</c:v>
                </c:pt>
                <c:pt idx="321">
                  <c:v>74.183097839355469</c:v>
                </c:pt>
                <c:pt idx="322">
                  <c:v>76.196044921875</c:v>
                </c:pt>
                <c:pt idx="323">
                  <c:v>76.861557006835938</c:v>
                </c:pt>
                <c:pt idx="324">
                  <c:v>74.42138671875</c:v>
                </c:pt>
                <c:pt idx="325">
                  <c:v>74.150253295898438</c:v>
                </c:pt>
                <c:pt idx="326">
                  <c:v>74.906112670898438</c:v>
                </c:pt>
                <c:pt idx="327">
                  <c:v>74.634979248046875</c:v>
                </c:pt>
                <c:pt idx="328">
                  <c:v>72.400222778320313</c:v>
                </c:pt>
                <c:pt idx="329">
                  <c:v>71.529304504394531</c:v>
                </c:pt>
                <c:pt idx="330">
                  <c:v>70.568023681640625</c:v>
                </c:pt>
                <c:pt idx="331">
                  <c:v>72.079780578613281</c:v>
                </c:pt>
                <c:pt idx="332">
                  <c:v>70.863807678222656</c:v>
                </c:pt>
                <c:pt idx="333">
                  <c:v>71.800437927246094</c:v>
                </c:pt>
                <c:pt idx="334">
                  <c:v>73.049293518066406</c:v>
                </c:pt>
                <c:pt idx="335">
                  <c:v>69.992904663085938</c:v>
                </c:pt>
                <c:pt idx="336">
                  <c:v>67.519859313964844</c:v>
                </c:pt>
                <c:pt idx="337">
                  <c:v>68.218223571777344</c:v>
                </c:pt>
                <c:pt idx="338">
                  <c:v>68.209991455078125</c:v>
                </c:pt>
                <c:pt idx="339">
                  <c:v>68.596168518066406</c:v>
                </c:pt>
                <c:pt idx="340">
                  <c:v>67.478767395019531</c:v>
                </c:pt>
                <c:pt idx="341">
                  <c:v>67.577384948730469</c:v>
                </c:pt>
                <c:pt idx="342">
                  <c:v>65.975242614746094</c:v>
                </c:pt>
                <c:pt idx="343">
                  <c:v>65.720527648925781</c:v>
                </c:pt>
                <c:pt idx="344">
                  <c:v>67.692390441894531</c:v>
                </c:pt>
                <c:pt idx="345">
                  <c:v>66.229911804199219</c:v>
                </c:pt>
                <c:pt idx="346">
                  <c:v>65.958793640136719</c:v>
                </c:pt>
                <c:pt idx="347">
                  <c:v>66.229911804199219</c:v>
                </c:pt>
                <c:pt idx="348">
                  <c:v>66.394241333007813</c:v>
                </c:pt>
                <c:pt idx="349">
                  <c:v>69.080902099609375</c:v>
                </c:pt>
                <c:pt idx="350">
                  <c:v>69.508140563964844</c:v>
                </c:pt>
                <c:pt idx="351">
                  <c:v>71.841514587402344</c:v>
                </c:pt>
                <c:pt idx="352">
                  <c:v>70.033988952636719</c:v>
                </c:pt>
                <c:pt idx="353">
                  <c:v>71.233535766601563</c:v>
                </c:pt>
                <c:pt idx="354">
                  <c:v>73.509376525878906</c:v>
                </c:pt>
                <c:pt idx="355">
                  <c:v>77.025871276855469</c:v>
                </c:pt>
                <c:pt idx="356">
                  <c:v>77.658523559570313</c:v>
                </c:pt>
                <c:pt idx="357">
                  <c:v>78.365097045898438</c:v>
                </c:pt>
                <c:pt idx="358">
                  <c:v>77.970710754394531</c:v>
                </c:pt>
                <c:pt idx="359">
                  <c:v>78.00360107421875</c:v>
                </c:pt>
                <c:pt idx="360">
                  <c:v>77.576339721679688</c:v>
                </c:pt>
                <c:pt idx="361">
                  <c:v>78.40618896484375</c:v>
                </c:pt>
                <c:pt idx="362">
                  <c:v>77.724227905273438</c:v>
                </c:pt>
                <c:pt idx="363">
                  <c:v>76.097457885742188</c:v>
                </c:pt>
                <c:pt idx="364">
                  <c:v>73.410797119140625</c:v>
                </c:pt>
                <c:pt idx="365">
                  <c:v>74.207763671875</c:v>
                </c:pt>
                <c:pt idx="366">
                  <c:v>73.821609497070313</c:v>
                </c:pt>
                <c:pt idx="367">
                  <c:v>73.2711181640625</c:v>
                </c:pt>
                <c:pt idx="368">
                  <c:v>73.065727233886719</c:v>
                </c:pt>
                <c:pt idx="369">
                  <c:v>72.589179992675781</c:v>
                </c:pt>
                <c:pt idx="370">
                  <c:v>72.926063537597656</c:v>
                </c:pt>
                <c:pt idx="371">
                  <c:v>72.490592956542969</c:v>
                </c:pt>
                <c:pt idx="372">
                  <c:v>71.077423095703125</c:v>
                </c:pt>
                <c:pt idx="373">
                  <c:v>72.342704772949219</c:v>
                </c:pt>
                <c:pt idx="374">
                  <c:v>71.545745849609375</c:v>
                </c:pt>
                <c:pt idx="375">
                  <c:v>71.217109680175781</c:v>
                </c:pt>
                <c:pt idx="376">
                  <c:v>71.529304504394531</c:v>
                </c:pt>
                <c:pt idx="377">
                  <c:v>70.806289672851563</c:v>
                </c:pt>
                <c:pt idx="378">
                  <c:v>72.367355346679688</c:v>
                </c:pt>
                <c:pt idx="379">
                  <c:v>70.379058837890625</c:v>
                </c:pt>
                <c:pt idx="380">
                  <c:v>72.515243530273438</c:v>
                </c:pt>
                <c:pt idx="381">
                  <c:v>71.767585754394531</c:v>
                </c:pt>
                <c:pt idx="382">
                  <c:v>70.987060546875</c:v>
                </c:pt>
                <c:pt idx="383">
                  <c:v>69.549240112304688</c:v>
                </c:pt>
                <c:pt idx="384">
                  <c:v>73.643333435058594</c:v>
                </c:pt>
                <c:pt idx="385">
                  <c:v>75.270889282226563</c:v>
                </c:pt>
                <c:pt idx="386">
                  <c:v>75.698760986328125</c:v>
                </c:pt>
                <c:pt idx="387">
                  <c:v>77.401847839355469</c:v>
                </c:pt>
                <c:pt idx="388">
                  <c:v>76.554489135742188</c:v>
                </c:pt>
                <c:pt idx="389">
                  <c:v>77.536064147949219</c:v>
                </c:pt>
                <c:pt idx="390">
                  <c:v>78.400192260742188</c:v>
                </c:pt>
                <c:pt idx="391">
                  <c:v>76.948806762695313</c:v>
                </c:pt>
                <c:pt idx="392">
                  <c:v>77.905204772949219</c:v>
                </c:pt>
                <c:pt idx="393">
                  <c:v>77.183700561523438</c:v>
                </c:pt>
                <c:pt idx="394">
                  <c:v>75.111488342285156</c:v>
                </c:pt>
                <c:pt idx="395">
                  <c:v>75.304450988769531</c:v>
                </c:pt>
                <c:pt idx="396">
                  <c:v>73.844673156738281</c:v>
                </c:pt>
                <c:pt idx="397">
                  <c:v>74.935310363769531</c:v>
                </c:pt>
                <c:pt idx="398">
                  <c:v>74.297706604003906</c:v>
                </c:pt>
                <c:pt idx="399">
                  <c:v>71.411705017089844</c:v>
                </c:pt>
                <c:pt idx="400">
                  <c:v>72.955375671386719</c:v>
                </c:pt>
                <c:pt idx="401">
                  <c:v>73.32452392578125</c:v>
                </c:pt>
                <c:pt idx="402">
                  <c:v>74.222198486328125</c:v>
                </c:pt>
                <c:pt idx="403">
                  <c:v>74.415145874023438</c:v>
                </c:pt>
                <c:pt idx="404">
                  <c:v>75.665206909179688</c:v>
                </c:pt>
                <c:pt idx="405">
                  <c:v>75.631645202636719</c:v>
                </c:pt>
                <c:pt idx="406">
                  <c:v>73.7691650390625</c:v>
                </c:pt>
                <c:pt idx="407">
                  <c:v>74.683624267578125</c:v>
                </c:pt>
                <c:pt idx="408">
                  <c:v>74.910140991210938</c:v>
                </c:pt>
                <c:pt idx="409">
                  <c:v>74.742355346679688</c:v>
                </c:pt>
                <c:pt idx="410">
                  <c:v>74.020851135253906</c:v>
                </c:pt>
                <c:pt idx="411">
                  <c:v>75.119880676269531</c:v>
                </c:pt>
                <c:pt idx="412">
                  <c:v>75.933670043945313</c:v>
                </c:pt>
                <c:pt idx="413">
                  <c:v>75.807830810546875</c:v>
                </c:pt>
                <c:pt idx="414">
                  <c:v>74.8765869140625</c:v>
                </c:pt>
                <c:pt idx="415">
                  <c:v>75.480636596679688</c:v>
                </c:pt>
                <c:pt idx="416">
                  <c:v>78.844841003417969</c:v>
                </c:pt>
                <c:pt idx="417">
                  <c:v>78.853225708007813</c:v>
                </c:pt>
                <c:pt idx="418">
                  <c:v>78.098167419433594</c:v>
                </c:pt>
                <c:pt idx="419">
                  <c:v>78.752555847167969</c:v>
                </c:pt>
                <c:pt idx="420">
                  <c:v>78.458900451660156</c:v>
                </c:pt>
                <c:pt idx="421">
                  <c:v>79.985809326171875</c:v>
                </c:pt>
                <c:pt idx="422">
                  <c:v>78.576393127441406</c:v>
                </c:pt>
                <c:pt idx="423">
                  <c:v>75.715538024902344</c:v>
                </c:pt>
                <c:pt idx="424">
                  <c:v>72.8463134765625</c:v>
                </c:pt>
                <c:pt idx="425">
                  <c:v>73.735618591308594</c:v>
                </c:pt>
                <c:pt idx="426">
                  <c:v>73.727226257324219</c:v>
                </c:pt>
                <c:pt idx="427">
                  <c:v>71.755668640136719</c:v>
                </c:pt>
                <c:pt idx="428">
                  <c:v>72.611427307128906</c:v>
                </c:pt>
                <c:pt idx="429">
                  <c:v>74.3228759765625</c:v>
                </c:pt>
                <c:pt idx="430">
                  <c:v>75.363189697265625</c:v>
                </c:pt>
                <c:pt idx="431">
                  <c:v>75.623245239257813</c:v>
                </c:pt>
                <c:pt idx="432">
                  <c:v>73.223846435546875</c:v>
                </c:pt>
                <c:pt idx="433">
                  <c:v>74.557777404785156</c:v>
                </c:pt>
                <c:pt idx="434">
                  <c:v>76.504158020019531</c:v>
                </c:pt>
                <c:pt idx="435">
                  <c:v>78.450523376464844</c:v>
                </c:pt>
                <c:pt idx="436">
                  <c:v>82.209030151367188</c:v>
                </c:pt>
                <c:pt idx="437">
                  <c:v>84.977584838867188</c:v>
                </c:pt>
                <c:pt idx="438">
                  <c:v>85.724235534667969</c:v>
                </c:pt>
                <c:pt idx="439">
                  <c:v>87.762901306152344</c:v>
                </c:pt>
                <c:pt idx="440">
                  <c:v>88.803207397460938</c:v>
                </c:pt>
                <c:pt idx="441">
                  <c:v>83.870170593261719</c:v>
                </c:pt>
                <c:pt idx="442">
                  <c:v>82.594963073730469</c:v>
                </c:pt>
                <c:pt idx="443">
                  <c:v>81.143577575683594</c:v>
                </c:pt>
                <c:pt idx="444">
                  <c:v>82.846641540527344</c:v>
                </c:pt>
                <c:pt idx="445">
                  <c:v>82.058021545410156</c:v>
                </c:pt>
                <c:pt idx="446">
                  <c:v>85.413833618164063</c:v>
                </c:pt>
                <c:pt idx="447">
                  <c:v>85.506134033203125</c:v>
                </c:pt>
                <c:pt idx="448">
                  <c:v>88.148834228515625</c:v>
                </c:pt>
                <c:pt idx="449">
                  <c:v>90.900581359863281</c:v>
                </c:pt>
                <c:pt idx="450">
                  <c:v>93.305290222167969</c:v>
                </c:pt>
                <c:pt idx="451">
                  <c:v>98.660400390625</c:v>
                </c:pt>
                <c:pt idx="452">
                  <c:v>99.751876831054688</c:v>
                </c:pt>
                <c:pt idx="453">
                  <c:v>99.939498901367188</c:v>
                </c:pt>
                <c:pt idx="454">
                  <c:v>100.0162353515625</c:v>
                </c:pt>
                <c:pt idx="455">
                  <c:v>97.56890869140625</c:v>
                </c:pt>
                <c:pt idx="456">
                  <c:v>98.549537658691406</c:v>
                </c:pt>
                <c:pt idx="457">
                  <c:v>96.937889099121094</c:v>
                </c:pt>
                <c:pt idx="458">
                  <c:v>92.444038391113281</c:v>
                </c:pt>
                <c:pt idx="459">
                  <c:v>89.186607360839844</c:v>
                </c:pt>
                <c:pt idx="460">
                  <c:v>88.120704650878906</c:v>
                </c:pt>
                <c:pt idx="461">
                  <c:v>93.339378356933594</c:v>
                </c:pt>
                <c:pt idx="462">
                  <c:v>97.790611267089844</c:v>
                </c:pt>
                <c:pt idx="463">
                  <c:v>99.581329345703125</c:v>
                </c:pt>
                <c:pt idx="464">
                  <c:v>99.044136047363281</c:v>
                </c:pt>
                <c:pt idx="465">
                  <c:v>101.57672119140625</c:v>
                </c:pt>
                <c:pt idx="466">
                  <c:v>98.268142700195313</c:v>
                </c:pt>
                <c:pt idx="467">
                  <c:v>99.223197937011719</c:v>
                </c:pt>
                <c:pt idx="468">
                  <c:v>99.683677673339844</c:v>
                </c:pt>
                <c:pt idx="469">
                  <c:v>98.396049499511719</c:v>
                </c:pt>
                <c:pt idx="470">
                  <c:v>101.47440338134766</c:v>
                </c:pt>
                <c:pt idx="471">
                  <c:v>100.20384216308594</c:v>
                </c:pt>
                <c:pt idx="472">
                  <c:v>101.33795166015625</c:v>
                </c:pt>
                <c:pt idx="473">
                  <c:v>96.588272094726563</c:v>
                </c:pt>
                <c:pt idx="474">
                  <c:v>93.552574157714844</c:v>
                </c:pt>
                <c:pt idx="475">
                  <c:v>96.818511962890625</c:v>
                </c:pt>
                <c:pt idx="476">
                  <c:v>95.309188842773438</c:v>
                </c:pt>
                <c:pt idx="477">
                  <c:v>96.912307739257813</c:v>
                </c:pt>
                <c:pt idx="478">
                  <c:v>91.830062866210938</c:v>
                </c:pt>
                <c:pt idx="479">
                  <c:v>91.685104370117188</c:v>
                </c:pt>
                <c:pt idx="480">
                  <c:v>91.957977294921875</c:v>
                </c:pt>
                <c:pt idx="481">
                  <c:v>93.868072509765625</c:v>
                </c:pt>
                <c:pt idx="482">
                  <c:v>89.408332824707031</c:v>
                </c:pt>
                <c:pt idx="483">
                  <c:v>87.285026550292969</c:v>
                </c:pt>
                <c:pt idx="484">
                  <c:v>84.3431396484375</c:v>
                </c:pt>
                <c:pt idx="485">
                  <c:v>83.456291198730469</c:v>
                </c:pt>
                <c:pt idx="486">
                  <c:v>83.311325073242188</c:v>
                </c:pt>
                <c:pt idx="487">
                  <c:v>84.871810913085938</c:v>
                </c:pt>
                <c:pt idx="488">
                  <c:v>83.805908203125</c:v>
                </c:pt>
                <c:pt idx="489">
                  <c:v>81.452392578125</c:v>
                </c:pt>
                <c:pt idx="490">
                  <c:v>82.074882507324219</c:v>
                </c:pt>
                <c:pt idx="491">
                  <c:v>84.65863037109375</c:v>
                </c:pt>
                <c:pt idx="492">
                  <c:v>85.076461791992188</c:v>
                </c:pt>
                <c:pt idx="493">
                  <c:v>83.567153930664063</c:v>
                </c:pt>
                <c:pt idx="494">
                  <c:v>82.961708068847656</c:v>
                </c:pt>
                <c:pt idx="495">
                  <c:v>80.267097473144531</c:v>
                </c:pt>
                <c:pt idx="496">
                  <c:v>77.93914794921875</c:v>
                </c:pt>
                <c:pt idx="497">
                  <c:v>78.442276000976563</c:v>
                </c:pt>
                <c:pt idx="498">
                  <c:v>77.41900634765625</c:v>
                </c:pt>
                <c:pt idx="499">
                  <c:v>76.822097778320313</c:v>
                </c:pt>
                <c:pt idx="500">
                  <c:v>77.393424987792969</c:v>
                </c:pt>
                <c:pt idx="501">
                  <c:v>81.102767944335938</c:v>
                </c:pt>
                <c:pt idx="502">
                  <c:v>80.053909301757813</c:v>
                </c:pt>
                <c:pt idx="503">
                  <c:v>86.278816223144531</c:v>
                </c:pt>
                <c:pt idx="504">
                  <c:v>87.344718933105469</c:v>
                </c:pt>
                <c:pt idx="505">
                  <c:v>84.155540466308594</c:v>
                </c:pt>
                <c:pt idx="506">
                  <c:v>83.584220886230469</c:v>
                </c:pt>
                <c:pt idx="507">
                  <c:v>85.281120300292969</c:v>
                </c:pt>
                <c:pt idx="508">
                  <c:v>83.814453125</c:v>
                </c:pt>
                <c:pt idx="509">
                  <c:v>86.9354248046875</c:v>
                </c:pt>
                <c:pt idx="510">
                  <c:v>87.0462646484375</c:v>
                </c:pt>
                <c:pt idx="511">
                  <c:v>84.129737854003906</c:v>
                </c:pt>
                <c:pt idx="512">
                  <c:v>85.038444519042969</c:v>
                </c:pt>
                <c:pt idx="513">
                  <c:v>87.331863403320313</c:v>
                </c:pt>
                <c:pt idx="514">
                  <c:v>86.371223449707031</c:v>
                </c:pt>
                <c:pt idx="515">
                  <c:v>86.53564453125</c:v>
                </c:pt>
                <c:pt idx="516">
                  <c:v>88.214614868164063</c:v>
                </c:pt>
                <c:pt idx="517">
                  <c:v>84.493202209472656</c:v>
                </c:pt>
                <c:pt idx="518">
                  <c:v>81.187217712402344</c:v>
                </c:pt>
                <c:pt idx="519">
                  <c:v>80.494873046875</c:v>
                </c:pt>
                <c:pt idx="520">
                  <c:v>81.844940185546875</c:v>
                </c:pt>
                <c:pt idx="521">
                  <c:v>78.210098266601563</c:v>
                </c:pt>
                <c:pt idx="522">
                  <c:v>78.287971496582031</c:v>
                </c:pt>
                <c:pt idx="523">
                  <c:v>78.149528503417969</c:v>
                </c:pt>
                <c:pt idx="524">
                  <c:v>82.701728820800781</c:v>
                </c:pt>
                <c:pt idx="525">
                  <c:v>78.538963317871094</c:v>
                </c:pt>
                <c:pt idx="526">
                  <c:v>78.781280517578125</c:v>
                </c:pt>
                <c:pt idx="527">
                  <c:v>74.826202392578125</c:v>
                </c:pt>
                <c:pt idx="528">
                  <c:v>70.550910949707031</c:v>
                </c:pt>
                <c:pt idx="529">
                  <c:v>73.346305847167969</c:v>
                </c:pt>
                <c:pt idx="530">
                  <c:v>74.393486022949219</c:v>
                </c:pt>
                <c:pt idx="531">
                  <c:v>76.133018493652344</c:v>
                </c:pt>
                <c:pt idx="532">
                  <c:v>74.722358703613281</c:v>
                </c:pt>
                <c:pt idx="533">
                  <c:v>72.065444946289063</c:v>
                </c:pt>
                <c:pt idx="534">
                  <c:v>71.070198059082031</c:v>
                </c:pt>
                <c:pt idx="535">
                  <c:v>72.861656188964844</c:v>
                </c:pt>
                <c:pt idx="536">
                  <c:v>70.022994995117188</c:v>
                </c:pt>
                <c:pt idx="537">
                  <c:v>70.369186401367188</c:v>
                </c:pt>
                <c:pt idx="538">
                  <c:v>73.285728454589844</c:v>
                </c:pt>
                <c:pt idx="539">
                  <c:v>73.415542602539063</c:v>
                </c:pt>
                <c:pt idx="540">
                  <c:v>71.857742309570313</c:v>
                </c:pt>
                <c:pt idx="541">
                  <c:v>70.931709289550781</c:v>
                </c:pt>
                <c:pt idx="542">
                  <c:v>70.77593994140625</c:v>
                </c:pt>
                <c:pt idx="543">
                  <c:v>67.738243103027344</c:v>
                </c:pt>
                <c:pt idx="544">
                  <c:v>67.426681518554688</c:v>
                </c:pt>
                <c:pt idx="545">
                  <c:v>67.019912719726563</c:v>
                </c:pt>
                <c:pt idx="546">
                  <c:v>66.197738647460938</c:v>
                </c:pt>
                <c:pt idx="547">
                  <c:v>66.812202453613281</c:v>
                </c:pt>
                <c:pt idx="548">
                  <c:v>67.816123962402344</c:v>
                </c:pt>
                <c:pt idx="549">
                  <c:v>67.746894836425781</c:v>
                </c:pt>
                <c:pt idx="550">
                  <c:v>67.591087341308594</c:v>
                </c:pt>
                <c:pt idx="551">
                  <c:v>65.626541137695313</c:v>
                </c:pt>
                <c:pt idx="552">
                  <c:v>65.185173034667969</c:v>
                </c:pt>
                <c:pt idx="553">
                  <c:v>68.058441162109375</c:v>
                </c:pt>
                <c:pt idx="554">
                  <c:v>69.754707336425781</c:v>
                </c:pt>
                <c:pt idx="555">
                  <c:v>66.13714599609375</c:v>
                </c:pt>
                <c:pt idx="556">
                  <c:v>66.171783447265625</c:v>
                </c:pt>
                <c:pt idx="557">
                  <c:v>65.8515625</c:v>
                </c:pt>
                <c:pt idx="558">
                  <c:v>65.488082885742188</c:v>
                </c:pt>
                <c:pt idx="559">
                  <c:v>65.782333374023438</c:v>
                </c:pt>
                <c:pt idx="560">
                  <c:v>67.2882080078125</c:v>
                </c:pt>
                <c:pt idx="561">
                  <c:v>65.462120056152344</c:v>
                </c:pt>
                <c:pt idx="562">
                  <c:v>69.270072937011719</c:v>
                </c:pt>
                <c:pt idx="563">
                  <c:v>72.307769775390625</c:v>
                </c:pt>
                <c:pt idx="564">
                  <c:v>72.515480041503906</c:v>
                </c:pt>
                <c:pt idx="565">
                  <c:v>70.888450622558594</c:v>
                </c:pt>
                <c:pt idx="566">
                  <c:v>68.83734130859375</c:v>
                </c:pt>
                <c:pt idx="567">
                  <c:v>68.058441162109375</c:v>
                </c:pt>
                <c:pt idx="568">
                  <c:v>68.811393737792969</c:v>
                </c:pt>
                <c:pt idx="569">
                  <c:v>68.620986938476563</c:v>
                </c:pt>
                <c:pt idx="570">
                  <c:v>68.447891235351563</c:v>
                </c:pt>
                <c:pt idx="571">
                  <c:v>69.226791381835938</c:v>
                </c:pt>
                <c:pt idx="572">
                  <c:v>67.547836303710938</c:v>
                </c:pt>
                <c:pt idx="573">
                  <c:v>70.335678100585938</c:v>
                </c:pt>
                <c:pt idx="574">
                  <c:v>70.624961853027344</c:v>
                </c:pt>
                <c:pt idx="575">
                  <c:v>67.42510986328125</c:v>
                </c:pt>
                <c:pt idx="576">
                  <c:v>66.636100769042969</c:v>
                </c:pt>
                <c:pt idx="577">
                  <c:v>66.872779846191406</c:v>
                </c:pt>
                <c:pt idx="578">
                  <c:v>65.312309265136719</c:v>
                </c:pt>
                <c:pt idx="579">
                  <c:v>67.021835327148438</c:v>
                </c:pt>
                <c:pt idx="580">
                  <c:v>66.741287231445313</c:v>
                </c:pt>
                <c:pt idx="581">
                  <c:v>67.933578491210938</c:v>
                </c:pt>
                <c:pt idx="582">
                  <c:v>67.23223876953125</c:v>
                </c:pt>
                <c:pt idx="583">
                  <c:v>70.125251770019531</c:v>
                </c:pt>
                <c:pt idx="584">
                  <c:v>73.640724182128906</c:v>
                </c:pt>
                <c:pt idx="585">
                  <c:v>73.8248291015625</c:v>
                </c:pt>
                <c:pt idx="586">
                  <c:v>72.404617309570313</c:v>
                </c:pt>
                <c:pt idx="587">
                  <c:v>68.626144409179688</c:v>
                </c:pt>
                <c:pt idx="588">
                  <c:v>67.530296325683594</c:v>
                </c:pt>
                <c:pt idx="589">
                  <c:v>66.706230163574219</c:v>
                </c:pt>
                <c:pt idx="590">
                  <c:v>67.34619140625</c:v>
                </c:pt>
                <c:pt idx="591">
                  <c:v>65.172035217285156</c:v>
                </c:pt>
                <c:pt idx="592">
                  <c:v>63.015422821044922</c:v>
                </c:pt>
                <c:pt idx="593">
                  <c:v>60.175003051757813</c:v>
                </c:pt>
                <c:pt idx="594">
                  <c:v>60.490608215332031</c:v>
                </c:pt>
                <c:pt idx="595">
                  <c:v>60.841274261474609</c:v>
                </c:pt>
                <c:pt idx="596">
                  <c:v>60.928936004638672</c:v>
                </c:pt>
                <c:pt idx="597">
                  <c:v>60.490608215332031</c:v>
                </c:pt>
                <c:pt idx="598">
                  <c:v>59.631454467773438</c:v>
                </c:pt>
                <c:pt idx="599">
                  <c:v>64.242759704589844</c:v>
                </c:pt>
                <c:pt idx="600">
                  <c:v>65.426277160644531</c:v>
                </c:pt>
                <c:pt idx="601">
                  <c:v>64.295364379882813</c:v>
                </c:pt>
                <c:pt idx="602">
                  <c:v>63.208293914794922</c:v>
                </c:pt>
                <c:pt idx="603">
                  <c:v>60.262649536132813</c:v>
                </c:pt>
                <c:pt idx="604">
                  <c:v>58.237541198730469</c:v>
                </c:pt>
                <c:pt idx="605">
                  <c:v>59.254482269287109</c:v>
                </c:pt>
                <c:pt idx="606">
                  <c:v>57.492374420166016</c:v>
                </c:pt>
                <c:pt idx="607">
                  <c:v>57.983310699462891</c:v>
                </c:pt>
                <c:pt idx="608">
                  <c:v>56.983898162841797</c:v>
                </c:pt>
                <c:pt idx="609">
                  <c:v>57.273204803466797</c:v>
                </c:pt>
                <c:pt idx="610">
                  <c:v>57.746608734130859</c:v>
                </c:pt>
                <c:pt idx="611">
                  <c:v>55.905590057373047</c:v>
                </c:pt>
                <c:pt idx="612">
                  <c:v>55.852985382080078</c:v>
                </c:pt>
                <c:pt idx="613">
                  <c:v>56.641998291015625</c:v>
                </c:pt>
                <c:pt idx="614">
                  <c:v>54.371402740478516</c:v>
                </c:pt>
                <c:pt idx="615">
                  <c:v>56.598159790039063</c:v>
                </c:pt>
                <c:pt idx="616">
                  <c:v>62.918991088867188</c:v>
                </c:pt>
                <c:pt idx="617">
                  <c:v>64.409339904785156</c:v>
                </c:pt>
                <c:pt idx="618">
                  <c:v>61.875751495361328</c:v>
                </c:pt>
                <c:pt idx="619">
                  <c:v>62.568325042724609</c:v>
                </c:pt>
                <c:pt idx="620">
                  <c:v>64.251533508300781</c:v>
                </c:pt>
                <c:pt idx="621">
                  <c:v>61.814373016357422</c:v>
                </c:pt>
                <c:pt idx="622">
                  <c:v>68.021224975585938</c:v>
                </c:pt>
                <c:pt idx="623">
                  <c:v>64.277839660644531</c:v>
                </c:pt>
                <c:pt idx="624">
                  <c:v>66.451988220214844</c:v>
                </c:pt>
                <c:pt idx="625">
                  <c:v>65.873374938964844</c:v>
                </c:pt>
                <c:pt idx="626">
                  <c:v>66.899093627929688</c:v>
                </c:pt>
                <c:pt idx="627">
                  <c:v>72.036407470703125</c:v>
                </c:pt>
                <c:pt idx="628">
                  <c:v>71.010696411132813</c:v>
                </c:pt>
                <c:pt idx="629">
                  <c:v>71.072059631347656</c:v>
                </c:pt>
                <c:pt idx="630">
                  <c:v>69.178436279296875</c:v>
                </c:pt>
                <c:pt idx="631">
                  <c:v>66.785110473632813</c:v>
                </c:pt>
                <c:pt idx="632">
                  <c:v>65.803237915039063</c:v>
                </c:pt>
                <c:pt idx="633">
                  <c:v>67.942329406738281</c:v>
                </c:pt>
                <c:pt idx="634">
                  <c:v>66.074478149414063</c:v>
                </c:pt>
                <c:pt idx="635">
                  <c:v>64.702346801757813</c:v>
                </c:pt>
                <c:pt idx="636">
                  <c:v>62.586627960205078</c:v>
                </c:pt>
                <c:pt idx="637">
                  <c:v>61.090568542480469</c:v>
                </c:pt>
                <c:pt idx="638">
                  <c:v>64.082679748535156</c:v>
                </c:pt>
                <c:pt idx="639">
                  <c:v>69.491508483886719</c:v>
                </c:pt>
                <c:pt idx="640">
                  <c:v>71.253143310546875</c:v>
                </c:pt>
                <c:pt idx="641">
                  <c:v>70.2174072265625</c:v>
                </c:pt>
                <c:pt idx="642">
                  <c:v>69.827911376953125</c:v>
                </c:pt>
                <c:pt idx="643">
                  <c:v>70.42987060546875</c:v>
                </c:pt>
                <c:pt idx="644">
                  <c:v>68.16363525390625</c:v>
                </c:pt>
                <c:pt idx="645">
                  <c:v>70.810516357421875</c:v>
                </c:pt>
                <c:pt idx="646">
                  <c:v>69.234786987304688</c:v>
                </c:pt>
                <c:pt idx="647">
                  <c:v>67.774131774902344</c:v>
                </c:pt>
                <c:pt idx="648">
                  <c:v>65.959388732910156</c:v>
                </c:pt>
                <c:pt idx="649">
                  <c:v>63.967609405517578</c:v>
                </c:pt>
                <c:pt idx="650">
                  <c:v>64.259727478027344</c:v>
                </c:pt>
                <c:pt idx="651">
                  <c:v>64.197761535644531</c:v>
                </c:pt>
                <c:pt idx="652">
                  <c:v>65.773490905761719</c:v>
                </c:pt>
                <c:pt idx="653">
                  <c:v>65.808891296386719</c:v>
                </c:pt>
                <c:pt idx="654">
                  <c:v>64.666946411132813</c:v>
                </c:pt>
                <c:pt idx="655">
                  <c:v>65.34857177734375</c:v>
                </c:pt>
                <c:pt idx="656">
                  <c:v>64.631538391113281</c:v>
                </c:pt>
                <c:pt idx="657">
                  <c:v>64.959075927734375</c:v>
                </c:pt>
                <c:pt idx="658">
                  <c:v>64.268569946289063</c:v>
                </c:pt>
                <c:pt idx="659">
                  <c:v>62.878776550292969</c:v>
                </c:pt>
                <c:pt idx="660">
                  <c:v>60.816131591796875</c:v>
                </c:pt>
                <c:pt idx="661">
                  <c:v>61.789901733398438</c:v>
                </c:pt>
                <c:pt idx="662">
                  <c:v>62.444999694824219</c:v>
                </c:pt>
                <c:pt idx="663">
                  <c:v>64.976776123046875</c:v>
                </c:pt>
                <c:pt idx="664">
                  <c:v>67.384628295898438</c:v>
                </c:pt>
                <c:pt idx="665">
                  <c:v>68.765609741210938</c:v>
                </c:pt>
                <c:pt idx="666">
                  <c:v>71.483299255371094</c:v>
                </c:pt>
                <c:pt idx="667">
                  <c:v>73.475105285644531</c:v>
                </c:pt>
                <c:pt idx="668">
                  <c:v>76.228202819824219</c:v>
                </c:pt>
                <c:pt idx="669">
                  <c:v>77.423271179199219</c:v>
                </c:pt>
                <c:pt idx="670">
                  <c:v>76.307876586914063</c:v>
                </c:pt>
                <c:pt idx="671">
                  <c:v>68.712486267089844</c:v>
                </c:pt>
                <c:pt idx="672">
                  <c:v>69.7216796875</c:v>
                </c:pt>
                <c:pt idx="673">
                  <c:v>70.810516357421875</c:v>
                </c:pt>
                <c:pt idx="674">
                  <c:v>71.146926879882813</c:v>
                </c:pt>
                <c:pt idx="675">
                  <c:v>73.103294372558594</c:v>
                </c:pt>
                <c:pt idx="676">
                  <c:v>72.297721862792969</c:v>
                </c:pt>
                <c:pt idx="677">
                  <c:v>74.094772338867188</c:v>
                </c:pt>
                <c:pt idx="678">
                  <c:v>74.183296203613281</c:v>
                </c:pt>
                <c:pt idx="679">
                  <c:v>74.077072143554688</c:v>
                </c:pt>
                <c:pt idx="680">
                  <c:v>73.448539733886719</c:v>
                </c:pt>
                <c:pt idx="681">
                  <c:v>73.607879638671875</c:v>
                </c:pt>
                <c:pt idx="682">
                  <c:v>74.139030456542969</c:v>
                </c:pt>
                <c:pt idx="683">
                  <c:v>74.183296203613281</c:v>
                </c:pt>
                <c:pt idx="684">
                  <c:v>72.30657958984375</c:v>
                </c:pt>
                <c:pt idx="685">
                  <c:v>72.235748291015625</c:v>
                </c:pt>
                <c:pt idx="686">
                  <c:v>73.599052429199219</c:v>
                </c:pt>
                <c:pt idx="687">
                  <c:v>73.767234802246094</c:v>
                </c:pt>
                <c:pt idx="688">
                  <c:v>73.563629150390625</c:v>
                </c:pt>
                <c:pt idx="689">
                  <c:v>71.8551025390625</c:v>
                </c:pt>
                <c:pt idx="690">
                  <c:v>72.324287414550781</c:v>
                </c:pt>
                <c:pt idx="691">
                  <c:v>71.368232727050781</c:v>
                </c:pt>
                <c:pt idx="692">
                  <c:v>73.032470703125</c:v>
                </c:pt>
                <c:pt idx="693">
                  <c:v>74.103622436523438</c:v>
                </c:pt>
                <c:pt idx="694">
                  <c:v>73.590179443359375</c:v>
                </c:pt>
                <c:pt idx="695">
                  <c:v>72.71380615234375</c:v>
                </c:pt>
                <c:pt idx="696">
                  <c:v>76.299026489257813</c:v>
                </c:pt>
                <c:pt idx="697">
                  <c:v>75.688201904296875</c:v>
                </c:pt>
                <c:pt idx="698">
                  <c:v>74.395751953125</c:v>
                </c:pt>
                <c:pt idx="699">
                  <c:v>70.854789733886719</c:v>
                </c:pt>
                <c:pt idx="700">
                  <c:v>73.200675964355469</c:v>
                </c:pt>
                <c:pt idx="701">
                  <c:v>73.738334655761719</c:v>
                </c:pt>
                <c:pt idx="702">
                  <c:v>76.847724914550781</c:v>
                </c:pt>
                <c:pt idx="703">
                  <c:v>75.978515625</c:v>
                </c:pt>
                <c:pt idx="704">
                  <c:v>79.73309326171875</c:v>
                </c:pt>
                <c:pt idx="705">
                  <c:v>76.453445434570313</c:v>
                </c:pt>
                <c:pt idx="706">
                  <c:v>73.245491027832031</c:v>
                </c:pt>
                <c:pt idx="707">
                  <c:v>74.580650329589844</c:v>
                </c:pt>
                <c:pt idx="708">
                  <c:v>72.564468383789063</c:v>
                </c:pt>
                <c:pt idx="709">
                  <c:v>72.725753784179688</c:v>
                </c:pt>
                <c:pt idx="710">
                  <c:v>74.607513427734375</c:v>
                </c:pt>
                <c:pt idx="711">
                  <c:v>73.747283935546875</c:v>
                </c:pt>
                <c:pt idx="712">
                  <c:v>71.327873229980469</c:v>
                </c:pt>
                <c:pt idx="713">
                  <c:v>71.238273620605469</c:v>
                </c:pt>
                <c:pt idx="714">
                  <c:v>71.614616394042969</c:v>
                </c:pt>
                <c:pt idx="715">
                  <c:v>74.034027099609375</c:v>
                </c:pt>
                <c:pt idx="716">
                  <c:v>73.478469848632813</c:v>
                </c:pt>
                <c:pt idx="717">
                  <c:v>74.903221130371094</c:v>
                </c:pt>
                <c:pt idx="718">
                  <c:v>74.374542236328125</c:v>
                </c:pt>
                <c:pt idx="719">
                  <c:v>75.440879821777344</c:v>
                </c:pt>
                <c:pt idx="720">
                  <c:v>76.211502075195313</c:v>
                </c:pt>
                <c:pt idx="721">
                  <c:v>77.062767028808594</c:v>
                </c:pt>
                <c:pt idx="722">
                  <c:v>77.976768493652344</c:v>
                </c:pt>
                <c:pt idx="723">
                  <c:v>76.381759643554688</c:v>
                </c:pt>
                <c:pt idx="724">
                  <c:v>77.107582092285156</c:v>
                </c:pt>
                <c:pt idx="725">
                  <c:v>76.578895568847656</c:v>
                </c:pt>
                <c:pt idx="726">
                  <c:v>75.279579162597656</c:v>
                </c:pt>
                <c:pt idx="727">
                  <c:v>77.914031982421875</c:v>
                </c:pt>
                <c:pt idx="728">
                  <c:v>82.421333312988281</c:v>
                </c:pt>
                <c:pt idx="729">
                  <c:v>82.242118835449219</c:v>
                </c:pt>
                <c:pt idx="730">
                  <c:v>83.451812744140625</c:v>
                </c:pt>
                <c:pt idx="731">
                  <c:v>81.794082641601563</c:v>
                </c:pt>
                <c:pt idx="732">
                  <c:v>82.125617980957031</c:v>
                </c:pt>
                <c:pt idx="733">
                  <c:v>83.478706359863281</c:v>
                </c:pt>
                <c:pt idx="734">
                  <c:v>83.308456420898438</c:v>
                </c:pt>
                <c:pt idx="735">
                  <c:v>79.840629577636719</c:v>
                </c:pt>
                <c:pt idx="736">
                  <c:v>80.862144470214844</c:v>
                </c:pt>
                <c:pt idx="737">
                  <c:v>80.647087097167969</c:v>
                </c:pt>
                <c:pt idx="738">
                  <c:v>79.294013977050781</c:v>
                </c:pt>
                <c:pt idx="739">
                  <c:v>78.863899230957031</c:v>
                </c:pt>
                <c:pt idx="740">
                  <c:v>79.867500305175781</c:v>
                </c:pt>
                <c:pt idx="741">
                  <c:v>78.792205810546875</c:v>
                </c:pt>
                <c:pt idx="742">
                  <c:v>79.742050170898438</c:v>
                </c:pt>
                <c:pt idx="743">
                  <c:v>79.204391479492188</c:v>
                </c:pt>
                <c:pt idx="744">
                  <c:v>78.326255798339844</c:v>
                </c:pt>
                <c:pt idx="745">
                  <c:v>77.510826110839844</c:v>
                </c:pt>
                <c:pt idx="746">
                  <c:v>78.0484619140625</c:v>
                </c:pt>
                <c:pt idx="747">
                  <c:v>78.819084167480469</c:v>
                </c:pt>
                <c:pt idx="748">
                  <c:v>75.270622253417969</c:v>
                </c:pt>
                <c:pt idx="749">
                  <c:v>71.775901794433594</c:v>
                </c:pt>
                <c:pt idx="750">
                  <c:v>73.666641235351563</c:v>
                </c:pt>
                <c:pt idx="751">
                  <c:v>75.709701538085938</c:v>
                </c:pt>
                <c:pt idx="752">
                  <c:v>75.288543701171875</c:v>
                </c:pt>
                <c:pt idx="753">
                  <c:v>75.494644165039063</c:v>
                </c:pt>
                <c:pt idx="754">
                  <c:v>75.055564880371094</c:v>
                </c:pt>
                <c:pt idx="755">
                  <c:v>71.874488830566406</c:v>
                </c:pt>
                <c:pt idx="756">
                  <c:v>69.759735107421875</c:v>
                </c:pt>
                <c:pt idx="757">
                  <c:v>69.311691284179688</c:v>
                </c:pt>
                <c:pt idx="758">
                  <c:v>74.992835998535156</c:v>
                </c:pt>
                <c:pt idx="759">
                  <c:v>76.244392395019531</c:v>
                </c:pt>
                <c:pt idx="760">
                  <c:v>74.376129150390625</c:v>
                </c:pt>
                <c:pt idx="761">
                  <c:v>74.3670654296875</c:v>
                </c:pt>
                <c:pt idx="762">
                  <c:v>72.272079467773438</c:v>
                </c:pt>
                <c:pt idx="763">
                  <c:v>71.555610656738281</c:v>
                </c:pt>
                <c:pt idx="764">
                  <c:v>74.3670654296875</c:v>
                </c:pt>
                <c:pt idx="765">
                  <c:v>74.494041442871094</c:v>
                </c:pt>
                <c:pt idx="766">
                  <c:v>75.02911376953125</c:v>
                </c:pt>
                <c:pt idx="767">
                  <c:v>75.990455627441406</c:v>
                </c:pt>
                <c:pt idx="768">
                  <c:v>75.455368041992188</c:v>
                </c:pt>
                <c:pt idx="769">
                  <c:v>76.416694641113281</c:v>
                </c:pt>
                <c:pt idx="770">
                  <c:v>77.133163452148438</c:v>
                </c:pt>
                <c:pt idx="771">
                  <c:v>74.893081665039063</c:v>
                </c:pt>
                <c:pt idx="772">
                  <c:v>76.443901062011719</c:v>
                </c:pt>
                <c:pt idx="773">
                  <c:v>78.457267761230469</c:v>
                </c:pt>
                <c:pt idx="774">
                  <c:v>78.33935546875</c:v>
                </c:pt>
                <c:pt idx="775">
                  <c:v>78.838165283203125</c:v>
                </c:pt>
                <c:pt idx="776">
                  <c:v>77.595680236816406</c:v>
                </c:pt>
                <c:pt idx="777">
                  <c:v>76.616218566894531</c:v>
                </c:pt>
                <c:pt idx="778">
                  <c:v>75.926963806152344</c:v>
                </c:pt>
                <c:pt idx="779">
                  <c:v>75.818138122558594</c:v>
                </c:pt>
                <c:pt idx="780">
                  <c:v>75.4100341796875</c:v>
                </c:pt>
                <c:pt idx="781">
                  <c:v>76.362281799316406</c:v>
                </c:pt>
                <c:pt idx="782">
                  <c:v>76.389503479003906</c:v>
                </c:pt>
                <c:pt idx="783">
                  <c:v>75.763717651367188</c:v>
                </c:pt>
                <c:pt idx="784">
                  <c:v>74.512176513671875</c:v>
                </c:pt>
                <c:pt idx="785">
                  <c:v>74.639144897460938</c:v>
                </c:pt>
                <c:pt idx="786">
                  <c:v>77.332672119140625</c:v>
                </c:pt>
                <c:pt idx="787">
                  <c:v>76.616218566894531</c:v>
                </c:pt>
                <c:pt idx="788">
                  <c:v>75.500709533691406</c:v>
                </c:pt>
                <c:pt idx="789">
                  <c:v>73.795707702636719</c:v>
                </c:pt>
                <c:pt idx="790">
                  <c:v>75.546058654785156</c:v>
                </c:pt>
                <c:pt idx="791">
                  <c:v>76.434829711914063</c:v>
                </c:pt>
                <c:pt idx="792">
                  <c:v>76.978981018066406</c:v>
                </c:pt>
                <c:pt idx="793">
                  <c:v>77.269187927246094</c:v>
                </c:pt>
                <c:pt idx="794">
                  <c:v>77.867759704589844</c:v>
                </c:pt>
                <c:pt idx="795">
                  <c:v>77.813346862792969</c:v>
                </c:pt>
                <c:pt idx="796">
                  <c:v>77.105949401855469</c:v>
                </c:pt>
                <c:pt idx="797">
                  <c:v>77.541275024414063</c:v>
                </c:pt>
                <c:pt idx="798">
                  <c:v>76.462043762207031</c:v>
                </c:pt>
                <c:pt idx="799">
                  <c:v>76.462043762207031</c:v>
                </c:pt>
                <c:pt idx="800">
                  <c:v>77.6319580078125</c:v>
                </c:pt>
                <c:pt idx="801">
                  <c:v>77.949371337890625</c:v>
                </c:pt>
                <c:pt idx="802">
                  <c:v>81.531692504882813</c:v>
                </c:pt>
                <c:pt idx="803">
                  <c:v>79.790420532226563</c:v>
                </c:pt>
                <c:pt idx="804">
                  <c:v>79.808555603027344</c:v>
                </c:pt>
                <c:pt idx="805">
                  <c:v>78.439109802246094</c:v>
                </c:pt>
                <c:pt idx="806">
                  <c:v>79.00140380859375</c:v>
                </c:pt>
                <c:pt idx="807">
                  <c:v>77.368949890136719</c:v>
                </c:pt>
                <c:pt idx="808">
                  <c:v>75.446296691894531</c:v>
                </c:pt>
                <c:pt idx="809">
                  <c:v>78.330284118652344</c:v>
                </c:pt>
                <c:pt idx="810">
                  <c:v>77.396156311035156</c:v>
                </c:pt>
                <c:pt idx="811">
                  <c:v>77.232925415039063</c:v>
                </c:pt>
                <c:pt idx="812">
                  <c:v>76.634346008300781</c:v>
                </c:pt>
                <c:pt idx="813">
                  <c:v>77.7861328125</c:v>
                </c:pt>
                <c:pt idx="814">
                  <c:v>76.326011657714844</c:v>
                </c:pt>
                <c:pt idx="815">
                  <c:v>75.001899719238281</c:v>
                </c:pt>
                <c:pt idx="816">
                  <c:v>72.961341857910156</c:v>
                </c:pt>
                <c:pt idx="817">
                  <c:v>72.380912780761719</c:v>
                </c:pt>
                <c:pt idx="818">
                  <c:v>73.351318359375</c:v>
                </c:pt>
                <c:pt idx="819">
                  <c:v>73.469223022460938</c:v>
                </c:pt>
                <c:pt idx="820">
                  <c:v>74.004287719726563</c:v>
                </c:pt>
                <c:pt idx="821">
                  <c:v>74.475906372070313</c:v>
                </c:pt>
                <c:pt idx="822">
                  <c:v>75.827201843261719</c:v>
                </c:pt>
                <c:pt idx="823">
                  <c:v>76.498313903808594</c:v>
                </c:pt>
                <c:pt idx="824">
                  <c:v>74.813613891601563</c:v>
                </c:pt>
                <c:pt idx="825">
                  <c:v>74.712898254394531</c:v>
                </c:pt>
                <c:pt idx="826">
                  <c:v>74.987579345703125</c:v>
                </c:pt>
                <c:pt idx="827">
                  <c:v>77.771003723144531</c:v>
                </c:pt>
                <c:pt idx="828">
                  <c:v>75.921493530273438</c:v>
                </c:pt>
                <c:pt idx="829">
                  <c:v>74.621330261230469</c:v>
                </c:pt>
                <c:pt idx="830">
                  <c:v>75.637649536132813</c:v>
                </c:pt>
                <c:pt idx="831">
                  <c:v>75.536933898925781</c:v>
                </c:pt>
                <c:pt idx="832">
                  <c:v>74.731216430664063</c:v>
                </c:pt>
                <c:pt idx="833">
                  <c:v>76.241958618164063</c:v>
                </c:pt>
                <c:pt idx="834">
                  <c:v>75.582710266113281</c:v>
                </c:pt>
                <c:pt idx="835">
                  <c:v>75.628494262695313</c:v>
                </c:pt>
                <c:pt idx="836">
                  <c:v>75.738365173339844</c:v>
                </c:pt>
                <c:pt idx="837">
                  <c:v>74.419914245605469</c:v>
                </c:pt>
                <c:pt idx="838">
                  <c:v>74.777000427246094</c:v>
                </c:pt>
                <c:pt idx="839">
                  <c:v>74.291709899902344</c:v>
                </c:pt>
                <c:pt idx="840">
                  <c:v>73.678268432617188</c:v>
                </c:pt>
                <c:pt idx="841">
                  <c:v>73.595863342285156</c:v>
                </c:pt>
                <c:pt idx="842">
                  <c:v>75.784133911132813</c:v>
                </c:pt>
                <c:pt idx="843">
                  <c:v>77.358985900878906</c:v>
                </c:pt>
                <c:pt idx="844">
                  <c:v>75.637649536132813</c:v>
                </c:pt>
                <c:pt idx="845">
                  <c:v>74.447372436523438</c:v>
                </c:pt>
                <c:pt idx="846">
                  <c:v>74.712898254394531</c:v>
                </c:pt>
                <c:pt idx="847">
                  <c:v>73.605026245117188</c:v>
                </c:pt>
                <c:pt idx="848">
                  <c:v>74.987579345703125</c:v>
                </c:pt>
                <c:pt idx="849">
                  <c:v>75.38128662109375</c:v>
                </c:pt>
                <c:pt idx="850">
                  <c:v>75.40875244140625</c:v>
                </c:pt>
                <c:pt idx="851">
                  <c:v>76.379295349121094</c:v>
                </c:pt>
                <c:pt idx="852">
                  <c:v>73.476837158203125</c:v>
                </c:pt>
                <c:pt idx="853">
                  <c:v>73.421913146972656</c:v>
                </c:pt>
                <c:pt idx="854">
                  <c:v>71.178672790527344</c:v>
                </c:pt>
                <c:pt idx="855">
                  <c:v>72.561241149902344</c:v>
                </c:pt>
                <c:pt idx="856">
                  <c:v>70.675117492675781</c:v>
                </c:pt>
                <c:pt idx="857">
                  <c:v>71.883697509765625</c:v>
                </c:pt>
                <c:pt idx="858">
                  <c:v>71.782989501953125</c:v>
                </c:pt>
                <c:pt idx="859">
                  <c:v>70.290550231933594</c:v>
                </c:pt>
                <c:pt idx="860">
                  <c:v>70.427886962890625</c:v>
                </c:pt>
                <c:pt idx="861">
                  <c:v>70.79412841796875</c:v>
                </c:pt>
                <c:pt idx="862">
                  <c:v>70.592697143554688</c:v>
                </c:pt>
                <c:pt idx="863">
                  <c:v>69.814437866210938</c:v>
                </c:pt>
                <c:pt idx="864">
                  <c:v>69.594696044921875</c:v>
                </c:pt>
                <c:pt idx="865">
                  <c:v>68.303695678710938</c:v>
                </c:pt>
                <c:pt idx="866">
                  <c:v>68.431892395019531</c:v>
                </c:pt>
                <c:pt idx="867">
                  <c:v>68.514289855957031</c:v>
                </c:pt>
                <c:pt idx="868">
                  <c:v>70.327178955078125</c:v>
                </c:pt>
                <c:pt idx="869">
                  <c:v>70.977249145507813</c:v>
                </c:pt>
                <c:pt idx="870">
                  <c:v>69.677093505859375</c:v>
                </c:pt>
                <c:pt idx="871">
                  <c:v>69.292549133300781</c:v>
                </c:pt>
                <c:pt idx="872">
                  <c:v>68.550918579101563</c:v>
                </c:pt>
                <c:pt idx="873">
                  <c:v>67.223289489746094</c:v>
                </c:pt>
                <c:pt idx="874">
                  <c:v>68.752349853515625</c:v>
                </c:pt>
                <c:pt idx="875">
                  <c:v>69.741188049316406</c:v>
                </c:pt>
                <c:pt idx="876">
                  <c:v>69.12774658203125</c:v>
                </c:pt>
                <c:pt idx="877">
                  <c:v>68.624160766601563</c:v>
                </c:pt>
                <c:pt idx="878">
                  <c:v>68.990402221679688</c:v>
                </c:pt>
                <c:pt idx="879">
                  <c:v>67.241607666015625</c:v>
                </c:pt>
                <c:pt idx="880">
                  <c:v>67.204994201660156</c:v>
                </c:pt>
                <c:pt idx="881">
                  <c:v>69.677093505859375</c:v>
                </c:pt>
                <c:pt idx="882">
                  <c:v>71.187850952148438</c:v>
                </c:pt>
                <c:pt idx="883">
                  <c:v>70.885696411132813</c:v>
                </c:pt>
                <c:pt idx="884">
                  <c:v>71.590705871582031</c:v>
                </c:pt>
                <c:pt idx="885">
                  <c:v>71.6090087890625</c:v>
                </c:pt>
                <c:pt idx="886">
                  <c:v>71.819610595703125</c:v>
                </c:pt>
                <c:pt idx="887">
                  <c:v>71.801055908203125</c:v>
                </c:pt>
                <c:pt idx="888">
                  <c:v>71.680496215820313</c:v>
                </c:pt>
                <c:pt idx="889">
                  <c:v>68.443794250488281</c:v>
                </c:pt>
                <c:pt idx="890">
                  <c:v>67.516372680664063</c:v>
                </c:pt>
                <c:pt idx="891">
                  <c:v>70.001869201660156</c:v>
                </c:pt>
                <c:pt idx="892">
                  <c:v>73.999038696289063</c:v>
                </c:pt>
                <c:pt idx="893">
                  <c:v>73.618804931640625</c:v>
                </c:pt>
                <c:pt idx="894">
                  <c:v>74.648239135742188</c:v>
                </c:pt>
                <c:pt idx="895">
                  <c:v>73.090171813964844</c:v>
                </c:pt>
                <c:pt idx="896">
                  <c:v>73.108734130859375</c:v>
                </c:pt>
                <c:pt idx="897">
                  <c:v>73.943397521972656</c:v>
                </c:pt>
                <c:pt idx="898">
                  <c:v>74.286544799804688</c:v>
                </c:pt>
                <c:pt idx="899">
                  <c:v>73.989768981933594</c:v>
                </c:pt>
                <c:pt idx="900">
                  <c:v>75.306716918945313</c:v>
                </c:pt>
                <c:pt idx="901">
                  <c:v>78.932937622070313</c:v>
                </c:pt>
                <c:pt idx="902">
                  <c:v>81.993431091308594</c:v>
                </c:pt>
                <c:pt idx="903">
                  <c:v>82.586997985839844</c:v>
                </c:pt>
                <c:pt idx="904">
                  <c:v>83.9039306640625</c:v>
                </c:pt>
                <c:pt idx="905">
                  <c:v>81.325691223144531</c:v>
                </c:pt>
                <c:pt idx="906">
                  <c:v>83.013595581054688</c:v>
                </c:pt>
                <c:pt idx="907">
                  <c:v>85.87005615234375</c:v>
                </c:pt>
                <c:pt idx="908">
                  <c:v>85.842239379882813</c:v>
                </c:pt>
                <c:pt idx="909">
                  <c:v>86.96441650390625</c:v>
                </c:pt>
                <c:pt idx="910">
                  <c:v>87.149894714355469</c:v>
                </c:pt>
                <c:pt idx="911">
                  <c:v>87.530136108398438</c:v>
                </c:pt>
                <c:pt idx="912">
                  <c:v>86.686195373535156</c:v>
                </c:pt>
                <c:pt idx="913">
                  <c:v>83.477310180664063</c:v>
                </c:pt>
                <c:pt idx="914">
                  <c:v>82.030525207519531</c:v>
                </c:pt>
                <c:pt idx="915">
                  <c:v>84.395454406738281</c:v>
                </c:pt>
                <c:pt idx="916">
                  <c:v>85.193038940429688</c:v>
                </c:pt>
                <c:pt idx="917">
                  <c:v>81.492630004882813</c:v>
                </c:pt>
                <c:pt idx="918">
                  <c:v>80.2498779296875</c:v>
                </c:pt>
                <c:pt idx="919">
                  <c:v>78.7845458984375</c:v>
                </c:pt>
                <c:pt idx="920">
                  <c:v>79.786163330078125</c:v>
                </c:pt>
                <c:pt idx="921">
                  <c:v>80.481735229492188</c:v>
                </c:pt>
                <c:pt idx="922">
                  <c:v>77.903488159179688</c:v>
                </c:pt>
                <c:pt idx="923">
                  <c:v>77.523246765136719</c:v>
                </c:pt>
                <c:pt idx="924">
                  <c:v>77.597450256347656</c:v>
                </c:pt>
                <c:pt idx="925">
                  <c:v>78.7845458984375</c:v>
                </c:pt>
                <c:pt idx="926">
                  <c:v>76.252685546875</c:v>
                </c:pt>
                <c:pt idx="927">
                  <c:v>78.756721496582031</c:v>
                </c:pt>
                <c:pt idx="928">
                  <c:v>80.963996887207031</c:v>
                </c:pt>
                <c:pt idx="929">
                  <c:v>81.158760070800781</c:v>
                </c:pt>
                <c:pt idx="930">
                  <c:v>81.798667907714844</c:v>
                </c:pt>
                <c:pt idx="931">
                  <c:v>83.078506469726563</c:v>
                </c:pt>
                <c:pt idx="932">
                  <c:v>82.271659851074219</c:v>
                </c:pt>
                <c:pt idx="933">
                  <c:v>82.280937194824219</c:v>
                </c:pt>
                <c:pt idx="934">
                  <c:v>84.5809326171875</c:v>
                </c:pt>
                <c:pt idx="935">
                  <c:v>82.726097106933594</c:v>
                </c:pt>
                <c:pt idx="936">
                  <c:v>82.7724609375</c:v>
                </c:pt>
                <c:pt idx="937">
                  <c:v>83.375297546386719</c:v>
                </c:pt>
                <c:pt idx="938">
                  <c:v>80.778511047363281</c:v>
                </c:pt>
                <c:pt idx="939">
                  <c:v>79.211166381835938</c:v>
                </c:pt>
                <c:pt idx="940">
                  <c:v>79.971656799316406</c:v>
                </c:pt>
                <c:pt idx="941">
                  <c:v>78.571243286132813</c:v>
                </c:pt>
                <c:pt idx="942">
                  <c:v>79.387374877929688</c:v>
                </c:pt>
                <c:pt idx="943">
                  <c:v>79.758331298828125</c:v>
                </c:pt>
                <c:pt idx="944">
                  <c:v>80.361175537109375</c:v>
                </c:pt>
                <c:pt idx="945">
                  <c:v>81.613189697265625</c:v>
                </c:pt>
                <c:pt idx="946">
                  <c:v>80.472450256347656</c:v>
                </c:pt>
                <c:pt idx="947">
                  <c:v>79.860366821289063</c:v>
                </c:pt>
                <c:pt idx="948">
                  <c:v>79.804710388183594</c:v>
                </c:pt>
                <c:pt idx="949">
                  <c:v>79.238998413085938</c:v>
                </c:pt>
                <c:pt idx="950">
                  <c:v>78.812370300292969</c:v>
                </c:pt>
                <c:pt idx="951">
                  <c:v>79.266815185546875</c:v>
                </c:pt>
                <c:pt idx="952">
                  <c:v>76.465980529785156</c:v>
                </c:pt>
                <c:pt idx="953">
                  <c:v>77.833297729492188</c:v>
                </c:pt>
                <c:pt idx="954">
                  <c:v>77.833297729492188</c:v>
                </c:pt>
                <c:pt idx="955">
                  <c:v>78.854080200195313</c:v>
                </c:pt>
                <c:pt idx="956">
                  <c:v>78.32965087890625</c:v>
                </c:pt>
                <c:pt idx="957">
                  <c:v>76.887428283691406</c:v>
                </c:pt>
                <c:pt idx="958">
                  <c:v>78.516944885253906</c:v>
                </c:pt>
                <c:pt idx="959">
                  <c:v>79.041389465332031</c:v>
                </c:pt>
                <c:pt idx="960">
                  <c:v>79.228691101074219</c:v>
                </c:pt>
                <c:pt idx="961">
                  <c:v>78.919654846191406</c:v>
                </c:pt>
                <c:pt idx="962">
                  <c:v>84.529342651367188</c:v>
                </c:pt>
                <c:pt idx="963">
                  <c:v>84.641716003417969</c:v>
                </c:pt>
                <c:pt idx="964">
                  <c:v>90.850784301757813</c:v>
                </c:pt>
                <c:pt idx="965">
                  <c:v>86.261871337890625</c:v>
                </c:pt>
                <c:pt idx="966">
                  <c:v>89.108871459960938</c:v>
                </c:pt>
                <c:pt idx="967">
                  <c:v>90.485542297363281</c:v>
                </c:pt>
                <c:pt idx="968">
                  <c:v>91.731086730957031</c:v>
                </c:pt>
                <c:pt idx="969">
                  <c:v>91.890312194824219</c:v>
                </c:pt>
                <c:pt idx="970">
                  <c:v>91.787284851074219</c:v>
                </c:pt>
                <c:pt idx="971">
                  <c:v>92.058876037597656</c:v>
                </c:pt>
                <c:pt idx="972">
                  <c:v>93.641578674316406</c:v>
                </c:pt>
                <c:pt idx="973">
                  <c:v>92.845542907714844</c:v>
                </c:pt>
                <c:pt idx="974">
                  <c:v>95.589515686035156</c:v>
                </c:pt>
                <c:pt idx="975">
                  <c:v>95.626968383789063</c:v>
                </c:pt>
                <c:pt idx="976">
                  <c:v>97.116020202636719</c:v>
                </c:pt>
                <c:pt idx="977">
                  <c:v>98.960952758789063</c:v>
                </c:pt>
                <c:pt idx="978">
                  <c:v>101.98587799072266</c:v>
                </c:pt>
                <c:pt idx="979">
                  <c:v>99.710159301757813</c:v>
                </c:pt>
                <c:pt idx="980">
                  <c:v>98.736190795898438</c:v>
                </c:pt>
                <c:pt idx="981">
                  <c:v>96.750785827636719</c:v>
                </c:pt>
                <c:pt idx="982">
                  <c:v>97.490623474121094</c:v>
                </c:pt>
                <c:pt idx="983">
                  <c:v>97.734123229980469</c:v>
                </c:pt>
                <c:pt idx="984">
                  <c:v>96.132698059082031</c:v>
                </c:pt>
                <c:pt idx="985">
                  <c:v>97.396980285644531</c:v>
                </c:pt>
                <c:pt idx="986">
                  <c:v>96.507301330566406</c:v>
                </c:pt>
                <c:pt idx="987">
                  <c:v>94.325233459472656</c:v>
                </c:pt>
                <c:pt idx="988">
                  <c:v>93.201416015625</c:v>
                </c:pt>
                <c:pt idx="989">
                  <c:v>93.978713989257813</c:v>
                </c:pt>
                <c:pt idx="990">
                  <c:v>96.750785827636719</c:v>
                </c:pt>
                <c:pt idx="991">
                  <c:v>99.916191101074219</c:v>
                </c:pt>
                <c:pt idx="992">
                  <c:v>101.9296875</c:v>
                </c:pt>
                <c:pt idx="993">
                  <c:v>99.138885498046875</c:v>
                </c:pt>
                <c:pt idx="994">
                  <c:v>98.324111938476563</c:v>
                </c:pt>
                <c:pt idx="995">
                  <c:v>98.408401489257813</c:v>
                </c:pt>
                <c:pt idx="996">
                  <c:v>99.260635375976563</c:v>
                </c:pt>
                <c:pt idx="997">
                  <c:v>97.846519470214844</c:v>
                </c:pt>
                <c:pt idx="998">
                  <c:v>95.261734008789063</c:v>
                </c:pt>
                <c:pt idx="999">
                  <c:v>97.443801879882813</c:v>
                </c:pt>
                <c:pt idx="1000">
                  <c:v>97.209678649902344</c:v>
                </c:pt>
                <c:pt idx="1001">
                  <c:v>95.814277648925781</c:v>
                </c:pt>
                <c:pt idx="1002">
                  <c:v>96.94744873046875</c:v>
                </c:pt>
                <c:pt idx="1003">
                  <c:v>97.6966552734375</c:v>
                </c:pt>
                <c:pt idx="1004">
                  <c:v>98.792373657226563</c:v>
                </c:pt>
                <c:pt idx="1005">
                  <c:v>105.44158172607422</c:v>
                </c:pt>
                <c:pt idx="1006">
                  <c:v>107.67985534667969</c:v>
                </c:pt>
                <c:pt idx="1007">
                  <c:v>106.86509704589844</c:v>
                </c:pt>
                <c:pt idx="1008">
                  <c:v>102.50961303710938</c:v>
                </c:pt>
                <c:pt idx="1009">
                  <c:v>100.26101684570313</c:v>
                </c:pt>
                <c:pt idx="1010">
                  <c:v>98.276954650878906</c:v>
                </c:pt>
                <c:pt idx="1011">
                  <c:v>99.675247192382813</c:v>
                </c:pt>
                <c:pt idx="1012">
                  <c:v>99.486297607421875</c:v>
                </c:pt>
                <c:pt idx="1013">
                  <c:v>99.713035583496094</c:v>
                </c:pt>
                <c:pt idx="1014">
                  <c:v>99.873649597167969</c:v>
                </c:pt>
                <c:pt idx="1015">
                  <c:v>98.900520324707031</c:v>
                </c:pt>
                <c:pt idx="1016">
                  <c:v>92.466506958007813</c:v>
                </c:pt>
                <c:pt idx="1017">
                  <c:v>89.991165161132813</c:v>
                </c:pt>
                <c:pt idx="1018">
                  <c:v>92.882209777832031</c:v>
                </c:pt>
                <c:pt idx="1019">
                  <c:v>93.959274291992188</c:v>
                </c:pt>
                <c:pt idx="1020">
                  <c:v>90.189567565917969</c:v>
                </c:pt>
                <c:pt idx="1021">
                  <c:v>90.898162841796875</c:v>
                </c:pt>
                <c:pt idx="1022">
                  <c:v>90.652511596679688</c:v>
                </c:pt>
                <c:pt idx="1023">
                  <c:v>89.405380249023438</c:v>
                </c:pt>
                <c:pt idx="1024">
                  <c:v>89.197540283203125</c:v>
                </c:pt>
                <c:pt idx="1025">
                  <c:v>88.385017395019531</c:v>
                </c:pt>
                <c:pt idx="1026">
                  <c:v>88.630653381347656</c:v>
                </c:pt>
                <c:pt idx="1027">
                  <c:v>92.258651733398438</c:v>
                </c:pt>
                <c:pt idx="1028">
                  <c:v>90.22735595703125</c:v>
                </c:pt>
                <c:pt idx="1029">
                  <c:v>94.469459533691406</c:v>
                </c:pt>
                <c:pt idx="1030">
                  <c:v>91.550064086914063</c:v>
                </c:pt>
                <c:pt idx="1031">
                  <c:v>90.841461181640625</c:v>
                </c:pt>
                <c:pt idx="1032">
                  <c:v>89.594345092773438</c:v>
                </c:pt>
                <c:pt idx="1033">
                  <c:v>91.162696838378906</c:v>
                </c:pt>
                <c:pt idx="1034">
                  <c:v>90.813133239746094</c:v>
                </c:pt>
                <c:pt idx="1035">
                  <c:v>93.2601318359375</c:v>
                </c:pt>
                <c:pt idx="1036">
                  <c:v>95.433143615722656</c:v>
                </c:pt>
                <c:pt idx="1037">
                  <c:v>96.028358459472656</c:v>
                </c:pt>
                <c:pt idx="1038">
                  <c:v>100.44051361083984</c:v>
                </c:pt>
                <c:pt idx="1039">
                  <c:v>100.06261444091797</c:v>
                </c:pt>
                <c:pt idx="1040">
                  <c:v>100.73341369628906</c:v>
                </c:pt>
                <c:pt idx="1041">
                  <c:v>102.207275390625</c:v>
                </c:pt>
                <c:pt idx="1042">
                  <c:v>103.45440673828125</c:v>
                </c:pt>
                <c:pt idx="1043">
                  <c:v>105.71244812011719</c:v>
                </c:pt>
                <c:pt idx="1044">
                  <c:v>105.46680450439453</c:v>
                </c:pt>
                <c:pt idx="1045">
                  <c:v>105.41011810302734</c:v>
                </c:pt>
                <c:pt idx="1046">
                  <c:v>103.62445831298828</c:v>
                </c:pt>
                <c:pt idx="1047">
                  <c:v>100.33659362792969</c:v>
                </c:pt>
                <c:pt idx="1048">
                  <c:v>99.864204406738281</c:v>
                </c:pt>
                <c:pt idx="1049">
                  <c:v>96.122833251953125</c:v>
                </c:pt>
                <c:pt idx="1050">
                  <c:v>97.549468994140625</c:v>
                </c:pt>
                <c:pt idx="1051">
                  <c:v>98.154144287109375</c:v>
                </c:pt>
                <c:pt idx="1052">
                  <c:v>96.60467529296875</c:v>
                </c:pt>
                <c:pt idx="1053">
                  <c:v>97.540023803710938</c:v>
                </c:pt>
                <c:pt idx="1054">
                  <c:v>96.151176452636719</c:v>
                </c:pt>
                <c:pt idx="1055">
                  <c:v>97.549468994140625</c:v>
                </c:pt>
                <c:pt idx="1056">
                  <c:v>96.878669738769531</c:v>
                </c:pt>
                <c:pt idx="1057">
                  <c:v>97.303825378417969</c:v>
                </c:pt>
                <c:pt idx="1058">
                  <c:v>98.9949951171875</c:v>
                </c:pt>
                <c:pt idx="1059">
                  <c:v>95.196945190429688</c:v>
                </c:pt>
                <c:pt idx="1060">
                  <c:v>95.537071228027344</c:v>
                </c:pt>
                <c:pt idx="1061">
                  <c:v>95.584304809570313</c:v>
                </c:pt>
                <c:pt idx="1062">
                  <c:v>95.017440795898438</c:v>
                </c:pt>
                <c:pt idx="1063">
                  <c:v>97.284927368164063</c:v>
                </c:pt>
                <c:pt idx="1064">
                  <c:v>98.947761535644531</c:v>
                </c:pt>
                <c:pt idx="1065">
                  <c:v>99.287879943847656</c:v>
                </c:pt>
                <c:pt idx="1066">
                  <c:v>100.20432281494141</c:v>
                </c:pt>
                <c:pt idx="1067">
                  <c:v>101.27194213867188</c:v>
                </c:pt>
                <c:pt idx="1068">
                  <c:v>99.646903991699219</c:v>
                </c:pt>
                <c:pt idx="1069">
                  <c:v>102.78359985351563</c:v>
                </c:pt>
                <c:pt idx="1070">
                  <c:v>102.02776336669922</c:v>
                </c:pt>
                <c:pt idx="1071">
                  <c:v>100.57279968261719</c:v>
                </c:pt>
                <c:pt idx="1072">
                  <c:v>97.795120239257813</c:v>
                </c:pt>
                <c:pt idx="1073">
                  <c:v>100.14763641357422</c:v>
                </c:pt>
                <c:pt idx="1074">
                  <c:v>98.361991882324219</c:v>
                </c:pt>
                <c:pt idx="1075">
                  <c:v>100.59169006347656</c:v>
                </c:pt>
                <c:pt idx="1076">
                  <c:v>99.22174072265625</c:v>
                </c:pt>
                <c:pt idx="1077">
                  <c:v>97.683059692382813</c:v>
                </c:pt>
                <c:pt idx="1078">
                  <c:v>94.901939392089844</c:v>
                </c:pt>
                <c:pt idx="1079">
                  <c:v>97.1383056640625</c:v>
                </c:pt>
                <c:pt idx="1080">
                  <c:v>96.670005798339844</c:v>
                </c:pt>
                <c:pt idx="1081">
                  <c:v>98.743896484375</c:v>
                </c:pt>
                <c:pt idx="1082">
                  <c:v>95.94366455078125</c:v>
                </c:pt>
                <c:pt idx="1083">
                  <c:v>96.507537841796875</c:v>
                </c:pt>
                <c:pt idx="1084">
                  <c:v>96.144363403320313</c:v>
                </c:pt>
                <c:pt idx="1085">
                  <c:v>94.854156494140625</c:v>
                </c:pt>
                <c:pt idx="1086">
                  <c:v>95.542266845703125</c:v>
                </c:pt>
                <c:pt idx="1087">
                  <c:v>96.087013244628906</c:v>
                </c:pt>
                <c:pt idx="1088">
                  <c:v>96.316390991210938</c:v>
                </c:pt>
                <c:pt idx="1089">
                  <c:v>98.256477355957031</c:v>
                </c:pt>
                <c:pt idx="1090">
                  <c:v>98.590980529785156</c:v>
                </c:pt>
                <c:pt idx="1091">
                  <c:v>98.629203796386719</c:v>
                </c:pt>
                <c:pt idx="1092">
                  <c:v>99.871627807617188</c:v>
                </c:pt>
                <c:pt idx="1093">
                  <c:v>101.3338623046875</c:v>
                </c:pt>
                <c:pt idx="1094">
                  <c:v>98.199142456054688</c:v>
                </c:pt>
                <c:pt idx="1095">
                  <c:v>100.25390625</c:v>
                </c:pt>
                <c:pt idx="1096">
                  <c:v>104.84132385253906</c:v>
                </c:pt>
                <c:pt idx="1097">
                  <c:v>102.92990112304688</c:v>
                </c:pt>
                <c:pt idx="1098">
                  <c:v>107.6893310546875</c:v>
                </c:pt>
                <c:pt idx="1099">
                  <c:v>106.46602630615234</c:v>
                </c:pt>
                <c:pt idx="1100">
                  <c:v>105.12802886962891</c:v>
                </c:pt>
                <c:pt idx="1101">
                  <c:v>107.03945159912109</c:v>
                </c:pt>
                <c:pt idx="1102">
                  <c:v>102.92990112304688</c:v>
                </c:pt>
                <c:pt idx="1103">
                  <c:v>105.07070159912109</c:v>
                </c:pt>
                <c:pt idx="1104">
                  <c:v>105.02290344238281</c:v>
                </c:pt>
                <c:pt idx="1105">
                  <c:v>102.2513427734375</c:v>
                </c:pt>
                <c:pt idx="1106">
                  <c:v>102.52849578857422</c:v>
                </c:pt>
                <c:pt idx="1107">
                  <c:v>104.32523345947266</c:v>
                </c:pt>
                <c:pt idx="1108">
                  <c:v>107.77533721923828</c:v>
                </c:pt>
                <c:pt idx="1109">
                  <c:v>105.29049682617188</c:v>
                </c:pt>
                <c:pt idx="1110">
                  <c:v>104.94643402099609</c:v>
                </c:pt>
                <c:pt idx="1111">
                  <c:v>104.43992614746094</c:v>
                </c:pt>
                <c:pt idx="1112">
                  <c:v>104.28701019287109</c:v>
                </c:pt>
                <c:pt idx="1113">
                  <c:v>105.31916809082031</c:v>
                </c:pt>
                <c:pt idx="1114">
                  <c:v>107.36439514160156</c:v>
                </c:pt>
                <c:pt idx="1115">
                  <c:v>105.52943420410156</c:v>
                </c:pt>
                <c:pt idx="1116">
                  <c:v>105.31916809082031</c:v>
                </c:pt>
                <c:pt idx="1117">
                  <c:v>104.20099639892578</c:v>
                </c:pt>
                <c:pt idx="1118">
                  <c:v>105.11846923828125</c:v>
                </c:pt>
                <c:pt idx="1119">
                  <c:v>103.97162628173828</c:v>
                </c:pt>
                <c:pt idx="1120">
                  <c:v>101.20006561279297</c:v>
                </c:pt>
                <c:pt idx="1121">
                  <c:v>102.81521606445313</c:v>
                </c:pt>
                <c:pt idx="1122">
                  <c:v>100.33992767333984</c:v>
                </c:pt>
                <c:pt idx="1123">
                  <c:v>99.890739440917969</c:v>
                </c:pt>
                <c:pt idx="1124">
                  <c:v>101.60146331787109</c:v>
                </c:pt>
                <c:pt idx="1125">
                  <c:v>103.66579437255859</c:v>
                </c:pt>
                <c:pt idx="1126">
                  <c:v>102.19400024414063</c:v>
                </c:pt>
                <c:pt idx="1127">
                  <c:v>104.73619079589844</c:v>
                </c:pt>
                <c:pt idx="1128">
                  <c:v>101.7926025390625</c:v>
                </c:pt>
                <c:pt idx="1129">
                  <c:v>101.18095397949219</c:v>
                </c:pt>
                <c:pt idx="1130">
                  <c:v>98.92547607421875</c:v>
                </c:pt>
                <c:pt idx="1131">
                  <c:v>97.855079650878906</c:v>
                </c:pt>
                <c:pt idx="1132">
                  <c:v>98.180030822753906</c:v>
                </c:pt>
                <c:pt idx="1133">
                  <c:v>97.472801208496094</c:v>
                </c:pt>
                <c:pt idx="1134">
                  <c:v>98.915924072265625</c:v>
                </c:pt>
                <c:pt idx="1135">
                  <c:v>100.21568298339844</c:v>
                </c:pt>
                <c:pt idx="1136">
                  <c:v>99.231300354003906</c:v>
                </c:pt>
                <c:pt idx="1137">
                  <c:v>97.788177490234375</c:v>
                </c:pt>
                <c:pt idx="1138">
                  <c:v>96.810501098632813</c:v>
                </c:pt>
                <c:pt idx="1139">
                  <c:v>96.800819396972656</c:v>
                </c:pt>
                <c:pt idx="1140">
                  <c:v>96.510414123535156</c:v>
                </c:pt>
                <c:pt idx="1141">
                  <c:v>96.907302856445313</c:v>
                </c:pt>
                <c:pt idx="1142">
                  <c:v>95.687606811523438</c:v>
                </c:pt>
                <c:pt idx="1143">
                  <c:v>98.417388916015625</c:v>
                </c:pt>
                <c:pt idx="1144">
                  <c:v>99.850044250488281</c:v>
                </c:pt>
                <c:pt idx="1145">
                  <c:v>102.08614349365234</c:v>
                </c:pt>
                <c:pt idx="1146">
                  <c:v>101.61182403564453</c:v>
                </c:pt>
                <c:pt idx="1147">
                  <c:v>98.533554077148438</c:v>
                </c:pt>
                <c:pt idx="1148">
                  <c:v>104.83528900146484</c:v>
                </c:pt>
                <c:pt idx="1149">
                  <c:v>102.01837921142578</c:v>
                </c:pt>
                <c:pt idx="1150">
                  <c:v>102.62822723388672</c:v>
                </c:pt>
                <c:pt idx="1151">
                  <c:v>102.58950805664063</c:v>
                </c:pt>
                <c:pt idx="1152">
                  <c:v>100.16948699951172</c:v>
                </c:pt>
                <c:pt idx="1153">
                  <c:v>97.865623474121094</c:v>
                </c:pt>
                <c:pt idx="1154">
                  <c:v>96.229690551757813</c:v>
                </c:pt>
                <c:pt idx="1155">
                  <c:v>94.700248718261719</c:v>
                </c:pt>
                <c:pt idx="1156">
                  <c:v>95.890892028808594</c:v>
                </c:pt>
                <c:pt idx="1157">
                  <c:v>96.83953857421875</c:v>
                </c:pt>
                <c:pt idx="1158">
                  <c:v>96.229690551757813</c:v>
                </c:pt>
                <c:pt idx="1159">
                  <c:v>95.832809448242188</c:v>
                </c:pt>
                <c:pt idx="1160">
                  <c:v>95.745689392089844</c:v>
                </c:pt>
                <c:pt idx="1161">
                  <c:v>94.051681518554688</c:v>
                </c:pt>
                <c:pt idx="1162">
                  <c:v>96.103851318359375</c:v>
                </c:pt>
                <c:pt idx="1163">
                  <c:v>96.762100219726563</c:v>
                </c:pt>
                <c:pt idx="1164">
                  <c:v>94.400154113769531</c:v>
                </c:pt>
                <c:pt idx="1165">
                  <c:v>96.800819396972656</c:v>
                </c:pt>
                <c:pt idx="1166">
                  <c:v>97.691383361816406</c:v>
                </c:pt>
                <c:pt idx="1167">
                  <c:v>99.133720397949219</c:v>
                </c:pt>
                <c:pt idx="1168">
                  <c:v>100.43083953857422</c:v>
                </c:pt>
                <c:pt idx="1169">
                  <c:v>98.930427551269531</c:v>
                </c:pt>
                <c:pt idx="1170">
                  <c:v>97.962425231933594</c:v>
                </c:pt>
                <c:pt idx="1171">
                  <c:v>98.039871215820313</c:v>
                </c:pt>
                <c:pt idx="1172">
                  <c:v>99.230522155761719</c:v>
                </c:pt>
                <c:pt idx="1173">
                  <c:v>99.6370849609375</c:v>
                </c:pt>
                <c:pt idx="1174">
                  <c:v>99.346672058105469</c:v>
                </c:pt>
                <c:pt idx="1175">
                  <c:v>100.56637573242188</c:v>
                </c:pt>
                <c:pt idx="1176">
                  <c:v>100.97293090820313</c:v>
                </c:pt>
                <c:pt idx="1177">
                  <c:v>101.93126678466797</c:v>
                </c:pt>
                <c:pt idx="1178">
                  <c:v>101.94094085693359</c:v>
                </c:pt>
                <c:pt idx="1179">
                  <c:v>100.78901672363281</c:v>
                </c:pt>
                <c:pt idx="1180">
                  <c:v>100.55669403076172</c:v>
                </c:pt>
                <c:pt idx="1181">
                  <c:v>97.991470336914063</c:v>
                </c:pt>
                <c:pt idx="1182">
                  <c:v>98.5045166015625</c:v>
                </c:pt>
                <c:pt idx="1183">
                  <c:v>99.00787353515625</c:v>
                </c:pt>
                <c:pt idx="1184">
                  <c:v>97.914031982421875</c:v>
                </c:pt>
                <c:pt idx="1185">
                  <c:v>99.675804138183594</c:v>
                </c:pt>
                <c:pt idx="1186">
                  <c:v>98.74652099609375</c:v>
                </c:pt>
                <c:pt idx="1187">
                  <c:v>101.19557952880859</c:v>
                </c:pt>
                <c:pt idx="1188">
                  <c:v>102.97670745849609</c:v>
                </c:pt>
                <c:pt idx="1189">
                  <c:v>103.85759735107422</c:v>
                </c:pt>
                <c:pt idx="1190">
                  <c:v>102.49269866943359</c:v>
                </c:pt>
                <c:pt idx="1191">
                  <c:v>101.45693206787109</c:v>
                </c:pt>
                <c:pt idx="1192">
                  <c:v>101.54405212402344</c:v>
                </c:pt>
                <c:pt idx="1193">
                  <c:v>101.93126678466797</c:v>
                </c:pt>
                <c:pt idx="1194">
                  <c:v>101.96997833251953</c:v>
                </c:pt>
                <c:pt idx="1195">
                  <c:v>103.67368316650391</c:v>
                </c:pt>
                <c:pt idx="1196">
                  <c:v>101.16653442382813</c:v>
                </c:pt>
                <c:pt idx="1197">
                  <c:v>101.29238128662109</c:v>
                </c:pt>
                <c:pt idx="1198">
                  <c:v>100.43083953857422</c:v>
                </c:pt>
                <c:pt idx="1199">
                  <c:v>100.45989227294922</c:v>
                </c:pt>
                <c:pt idx="1200">
                  <c:v>99.733879089355469</c:v>
                </c:pt>
                <c:pt idx="1201">
                  <c:v>99.153076171875</c:v>
                </c:pt>
                <c:pt idx="1202">
                  <c:v>97.000343322753906</c:v>
                </c:pt>
                <c:pt idx="1203">
                  <c:v>94.622543334960938</c:v>
                </c:pt>
                <c:pt idx="1204">
                  <c:v>95.385787963867188</c:v>
                </c:pt>
                <c:pt idx="1205">
                  <c:v>96.100105285644531</c:v>
                </c:pt>
                <c:pt idx="1206">
                  <c:v>100.11202239990234</c:v>
                </c:pt>
                <c:pt idx="1207">
                  <c:v>99.143295288085938</c:v>
                </c:pt>
                <c:pt idx="1208">
                  <c:v>98.742103576660156</c:v>
                </c:pt>
                <c:pt idx="1209">
                  <c:v>96.814430236816406</c:v>
                </c:pt>
                <c:pt idx="1210">
                  <c:v>96.286026000976563</c:v>
                </c:pt>
                <c:pt idx="1211">
                  <c:v>101.49172973632813</c:v>
                </c:pt>
                <c:pt idx="1212">
                  <c:v>102.81272888183594</c:v>
                </c:pt>
                <c:pt idx="1213">
                  <c:v>102.46045684814453</c:v>
                </c:pt>
                <c:pt idx="1214">
                  <c:v>102.95951080322266</c:v>
                </c:pt>
                <c:pt idx="1215">
                  <c:v>106.17882537841797</c:v>
                </c:pt>
                <c:pt idx="1216">
                  <c:v>105.12202453613281</c:v>
                </c:pt>
                <c:pt idx="1217">
                  <c:v>103.08670806884766</c:v>
                </c:pt>
                <c:pt idx="1218">
                  <c:v>101.5406494140625</c:v>
                </c:pt>
                <c:pt idx="1219">
                  <c:v>103.79124450683594</c:v>
                </c:pt>
                <c:pt idx="1220">
                  <c:v>102.90079498291016</c:v>
                </c:pt>
                <c:pt idx="1221">
                  <c:v>102.38217926025391</c:v>
                </c:pt>
                <c:pt idx="1222">
                  <c:v>102.36260986328125</c:v>
                </c:pt>
                <c:pt idx="1223">
                  <c:v>100.04351806640625</c:v>
                </c:pt>
                <c:pt idx="1224">
                  <c:v>102.95951080322266</c:v>
                </c:pt>
                <c:pt idx="1225">
                  <c:v>103.34112548828125</c:v>
                </c:pt>
                <c:pt idx="1226">
                  <c:v>98.282196044921875</c:v>
                </c:pt>
                <c:pt idx="1227">
                  <c:v>91.491287231445313</c:v>
                </c:pt>
                <c:pt idx="1228">
                  <c:v>92.499160766601563</c:v>
                </c:pt>
                <c:pt idx="1229">
                  <c:v>91.002037048339844</c:v>
                </c:pt>
                <c:pt idx="1230">
                  <c:v>96.853569030761719</c:v>
                </c:pt>
                <c:pt idx="1231">
                  <c:v>94.857391357421875</c:v>
                </c:pt>
                <c:pt idx="1232">
                  <c:v>95.082443237304688</c:v>
                </c:pt>
                <c:pt idx="1233">
                  <c:v>95.1802978515625</c:v>
                </c:pt>
                <c:pt idx="1234">
                  <c:v>96.794845581054688</c:v>
                </c:pt>
                <c:pt idx="1235">
                  <c:v>97.362388610839844</c:v>
                </c:pt>
                <c:pt idx="1236">
                  <c:v>97.734222412109375</c:v>
                </c:pt>
                <c:pt idx="1237">
                  <c:v>98.321342468261719</c:v>
                </c:pt>
                <c:pt idx="1238">
                  <c:v>99.730400085449219</c:v>
                </c:pt>
                <c:pt idx="1239">
                  <c:v>99.975028991699219</c:v>
                </c:pt>
                <c:pt idx="1240">
                  <c:v>102.44089508056641</c:v>
                </c:pt>
                <c:pt idx="1241">
                  <c:v>103.82059478759766</c:v>
                </c:pt>
                <c:pt idx="1242">
                  <c:v>99.975028991699219</c:v>
                </c:pt>
                <c:pt idx="1243">
                  <c:v>99.573837280273438</c:v>
                </c:pt>
                <c:pt idx="1244">
                  <c:v>98.937797546386719</c:v>
                </c:pt>
                <c:pt idx="1245">
                  <c:v>99.867385864257813</c:v>
                </c:pt>
                <c:pt idx="1246">
                  <c:v>103.60532379150391</c:v>
                </c:pt>
                <c:pt idx="1247">
                  <c:v>100.75784301757813</c:v>
                </c:pt>
                <c:pt idx="1248">
                  <c:v>100.20008850097656</c:v>
                </c:pt>
                <c:pt idx="1249">
                  <c:v>99.270492553710938</c:v>
                </c:pt>
                <c:pt idx="1250">
                  <c:v>102.25497436523438</c:v>
                </c:pt>
                <c:pt idx="1251">
                  <c:v>101.37431335449219</c:v>
                </c:pt>
                <c:pt idx="1252">
                  <c:v>101.44280242919922</c:v>
                </c:pt>
                <c:pt idx="1253">
                  <c:v>102.45066833496094</c:v>
                </c:pt>
                <c:pt idx="1254">
                  <c:v>102.01034545898438</c:v>
                </c:pt>
                <c:pt idx="1255">
                  <c:v>102.15711975097656</c:v>
                </c:pt>
                <c:pt idx="1256">
                  <c:v>101.67765045166016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D-4BF6-8FF4-F8C8B4ECE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681473"/>
        <c:axId val="277121526"/>
      </c:lineChart>
      <c:catAx>
        <c:axId val="1584681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77121526"/>
        <c:crosses val="autoZero"/>
        <c:auto val="1"/>
        <c:lblAlgn val="ctr"/>
        <c:lblOffset val="100"/>
        <c:noMultiLvlLbl val="1"/>
      </c:catAx>
      <c:valAx>
        <c:axId val="277121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GMEXICOB.MX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5846814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KOFUBL.MX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FEMSA!$B$1</c:f>
              <c:strCache>
                <c:ptCount val="1"/>
                <c:pt idx="0">
                  <c:v>KOFUBL.MX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FEMSA!$A$2:$A$1258</c:f>
              <c:numCache>
                <c:formatCode>General</c:formatCode>
                <c:ptCount val="1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</c:numCache>
            </c:numRef>
          </c:cat>
          <c:val>
            <c:numRef>
              <c:f>FEMSA!$B$2:$B$1258</c:f>
              <c:numCache>
                <c:formatCode>General</c:formatCode>
                <c:ptCount val="1257"/>
                <c:pt idx="0">
                  <c:v>74.587303161621094</c:v>
                </c:pt>
                <c:pt idx="1">
                  <c:v>74.693283081054688</c:v>
                </c:pt>
                <c:pt idx="2">
                  <c:v>75.777565002441406</c:v>
                </c:pt>
                <c:pt idx="3">
                  <c:v>78.370063781738281</c:v>
                </c:pt>
                <c:pt idx="4">
                  <c:v>76.706962585449219</c:v>
                </c:pt>
                <c:pt idx="5">
                  <c:v>78.908126831054688</c:v>
                </c:pt>
                <c:pt idx="6">
                  <c:v>77.734161376953125</c:v>
                </c:pt>
                <c:pt idx="7">
                  <c:v>79.111946105957031</c:v>
                </c:pt>
                <c:pt idx="8">
                  <c:v>80.261444091796875</c:v>
                </c:pt>
                <c:pt idx="9">
                  <c:v>79.046714782714844</c:v>
                </c:pt>
                <c:pt idx="10">
                  <c:v>81.549537658691406</c:v>
                </c:pt>
                <c:pt idx="11">
                  <c:v>84.476303100585938</c:v>
                </c:pt>
                <c:pt idx="12">
                  <c:v>82.788719177246094</c:v>
                </c:pt>
                <c:pt idx="13">
                  <c:v>79.910881042480469</c:v>
                </c:pt>
                <c:pt idx="14">
                  <c:v>78.149940490722656</c:v>
                </c:pt>
                <c:pt idx="15">
                  <c:v>80.481575012207031</c:v>
                </c:pt>
                <c:pt idx="16">
                  <c:v>79.250534057617188</c:v>
                </c:pt>
                <c:pt idx="17">
                  <c:v>81.98162841796875</c:v>
                </c:pt>
                <c:pt idx="18">
                  <c:v>81.614768981933594</c:v>
                </c:pt>
                <c:pt idx="19">
                  <c:v>84.949134826660156</c:v>
                </c:pt>
                <c:pt idx="20">
                  <c:v>86.652999877929688</c:v>
                </c:pt>
                <c:pt idx="21">
                  <c:v>84.949134826660156</c:v>
                </c:pt>
                <c:pt idx="22">
                  <c:v>85.3404541015625</c:v>
                </c:pt>
                <c:pt idx="23">
                  <c:v>83.19635009765625</c:v>
                </c:pt>
                <c:pt idx="24">
                  <c:v>82.707199096679688</c:v>
                </c:pt>
                <c:pt idx="25">
                  <c:v>81.247901916503906</c:v>
                </c:pt>
                <c:pt idx="26">
                  <c:v>82.266960144042969</c:v>
                </c:pt>
                <c:pt idx="27">
                  <c:v>82.030548095703125</c:v>
                </c:pt>
                <c:pt idx="28">
                  <c:v>81.728889465332031</c:v>
                </c:pt>
                <c:pt idx="29">
                  <c:v>80.717987060546875</c:v>
                </c:pt>
                <c:pt idx="30">
                  <c:v>79.527725219726563</c:v>
                </c:pt>
                <c:pt idx="31">
                  <c:v>81.639213562011719</c:v>
                </c:pt>
                <c:pt idx="32">
                  <c:v>81.7696533203125</c:v>
                </c:pt>
                <c:pt idx="33">
                  <c:v>79.617401123046875</c:v>
                </c:pt>
                <c:pt idx="34">
                  <c:v>78.125495910644531</c:v>
                </c:pt>
                <c:pt idx="35">
                  <c:v>79.43804931640625</c:v>
                </c:pt>
                <c:pt idx="36">
                  <c:v>78.207008361816406</c:v>
                </c:pt>
                <c:pt idx="37">
                  <c:v>75.98138427734375</c:v>
                </c:pt>
                <c:pt idx="38">
                  <c:v>75.679733276367188</c:v>
                </c:pt>
                <c:pt idx="39">
                  <c:v>75.280258178710938</c:v>
                </c:pt>
                <c:pt idx="40">
                  <c:v>75.826484680175781</c:v>
                </c:pt>
                <c:pt idx="41">
                  <c:v>74.195991516113281</c:v>
                </c:pt>
                <c:pt idx="42">
                  <c:v>75.687881469726563</c:v>
                </c:pt>
                <c:pt idx="43">
                  <c:v>76.935226440429688</c:v>
                </c:pt>
                <c:pt idx="44">
                  <c:v>75.451469421386719</c:v>
                </c:pt>
                <c:pt idx="45">
                  <c:v>75.785713195800781</c:v>
                </c:pt>
                <c:pt idx="46">
                  <c:v>75.696037292480469</c:v>
                </c:pt>
                <c:pt idx="47">
                  <c:v>76.136276245117188</c:v>
                </c:pt>
                <c:pt idx="48">
                  <c:v>75.859092712402344</c:v>
                </c:pt>
                <c:pt idx="49">
                  <c:v>75.402557373046875</c:v>
                </c:pt>
                <c:pt idx="50">
                  <c:v>74.937858581542969</c:v>
                </c:pt>
                <c:pt idx="51">
                  <c:v>74.440559387207031</c:v>
                </c:pt>
                <c:pt idx="52">
                  <c:v>75.239494323730469</c:v>
                </c:pt>
                <c:pt idx="53">
                  <c:v>76.772171020507813</c:v>
                </c:pt>
                <c:pt idx="54">
                  <c:v>76.201499938964844</c:v>
                </c:pt>
                <c:pt idx="55">
                  <c:v>76.470535278320313</c:v>
                </c:pt>
                <c:pt idx="56">
                  <c:v>76.715095520019531</c:v>
                </c:pt>
                <c:pt idx="57">
                  <c:v>77.905357360839844</c:v>
                </c:pt>
                <c:pt idx="58">
                  <c:v>78.329299926757813</c:v>
                </c:pt>
                <c:pt idx="59">
                  <c:v>77.636344909667969</c:v>
                </c:pt>
                <c:pt idx="60">
                  <c:v>77.864608764648438</c:v>
                </c:pt>
                <c:pt idx="61">
                  <c:v>79.959800720214844</c:v>
                </c:pt>
                <c:pt idx="62">
                  <c:v>79.633705139160156</c:v>
                </c:pt>
                <c:pt idx="63">
                  <c:v>78.361907958984375</c:v>
                </c:pt>
                <c:pt idx="64">
                  <c:v>78.321144104003906</c:v>
                </c:pt>
                <c:pt idx="65">
                  <c:v>77.187957763671875</c:v>
                </c:pt>
                <c:pt idx="66">
                  <c:v>78.109176635742188</c:v>
                </c:pt>
                <c:pt idx="67">
                  <c:v>78.076576232910156</c:v>
                </c:pt>
                <c:pt idx="68">
                  <c:v>76.837394714355469</c:v>
                </c:pt>
                <c:pt idx="69">
                  <c:v>77.913520812988281</c:v>
                </c:pt>
                <c:pt idx="70">
                  <c:v>77.351005554199219</c:v>
                </c:pt>
                <c:pt idx="71">
                  <c:v>74.840042114257813</c:v>
                </c:pt>
                <c:pt idx="72">
                  <c:v>75.744964599609375</c:v>
                </c:pt>
                <c:pt idx="73">
                  <c:v>74.6688232421875</c:v>
                </c:pt>
                <c:pt idx="74">
                  <c:v>73.079086303710938</c:v>
                </c:pt>
                <c:pt idx="75">
                  <c:v>72.157852172851563</c:v>
                </c:pt>
                <c:pt idx="76">
                  <c:v>72.467643737792969</c:v>
                </c:pt>
                <c:pt idx="77">
                  <c:v>70.364280700683594</c:v>
                </c:pt>
                <c:pt idx="78">
                  <c:v>70.396903991699219</c:v>
                </c:pt>
                <c:pt idx="79">
                  <c:v>70.405059814453125</c:v>
                </c:pt>
                <c:pt idx="80">
                  <c:v>70.364280700683594</c:v>
                </c:pt>
                <c:pt idx="81">
                  <c:v>70.62518310546875</c:v>
                </c:pt>
                <c:pt idx="82">
                  <c:v>70.323532104492188</c:v>
                </c:pt>
                <c:pt idx="83">
                  <c:v>70.429512023925781</c:v>
                </c:pt>
                <c:pt idx="84">
                  <c:v>71.95404052734375</c:v>
                </c:pt>
                <c:pt idx="85">
                  <c:v>72.720367431640625</c:v>
                </c:pt>
                <c:pt idx="86">
                  <c:v>73.185066223144531</c:v>
                </c:pt>
                <c:pt idx="87">
                  <c:v>74.244888305664063</c:v>
                </c:pt>
                <c:pt idx="88">
                  <c:v>72.451347351074219</c:v>
                </c:pt>
                <c:pt idx="89">
                  <c:v>73.6416015625</c:v>
                </c:pt>
                <c:pt idx="90">
                  <c:v>73.772048950195313</c:v>
                </c:pt>
                <c:pt idx="91">
                  <c:v>72.532867431640625</c:v>
                </c:pt>
                <c:pt idx="92">
                  <c:v>73.527473449707031</c:v>
                </c:pt>
                <c:pt idx="93">
                  <c:v>71.905120849609375</c:v>
                </c:pt>
                <c:pt idx="94">
                  <c:v>72.867118835449219</c:v>
                </c:pt>
                <c:pt idx="95">
                  <c:v>73.1524658203125</c:v>
                </c:pt>
                <c:pt idx="96">
                  <c:v>73.01385498046875</c:v>
                </c:pt>
                <c:pt idx="97">
                  <c:v>73.584548950195313</c:v>
                </c:pt>
                <c:pt idx="98">
                  <c:v>73.845428466796875</c:v>
                </c:pt>
                <c:pt idx="99">
                  <c:v>73.845428466796875</c:v>
                </c:pt>
                <c:pt idx="100">
                  <c:v>73.959556579589844</c:v>
                </c:pt>
                <c:pt idx="101">
                  <c:v>72.435043334960938</c:v>
                </c:pt>
                <c:pt idx="102">
                  <c:v>72.043724060058594</c:v>
                </c:pt>
                <c:pt idx="103">
                  <c:v>70.89422607421875</c:v>
                </c:pt>
                <c:pt idx="104">
                  <c:v>70.62518310546875</c:v>
                </c:pt>
                <c:pt idx="105">
                  <c:v>70.62518310546875</c:v>
                </c:pt>
                <c:pt idx="106">
                  <c:v>70.959434509277344</c:v>
                </c:pt>
                <c:pt idx="107">
                  <c:v>71.733924865722656</c:v>
                </c:pt>
                <c:pt idx="108">
                  <c:v>71.513801574707031</c:v>
                </c:pt>
                <c:pt idx="109">
                  <c:v>71.15509033203125</c:v>
                </c:pt>
                <c:pt idx="110">
                  <c:v>70.347999572753906</c:v>
                </c:pt>
                <c:pt idx="111">
                  <c:v>69.63873291015625</c:v>
                </c:pt>
                <c:pt idx="112">
                  <c:v>67.519065856933594</c:v>
                </c:pt>
                <c:pt idx="113">
                  <c:v>64.923797607421875</c:v>
                </c:pt>
                <c:pt idx="114">
                  <c:v>67.460273742675781</c:v>
                </c:pt>
                <c:pt idx="115">
                  <c:v>68.955291748046875</c:v>
                </c:pt>
                <c:pt idx="116">
                  <c:v>69.778388977050781</c:v>
                </c:pt>
                <c:pt idx="117">
                  <c:v>72.130088806152344</c:v>
                </c:pt>
                <c:pt idx="118">
                  <c:v>72.05450439453125</c:v>
                </c:pt>
                <c:pt idx="119">
                  <c:v>72.986793518066406</c:v>
                </c:pt>
                <c:pt idx="120">
                  <c:v>74.112236022949219</c:v>
                </c:pt>
                <c:pt idx="121">
                  <c:v>77.2198486328125</c:v>
                </c:pt>
                <c:pt idx="122">
                  <c:v>75.632453918457031</c:v>
                </c:pt>
                <c:pt idx="123">
                  <c:v>77.186264038085938</c:v>
                </c:pt>
                <c:pt idx="124">
                  <c:v>77.429817199707031</c:v>
                </c:pt>
                <c:pt idx="125">
                  <c:v>77.379425048828125</c:v>
                </c:pt>
                <c:pt idx="126">
                  <c:v>77.463417053222656</c:v>
                </c:pt>
                <c:pt idx="127">
                  <c:v>77.539016723632813</c:v>
                </c:pt>
                <c:pt idx="128">
                  <c:v>76.564735412597656</c:v>
                </c:pt>
                <c:pt idx="129">
                  <c:v>77.043472290039063</c:v>
                </c:pt>
                <c:pt idx="130">
                  <c:v>77.093864440917969</c:v>
                </c:pt>
                <c:pt idx="131">
                  <c:v>77.093864440917969</c:v>
                </c:pt>
                <c:pt idx="132">
                  <c:v>74.112236022949219</c:v>
                </c:pt>
                <c:pt idx="133">
                  <c:v>76.480735778808594</c:v>
                </c:pt>
                <c:pt idx="134">
                  <c:v>77.135856628417969</c:v>
                </c:pt>
                <c:pt idx="135">
                  <c:v>78.849258422851563</c:v>
                </c:pt>
                <c:pt idx="136">
                  <c:v>77.530601501464844</c:v>
                </c:pt>
                <c:pt idx="137">
                  <c:v>78.042945861816406</c:v>
                </c:pt>
                <c:pt idx="138">
                  <c:v>77.161064147949219</c:v>
                </c:pt>
                <c:pt idx="139">
                  <c:v>76.388359069824219</c:v>
                </c:pt>
                <c:pt idx="140">
                  <c:v>76.337959289550781</c:v>
                </c:pt>
                <c:pt idx="141">
                  <c:v>77.597808837890625</c:v>
                </c:pt>
                <c:pt idx="142">
                  <c:v>77.387832641601563</c:v>
                </c:pt>
                <c:pt idx="143">
                  <c:v>77.194656372070313</c:v>
                </c:pt>
                <c:pt idx="144">
                  <c:v>76.447151184082031</c:v>
                </c:pt>
                <c:pt idx="145">
                  <c:v>76.312767028808594</c:v>
                </c:pt>
                <c:pt idx="146">
                  <c:v>77.287040710449219</c:v>
                </c:pt>
                <c:pt idx="147">
                  <c:v>77.396224975585938</c:v>
                </c:pt>
                <c:pt idx="148">
                  <c:v>76.002006530761719</c:v>
                </c:pt>
                <c:pt idx="149">
                  <c:v>75.178909301757813</c:v>
                </c:pt>
                <c:pt idx="150">
                  <c:v>75.993598937988281</c:v>
                </c:pt>
                <c:pt idx="151">
                  <c:v>75.514869689941406</c:v>
                </c:pt>
                <c:pt idx="152">
                  <c:v>77.24505615234375</c:v>
                </c:pt>
                <c:pt idx="153">
                  <c:v>78.059745788574219</c:v>
                </c:pt>
                <c:pt idx="154">
                  <c:v>78.000953674316406</c:v>
                </c:pt>
                <c:pt idx="155">
                  <c:v>76.858695983886719</c:v>
                </c:pt>
                <c:pt idx="156">
                  <c:v>76.463951110839844</c:v>
                </c:pt>
                <c:pt idx="157">
                  <c:v>77.177848815917969</c:v>
                </c:pt>
                <c:pt idx="158">
                  <c:v>77.312248229980469</c:v>
                </c:pt>
                <c:pt idx="159">
                  <c:v>78.521690368652344</c:v>
                </c:pt>
                <c:pt idx="160">
                  <c:v>78.731643676757813</c:v>
                </c:pt>
                <c:pt idx="161">
                  <c:v>78.101737976074219</c:v>
                </c:pt>
                <c:pt idx="162">
                  <c:v>77.790977478027344</c:v>
                </c:pt>
                <c:pt idx="163">
                  <c:v>77.933753967285156</c:v>
                </c:pt>
                <c:pt idx="164">
                  <c:v>78.194122314453125</c:v>
                </c:pt>
                <c:pt idx="165">
                  <c:v>77.858169555664063</c:v>
                </c:pt>
                <c:pt idx="166">
                  <c:v>77.077064514160156</c:v>
                </c:pt>
                <c:pt idx="167">
                  <c:v>77.387832641601563</c:v>
                </c:pt>
                <c:pt idx="168">
                  <c:v>76.589927673339844</c:v>
                </c:pt>
                <c:pt idx="169">
                  <c:v>76.841896057128906</c:v>
                </c:pt>
                <c:pt idx="170">
                  <c:v>77.648193359375</c:v>
                </c:pt>
                <c:pt idx="171">
                  <c:v>77.093864440917969</c:v>
                </c:pt>
                <c:pt idx="172">
                  <c:v>78.303329467773438</c:v>
                </c:pt>
                <c:pt idx="173">
                  <c:v>75.867630004882813</c:v>
                </c:pt>
                <c:pt idx="174">
                  <c:v>76.12799072265625</c:v>
                </c:pt>
                <c:pt idx="175">
                  <c:v>74.683357238769531</c:v>
                </c:pt>
                <c:pt idx="176">
                  <c:v>76.161582946777344</c:v>
                </c:pt>
                <c:pt idx="177">
                  <c:v>75.800422668457031</c:v>
                </c:pt>
                <c:pt idx="178">
                  <c:v>74.985733032226563</c:v>
                </c:pt>
                <c:pt idx="179">
                  <c:v>75.842430114746094</c:v>
                </c:pt>
                <c:pt idx="180">
                  <c:v>75.044525146484375</c:v>
                </c:pt>
                <c:pt idx="181">
                  <c:v>75.867630004882813</c:v>
                </c:pt>
                <c:pt idx="182">
                  <c:v>75.666046142578125</c:v>
                </c:pt>
                <c:pt idx="183">
                  <c:v>74.322212219238281</c:v>
                </c:pt>
                <c:pt idx="184">
                  <c:v>75.178909301757813</c:v>
                </c:pt>
                <c:pt idx="185">
                  <c:v>73.961067199707031</c:v>
                </c:pt>
                <c:pt idx="186">
                  <c:v>76.497550964355469</c:v>
                </c:pt>
                <c:pt idx="187">
                  <c:v>77.11065673828125</c:v>
                </c:pt>
                <c:pt idx="188">
                  <c:v>78.202529907226563</c:v>
                </c:pt>
                <c:pt idx="189">
                  <c:v>77.648193359375</c:v>
                </c:pt>
                <c:pt idx="190">
                  <c:v>76.94268798828125</c:v>
                </c:pt>
                <c:pt idx="191">
                  <c:v>75.556846618652344</c:v>
                </c:pt>
                <c:pt idx="192">
                  <c:v>75.951606750488281</c:v>
                </c:pt>
                <c:pt idx="193">
                  <c:v>74.716957092285156</c:v>
                </c:pt>
                <c:pt idx="194">
                  <c:v>73.734283447265625</c:v>
                </c:pt>
                <c:pt idx="195">
                  <c:v>74.767356872558594</c:v>
                </c:pt>
                <c:pt idx="196">
                  <c:v>76.421951293945313</c:v>
                </c:pt>
                <c:pt idx="197">
                  <c:v>78.084945678710938</c:v>
                </c:pt>
                <c:pt idx="198">
                  <c:v>80.780998229980469</c:v>
                </c:pt>
                <c:pt idx="199">
                  <c:v>82.847145080566406</c:v>
                </c:pt>
                <c:pt idx="200">
                  <c:v>84.787300109863281</c:v>
                </c:pt>
                <c:pt idx="201">
                  <c:v>83.989395141601563</c:v>
                </c:pt>
                <c:pt idx="202">
                  <c:v>82.847145080566406</c:v>
                </c:pt>
                <c:pt idx="203">
                  <c:v>82.914337158203125</c:v>
                </c:pt>
                <c:pt idx="204">
                  <c:v>82.712760925292969</c:v>
                </c:pt>
                <c:pt idx="205">
                  <c:v>83.7374267578125</c:v>
                </c:pt>
                <c:pt idx="206">
                  <c:v>83.720634460449219</c:v>
                </c:pt>
                <c:pt idx="207">
                  <c:v>82.763153076171875</c:v>
                </c:pt>
                <c:pt idx="208">
                  <c:v>80.604629516601563</c:v>
                </c:pt>
                <c:pt idx="209">
                  <c:v>81.570503234863281</c:v>
                </c:pt>
                <c:pt idx="210">
                  <c:v>81.814071655273438</c:v>
                </c:pt>
                <c:pt idx="211">
                  <c:v>81.536903381347656</c:v>
                </c:pt>
                <c:pt idx="212">
                  <c:v>80.806198120117188</c:v>
                </c:pt>
                <c:pt idx="213">
                  <c:v>79.731124877929688</c:v>
                </c:pt>
                <c:pt idx="214">
                  <c:v>80.193077087402344</c:v>
                </c:pt>
                <c:pt idx="215">
                  <c:v>80.251869201660156</c:v>
                </c:pt>
                <c:pt idx="216">
                  <c:v>79.294387817382813</c:v>
                </c:pt>
                <c:pt idx="217">
                  <c:v>79.185203552246094</c:v>
                </c:pt>
                <c:pt idx="218">
                  <c:v>79.462364196777344</c:v>
                </c:pt>
                <c:pt idx="219">
                  <c:v>79.369964599609375</c:v>
                </c:pt>
                <c:pt idx="220">
                  <c:v>80.957374572753906</c:v>
                </c:pt>
                <c:pt idx="221">
                  <c:v>81.394126892089844</c:v>
                </c:pt>
                <c:pt idx="222">
                  <c:v>80.906990051269531</c:v>
                </c:pt>
                <c:pt idx="223">
                  <c:v>80.957374572753906</c:v>
                </c:pt>
                <c:pt idx="224">
                  <c:v>80.50384521484375</c:v>
                </c:pt>
                <c:pt idx="225">
                  <c:v>80.461837768554688</c:v>
                </c:pt>
                <c:pt idx="226">
                  <c:v>79.08441162109375</c:v>
                </c:pt>
                <c:pt idx="227">
                  <c:v>79.798324584960938</c:v>
                </c:pt>
                <c:pt idx="228">
                  <c:v>80.50384521484375</c:v>
                </c:pt>
                <c:pt idx="229">
                  <c:v>82.066047668457031</c:v>
                </c:pt>
                <c:pt idx="230">
                  <c:v>82.368392944335938</c:v>
                </c:pt>
                <c:pt idx="231">
                  <c:v>83.040321350097656</c:v>
                </c:pt>
                <c:pt idx="232">
                  <c:v>82.38519287109375</c:v>
                </c:pt>
                <c:pt idx="233">
                  <c:v>81.44451904296875</c:v>
                </c:pt>
                <c:pt idx="234">
                  <c:v>81.251335144042969</c:v>
                </c:pt>
                <c:pt idx="235">
                  <c:v>82.057640075683594</c:v>
                </c:pt>
                <c:pt idx="236">
                  <c:v>82.027366638183594</c:v>
                </c:pt>
                <c:pt idx="237">
                  <c:v>82.183059692382813</c:v>
                </c:pt>
                <c:pt idx="238">
                  <c:v>82.087921142578125</c:v>
                </c:pt>
                <c:pt idx="239">
                  <c:v>81.811111450195313</c:v>
                </c:pt>
                <c:pt idx="240">
                  <c:v>82.978851318359375</c:v>
                </c:pt>
                <c:pt idx="241">
                  <c:v>81.20562744140625</c:v>
                </c:pt>
                <c:pt idx="242">
                  <c:v>83.714103698730469</c:v>
                </c:pt>
                <c:pt idx="243">
                  <c:v>83.549751281738281</c:v>
                </c:pt>
                <c:pt idx="244">
                  <c:v>81.707305908203125</c:v>
                </c:pt>
                <c:pt idx="245">
                  <c:v>82.831802368164063</c:v>
                </c:pt>
                <c:pt idx="246">
                  <c:v>84.008201599121094</c:v>
                </c:pt>
                <c:pt idx="247">
                  <c:v>83.653556823730469</c:v>
                </c:pt>
                <c:pt idx="248">
                  <c:v>85.080787658691406</c:v>
                </c:pt>
                <c:pt idx="249">
                  <c:v>84.786689758300781</c:v>
                </c:pt>
                <c:pt idx="250">
                  <c:v>84.933746337890625</c:v>
                </c:pt>
                <c:pt idx="251">
                  <c:v>84.838592529296875</c:v>
                </c:pt>
                <c:pt idx="252">
                  <c:v>84.094703674316406</c:v>
                </c:pt>
                <c:pt idx="253">
                  <c:v>83.039413452148438</c:v>
                </c:pt>
                <c:pt idx="254">
                  <c:v>83.471908569335938</c:v>
                </c:pt>
                <c:pt idx="255">
                  <c:v>83.05670166015625</c:v>
                </c:pt>
                <c:pt idx="256">
                  <c:v>84.3282470703125</c:v>
                </c:pt>
                <c:pt idx="257">
                  <c:v>85.781425476074219</c:v>
                </c:pt>
                <c:pt idx="258">
                  <c:v>85.8765869140625</c:v>
                </c:pt>
                <c:pt idx="259">
                  <c:v>84.587745666503906</c:v>
                </c:pt>
                <c:pt idx="260">
                  <c:v>85.392196655273438</c:v>
                </c:pt>
                <c:pt idx="261">
                  <c:v>85.668998718261719</c:v>
                </c:pt>
                <c:pt idx="262">
                  <c:v>86.992431640625</c:v>
                </c:pt>
                <c:pt idx="263">
                  <c:v>86.706977844238281</c:v>
                </c:pt>
                <c:pt idx="264">
                  <c:v>87.347068786621094</c:v>
                </c:pt>
                <c:pt idx="265">
                  <c:v>87.416267395019531</c:v>
                </c:pt>
                <c:pt idx="266">
                  <c:v>88.333168029785156</c:v>
                </c:pt>
                <c:pt idx="267">
                  <c:v>88.307220458984375</c:v>
                </c:pt>
                <c:pt idx="268">
                  <c:v>89.466323852539063</c:v>
                </c:pt>
                <c:pt idx="269">
                  <c:v>91.412544250488281</c:v>
                </c:pt>
                <c:pt idx="270">
                  <c:v>91.144401550292969</c:v>
                </c:pt>
                <c:pt idx="271">
                  <c:v>91.334693908691406</c:v>
                </c:pt>
                <c:pt idx="272">
                  <c:v>91.438491821289063</c:v>
                </c:pt>
                <c:pt idx="273">
                  <c:v>90.61676025390625</c:v>
                </c:pt>
                <c:pt idx="274">
                  <c:v>89.526870727539063</c:v>
                </c:pt>
                <c:pt idx="275">
                  <c:v>89.120307922363281</c:v>
                </c:pt>
                <c:pt idx="276">
                  <c:v>89.301963806152344</c:v>
                </c:pt>
                <c:pt idx="277">
                  <c:v>89.007865905761719</c:v>
                </c:pt>
                <c:pt idx="278">
                  <c:v>89.509559631347656</c:v>
                </c:pt>
                <c:pt idx="279">
                  <c:v>91.230903625488281</c:v>
                </c:pt>
                <c:pt idx="280">
                  <c:v>91.533653259277344</c:v>
                </c:pt>
                <c:pt idx="281">
                  <c:v>90.789741516113281</c:v>
                </c:pt>
                <c:pt idx="282">
                  <c:v>90.192901611328125</c:v>
                </c:pt>
                <c:pt idx="283">
                  <c:v>91.057891845703125</c:v>
                </c:pt>
                <c:pt idx="284">
                  <c:v>90.876251220703125</c:v>
                </c:pt>
                <c:pt idx="285">
                  <c:v>90.296699523925781</c:v>
                </c:pt>
                <c:pt idx="286">
                  <c:v>90.141006469726563</c:v>
                </c:pt>
                <c:pt idx="287">
                  <c:v>90.807052612304688</c:v>
                </c:pt>
                <c:pt idx="288">
                  <c:v>90.296699523925781</c:v>
                </c:pt>
                <c:pt idx="289">
                  <c:v>90.080459594726563</c:v>
                </c:pt>
                <c:pt idx="290">
                  <c:v>91.429847717285156</c:v>
                </c:pt>
                <c:pt idx="291">
                  <c:v>91.767196655273438</c:v>
                </c:pt>
                <c:pt idx="292">
                  <c:v>91.222244262695313</c:v>
                </c:pt>
                <c:pt idx="293">
                  <c:v>91.014656066894531</c:v>
                </c:pt>
                <c:pt idx="294">
                  <c:v>91.758552551269531</c:v>
                </c:pt>
                <c:pt idx="295">
                  <c:v>91.741241455078125</c:v>
                </c:pt>
                <c:pt idx="296">
                  <c:v>91.4471435546875</c:v>
                </c:pt>
                <c:pt idx="297">
                  <c:v>92.900337219238281</c:v>
                </c:pt>
                <c:pt idx="298">
                  <c:v>94.664932250976563</c:v>
                </c:pt>
                <c:pt idx="299">
                  <c:v>95.625076293945313</c:v>
                </c:pt>
                <c:pt idx="300">
                  <c:v>96.965812683105469</c:v>
                </c:pt>
                <c:pt idx="301">
                  <c:v>97.614547729492188</c:v>
                </c:pt>
                <c:pt idx="302">
                  <c:v>97.4588623046875</c:v>
                </c:pt>
                <c:pt idx="303">
                  <c:v>98.185447692871094</c:v>
                </c:pt>
                <c:pt idx="304">
                  <c:v>98.012451171875</c:v>
                </c:pt>
                <c:pt idx="305">
                  <c:v>97.770256042480469</c:v>
                </c:pt>
                <c:pt idx="306">
                  <c:v>99.110992431640625</c:v>
                </c:pt>
                <c:pt idx="307">
                  <c:v>99.2493896484375</c:v>
                </c:pt>
                <c:pt idx="308">
                  <c:v>99.041793823242188</c:v>
                </c:pt>
                <c:pt idx="309">
                  <c:v>98.150856018066406</c:v>
                </c:pt>
                <c:pt idx="310">
                  <c:v>99.180198669433594</c:v>
                </c:pt>
                <c:pt idx="311">
                  <c:v>100.988037109375</c:v>
                </c:pt>
                <c:pt idx="312">
                  <c:v>101.27348327636719</c:v>
                </c:pt>
                <c:pt idx="313">
                  <c:v>101.07453155517578</c:v>
                </c:pt>
                <c:pt idx="314">
                  <c:v>100.83232879638672</c:v>
                </c:pt>
                <c:pt idx="315">
                  <c:v>99.52618408203125</c:v>
                </c:pt>
                <c:pt idx="316">
                  <c:v>100.57283020019531</c:v>
                </c:pt>
                <c:pt idx="317">
                  <c:v>101.49837493896484</c:v>
                </c:pt>
                <c:pt idx="318">
                  <c:v>100.96208190917969</c:v>
                </c:pt>
                <c:pt idx="319">
                  <c:v>100.82366943359375</c:v>
                </c:pt>
                <c:pt idx="320">
                  <c:v>100.25279235839844</c:v>
                </c:pt>
                <c:pt idx="321">
                  <c:v>99.275344848632813</c:v>
                </c:pt>
                <c:pt idx="322">
                  <c:v>99.439689636230469</c:v>
                </c:pt>
                <c:pt idx="323">
                  <c:v>100.57283020019531</c:v>
                </c:pt>
                <c:pt idx="324">
                  <c:v>98.72174072265625</c:v>
                </c:pt>
                <c:pt idx="325">
                  <c:v>99.353202819824219</c:v>
                </c:pt>
                <c:pt idx="326">
                  <c:v>98.254646301269531</c:v>
                </c:pt>
                <c:pt idx="327">
                  <c:v>99.2493896484375</c:v>
                </c:pt>
                <c:pt idx="328">
                  <c:v>98.254646301269531</c:v>
                </c:pt>
                <c:pt idx="329">
                  <c:v>97.839447021484375</c:v>
                </c:pt>
                <c:pt idx="330">
                  <c:v>97.623199462890625</c:v>
                </c:pt>
                <c:pt idx="331">
                  <c:v>97.709693908691406</c:v>
                </c:pt>
                <c:pt idx="332">
                  <c:v>97.752952575683594</c:v>
                </c:pt>
                <c:pt idx="333">
                  <c:v>99.474288940429688</c:v>
                </c:pt>
                <c:pt idx="334">
                  <c:v>99.828948974609375</c:v>
                </c:pt>
                <c:pt idx="335">
                  <c:v>98.592002868652344</c:v>
                </c:pt>
                <c:pt idx="336">
                  <c:v>98.427642822265625</c:v>
                </c:pt>
                <c:pt idx="337">
                  <c:v>99.024497985839844</c:v>
                </c:pt>
                <c:pt idx="338">
                  <c:v>99.975982666015625</c:v>
                </c:pt>
                <c:pt idx="339">
                  <c:v>99.915435791015625</c:v>
                </c:pt>
                <c:pt idx="340">
                  <c:v>100.12303161621094</c:v>
                </c:pt>
                <c:pt idx="341">
                  <c:v>100.59014129638672</c:v>
                </c:pt>
                <c:pt idx="342">
                  <c:v>100.27873229980469</c:v>
                </c:pt>
                <c:pt idx="343">
                  <c:v>100.74583435058594</c:v>
                </c:pt>
                <c:pt idx="344">
                  <c:v>100.6160888671875</c:v>
                </c:pt>
                <c:pt idx="345">
                  <c:v>98.3238525390625</c:v>
                </c:pt>
                <c:pt idx="346">
                  <c:v>97.017707824707031</c:v>
                </c:pt>
                <c:pt idx="347">
                  <c:v>99.015846252441406</c:v>
                </c:pt>
                <c:pt idx="348">
                  <c:v>98.315200805664063</c:v>
                </c:pt>
                <c:pt idx="349">
                  <c:v>97.441566467285156</c:v>
                </c:pt>
                <c:pt idx="350">
                  <c:v>97.095558166503906</c:v>
                </c:pt>
                <c:pt idx="351">
                  <c:v>98.168144226074219</c:v>
                </c:pt>
                <c:pt idx="352">
                  <c:v>98.626594543457031</c:v>
                </c:pt>
                <c:pt idx="353">
                  <c:v>97.744293212890625</c:v>
                </c:pt>
                <c:pt idx="354">
                  <c:v>98.574691772460938</c:v>
                </c:pt>
                <c:pt idx="355">
                  <c:v>99.456993103027344</c:v>
                </c:pt>
                <c:pt idx="356">
                  <c:v>97.804847717285156</c:v>
                </c:pt>
                <c:pt idx="357">
                  <c:v>96.152717590332031</c:v>
                </c:pt>
                <c:pt idx="358">
                  <c:v>94.881179809570313</c:v>
                </c:pt>
                <c:pt idx="359">
                  <c:v>94.215118408203125</c:v>
                </c:pt>
                <c:pt idx="360">
                  <c:v>94.595726013183594</c:v>
                </c:pt>
                <c:pt idx="361">
                  <c:v>95.132026672363281</c:v>
                </c:pt>
                <c:pt idx="362">
                  <c:v>97.164764404296875</c:v>
                </c:pt>
                <c:pt idx="363">
                  <c:v>96.265167236328125</c:v>
                </c:pt>
                <c:pt idx="364">
                  <c:v>97.035003662109375</c:v>
                </c:pt>
                <c:pt idx="365">
                  <c:v>95.971061706542969</c:v>
                </c:pt>
                <c:pt idx="366">
                  <c:v>97.683746337890625</c:v>
                </c:pt>
                <c:pt idx="367">
                  <c:v>97.2080078125</c:v>
                </c:pt>
                <c:pt idx="368">
                  <c:v>97.432907104492188</c:v>
                </c:pt>
                <c:pt idx="369">
                  <c:v>96.178665161132813</c:v>
                </c:pt>
                <c:pt idx="370">
                  <c:v>94.630325317382813</c:v>
                </c:pt>
                <c:pt idx="371">
                  <c:v>95.53857421875</c:v>
                </c:pt>
                <c:pt idx="372">
                  <c:v>96.308395385742188</c:v>
                </c:pt>
                <c:pt idx="373">
                  <c:v>96.317054748535156</c:v>
                </c:pt>
                <c:pt idx="374">
                  <c:v>94.907119750976563</c:v>
                </c:pt>
                <c:pt idx="375">
                  <c:v>91.784500122070313</c:v>
                </c:pt>
                <c:pt idx="376">
                  <c:v>91.741241455078125</c:v>
                </c:pt>
                <c:pt idx="377">
                  <c:v>92.46783447265625</c:v>
                </c:pt>
                <c:pt idx="378">
                  <c:v>92.104530334472656</c:v>
                </c:pt>
                <c:pt idx="379">
                  <c:v>92.121841430664063</c:v>
                </c:pt>
                <c:pt idx="380">
                  <c:v>92.718696594238281</c:v>
                </c:pt>
                <c:pt idx="381">
                  <c:v>91.697998046875</c:v>
                </c:pt>
                <c:pt idx="382">
                  <c:v>89.673904418945313</c:v>
                </c:pt>
                <c:pt idx="383">
                  <c:v>87.511421203613281</c:v>
                </c:pt>
                <c:pt idx="384">
                  <c:v>90.331306457519531</c:v>
                </c:pt>
                <c:pt idx="385">
                  <c:v>91.092498779296875</c:v>
                </c:pt>
                <c:pt idx="386">
                  <c:v>92.018043518066406</c:v>
                </c:pt>
                <c:pt idx="387">
                  <c:v>93.557731628417969</c:v>
                </c:pt>
                <c:pt idx="388">
                  <c:v>92.883041381835938</c:v>
                </c:pt>
                <c:pt idx="389">
                  <c:v>92.822479248046875</c:v>
                </c:pt>
                <c:pt idx="390">
                  <c:v>92.900337219238281</c:v>
                </c:pt>
                <c:pt idx="391">
                  <c:v>93.436630249023438</c:v>
                </c:pt>
                <c:pt idx="392">
                  <c:v>93.332832336425781</c:v>
                </c:pt>
                <c:pt idx="393">
                  <c:v>93.626937866210938</c:v>
                </c:pt>
                <c:pt idx="394">
                  <c:v>93.211746215820313</c:v>
                </c:pt>
                <c:pt idx="395">
                  <c:v>93.895088195800781</c:v>
                </c:pt>
                <c:pt idx="396">
                  <c:v>91.256843566894531</c:v>
                </c:pt>
                <c:pt idx="397">
                  <c:v>91.974800109863281</c:v>
                </c:pt>
                <c:pt idx="398">
                  <c:v>94.898468017578125</c:v>
                </c:pt>
                <c:pt idx="399">
                  <c:v>95.521270751953125</c:v>
                </c:pt>
                <c:pt idx="400">
                  <c:v>96.680351257324219</c:v>
                </c:pt>
                <c:pt idx="401">
                  <c:v>96.714958190917969</c:v>
                </c:pt>
                <c:pt idx="402">
                  <c:v>97.372352600097656</c:v>
                </c:pt>
                <c:pt idx="403">
                  <c:v>98.176803588867188</c:v>
                </c:pt>
                <c:pt idx="404">
                  <c:v>97.752952575683594</c:v>
                </c:pt>
                <c:pt idx="405">
                  <c:v>96.420860290527344</c:v>
                </c:pt>
                <c:pt idx="406">
                  <c:v>96.066207885742188</c:v>
                </c:pt>
                <c:pt idx="407">
                  <c:v>96.481414794921875</c:v>
                </c:pt>
                <c:pt idx="408">
                  <c:v>96.619804382324219</c:v>
                </c:pt>
                <c:pt idx="409">
                  <c:v>96.8360595703125</c:v>
                </c:pt>
                <c:pt idx="410">
                  <c:v>97.709693908691406</c:v>
                </c:pt>
                <c:pt idx="411">
                  <c:v>96.2132568359375</c:v>
                </c:pt>
                <c:pt idx="412">
                  <c:v>95.867271423339844</c:v>
                </c:pt>
                <c:pt idx="413">
                  <c:v>94.898468017578125</c:v>
                </c:pt>
                <c:pt idx="414">
                  <c:v>94.993629455566406</c:v>
                </c:pt>
                <c:pt idx="415">
                  <c:v>96.593864440917969</c:v>
                </c:pt>
                <c:pt idx="416">
                  <c:v>97.804847717285156</c:v>
                </c:pt>
                <c:pt idx="417">
                  <c:v>96.853355407714844</c:v>
                </c:pt>
                <c:pt idx="418">
                  <c:v>98.081642150878906</c:v>
                </c:pt>
                <c:pt idx="419">
                  <c:v>98.133544921875</c:v>
                </c:pt>
                <c:pt idx="420">
                  <c:v>97.311805725097656</c:v>
                </c:pt>
                <c:pt idx="421">
                  <c:v>95.408828735351563</c:v>
                </c:pt>
                <c:pt idx="422">
                  <c:v>94.751426696777344</c:v>
                </c:pt>
                <c:pt idx="423">
                  <c:v>94.457321166992188</c:v>
                </c:pt>
                <c:pt idx="424">
                  <c:v>93.834541320800781</c:v>
                </c:pt>
                <c:pt idx="425">
                  <c:v>95.824020385742188</c:v>
                </c:pt>
                <c:pt idx="426">
                  <c:v>95.754814147949219</c:v>
                </c:pt>
                <c:pt idx="427">
                  <c:v>95.192573547363281</c:v>
                </c:pt>
                <c:pt idx="428">
                  <c:v>94.145919799804688</c:v>
                </c:pt>
                <c:pt idx="429">
                  <c:v>93.652885437011719</c:v>
                </c:pt>
                <c:pt idx="430">
                  <c:v>93.765335083007813</c:v>
                </c:pt>
                <c:pt idx="431">
                  <c:v>96.0921630859375</c:v>
                </c:pt>
                <c:pt idx="432">
                  <c:v>94.32757568359375</c:v>
                </c:pt>
                <c:pt idx="433">
                  <c:v>94.223777770996094</c:v>
                </c:pt>
                <c:pt idx="434">
                  <c:v>95.417472839355469</c:v>
                </c:pt>
                <c:pt idx="435">
                  <c:v>95.175270080566406</c:v>
                </c:pt>
                <c:pt idx="436">
                  <c:v>94.163223266601563</c:v>
                </c:pt>
                <c:pt idx="437">
                  <c:v>95.132026672363281</c:v>
                </c:pt>
                <c:pt idx="438">
                  <c:v>92.476486206054688</c:v>
                </c:pt>
                <c:pt idx="439">
                  <c:v>94.310272216796875</c:v>
                </c:pt>
                <c:pt idx="440">
                  <c:v>94.561119079589844</c:v>
                </c:pt>
                <c:pt idx="441">
                  <c:v>94.102676391601563</c:v>
                </c:pt>
                <c:pt idx="442">
                  <c:v>93.95562744140625</c:v>
                </c:pt>
                <c:pt idx="443">
                  <c:v>97.3896484375</c:v>
                </c:pt>
                <c:pt idx="444">
                  <c:v>97.259902954101563</c:v>
                </c:pt>
                <c:pt idx="445">
                  <c:v>94.396766662597656</c:v>
                </c:pt>
                <c:pt idx="446">
                  <c:v>93.817230224609375</c:v>
                </c:pt>
                <c:pt idx="447">
                  <c:v>97.54534912109375</c:v>
                </c:pt>
                <c:pt idx="448">
                  <c:v>97.294509887695313</c:v>
                </c:pt>
                <c:pt idx="449">
                  <c:v>94.82061767578125</c:v>
                </c:pt>
                <c:pt idx="450">
                  <c:v>97.735649108886719</c:v>
                </c:pt>
                <c:pt idx="451">
                  <c:v>96.360305786132813</c:v>
                </c:pt>
                <c:pt idx="452">
                  <c:v>95.296363830566406</c:v>
                </c:pt>
                <c:pt idx="453">
                  <c:v>94.751426696777344</c:v>
                </c:pt>
                <c:pt idx="454">
                  <c:v>94.474624633789063</c:v>
                </c:pt>
                <c:pt idx="455">
                  <c:v>95.365570068359375</c:v>
                </c:pt>
                <c:pt idx="456">
                  <c:v>93.15118408203125</c:v>
                </c:pt>
                <c:pt idx="457">
                  <c:v>93.376091003417969</c:v>
                </c:pt>
                <c:pt idx="458">
                  <c:v>91.620147705078125</c:v>
                </c:pt>
                <c:pt idx="459">
                  <c:v>91.758552551269531</c:v>
                </c:pt>
                <c:pt idx="460">
                  <c:v>93.514472961425781</c:v>
                </c:pt>
                <c:pt idx="461">
                  <c:v>94.068069458007813</c:v>
                </c:pt>
                <c:pt idx="462">
                  <c:v>92.173728942871094</c:v>
                </c:pt>
                <c:pt idx="463">
                  <c:v>92.34674072265625</c:v>
                </c:pt>
                <c:pt idx="464">
                  <c:v>92.649497985839844</c:v>
                </c:pt>
                <c:pt idx="465">
                  <c:v>93.220367431640625</c:v>
                </c:pt>
                <c:pt idx="466">
                  <c:v>93.488533020019531</c:v>
                </c:pt>
                <c:pt idx="467">
                  <c:v>93.220367431640625</c:v>
                </c:pt>
                <c:pt idx="468">
                  <c:v>94.690872192382813</c:v>
                </c:pt>
                <c:pt idx="469">
                  <c:v>91.680694580078125</c:v>
                </c:pt>
                <c:pt idx="470">
                  <c:v>94.742774963378906</c:v>
                </c:pt>
                <c:pt idx="471">
                  <c:v>95.971061706542969</c:v>
                </c:pt>
                <c:pt idx="472">
                  <c:v>95.737518310546875</c:v>
                </c:pt>
                <c:pt idx="473">
                  <c:v>95.478019714355469</c:v>
                </c:pt>
                <c:pt idx="474">
                  <c:v>95.867271423339844</c:v>
                </c:pt>
                <c:pt idx="475">
                  <c:v>95.330970764160156</c:v>
                </c:pt>
                <c:pt idx="476">
                  <c:v>95.858612060546875</c:v>
                </c:pt>
                <c:pt idx="477">
                  <c:v>95.183921813964844</c:v>
                </c:pt>
                <c:pt idx="478">
                  <c:v>95.253120422363281</c:v>
                </c:pt>
                <c:pt idx="479">
                  <c:v>95.512619018554688</c:v>
                </c:pt>
                <c:pt idx="480">
                  <c:v>96.922569274902344</c:v>
                </c:pt>
                <c:pt idx="481">
                  <c:v>97.320457458496094</c:v>
                </c:pt>
                <c:pt idx="482">
                  <c:v>98.462249755859375</c:v>
                </c:pt>
                <c:pt idx="483">
                  <c:v>99.15423583984375</c:v>
                </c:pt>
                <c:pt idx="484">
                  <c:v>98.877449035644531</c:v>
                </c:pt>
                <c:pt idx="485">
                  <c:v>97.839447021484375</c:v>
                </c:pt>
                <c:pt idx="486">
                  <c:v>95.547210693359375</c:v>
                </c:pt>
                <c:pt idx="487">
                  <c:v>95.65966796875</c:v>
                </c:pt>
                <c:pt idx="488">
                  <c:v>97.597259521484375</c:v>
                </c:pt>
                <c:pt idx="489">
                  <c:v>101.11402130126953</c:v>
                </c:pt>
                <c:pt idx="490">
                  <c:v>98.615028381347656</c:v>
                </c:pt>
                <c:pt idx="491">
                  <c:v>99.623710632324219</c:v>
                </c:pt>
                <c:pt idx="492">
                  <c:v>103.04961395263672</c:v>
                </c:pt>
                <c:pt idx="493">
                  <c:v>101.00498199462891</c:v>
                </c:pt>
                <c:pt idx="494">
                  <c:v>99.105743408203125</c:v>
                </c:pt>
                <c:pt idx="495">
                  <c:v>99.932685852050781</c:v>
                </c:pt>
                <c:pt idx="496">
                  <c:v>99.114830017089844</c:v>
                </c:pt>
                <c:pt idx="497">
                  <c:v>98.851295471191406</c:v>
                </c:pt>
                <c:pt idx="498">
                  <c:v>100.84141540527344</c:v>
                </c:pt>
                <c:pt idx="499">
                  <c:v>101.21398162841797</c:v>
                </c:pt>
                <c:pt idx="500">
                  <c:v>101.97731781005859</c:v>
                </c:pt>
                <c:pt idx="501">
                  <c:v>102.51346588134766</c:v>
                </c:pt>
                <c:pt idx="502">
                  <c:v>98.5877685546875</c:v>
                </c:pt>
                <c:pt idx="503">
                  <c:v>99.923591613769531</c:v>
                </c:pt>
                <c:pt idx="504">
                  <c:v>102.29537200927734</c:v>
                </c:pt>
                <c:pt idx="505">
                  <c:v>103.40402221679688</c:v>
                </c:pt>
                <c:pt idx="506">
                  <c:v>102.84060668945313</c:v>
                </c:pt>
                <c:pt idx="507">
                  <c:v>103.53123474121094</c:v>
                </c:pt>
                <c:pt idx="508">
                  <c:v>104.43996429443359</c:v>
                </c:pt>
                <c:pt idx="509">
                  <c:v>105.830322265625</c:v>
                </c:pt>
                <c:pt idx="510">
                  <c:v>106.00299072265625</c:v>
                </c:pt>
                <c:pt idx="511">
                  <c:v>107.12979888916016</c:v>
                </c:pt>
                <c:pt idx="512">
                  <c:v>105.23963928222656</c:v>
                </c:pt>
                <c:pt idx="513">
                  <c:v>102.39532470703125</c:v>
                </c:pt>
                <c:pt idx="514">
                  <c:v>102.54981231689453</c:v>
                </c:pt>
                <c:pt idx="515">
                  <c:v>101.25034332275391</c:v>
                </c:pt>
                <c:pt idx="516">
                  <c:v>102.88603973388672</c:v>
                </c:pt>
                <c:pt idx="517">
                  <c:v>101.2957763671875</c:v>
                </c:pt>
                <c:pt idx="518">
                  <c:v>100.39614105224609</c:v>
                </c:pt>
                <c:pt idx="519">
                  <c:v>101.50476837158203</c:v>
                </c:pt>
                <c:pt idx="520">
                  <c:v>103.21318817138672</c:v>
                </c:pt>
                <c:pt idx="521">
                  <c:v>104.93977355957031</c:v>
                </c:pt>
                <c:pt idx="522">
                  <c:v>102.77700042724609</c:v>
                </c:pt>
                <c:pt idx="523">
                  <c:v>103.41310119628906</c:v>
                </c:pt>
                <c:pt idx="524">
                  <c:v>102.37716674804688</c:v>
                </c:pt>
                <c:pt idx="525">
                  <c:v>101.45025634765625</c:v>
                </c:pt>
                <c:pt idx="526">
                  <c:v>104.50357818603516</c:v>
                </c:pt>
                <c:pt idx="527">
                  <c:v>103.41310119628906</c:v>
                </c:pt>
                <c:pt idx="528">
                  <c:v>103.33132171630859</c:v>
                </c:pt>
                <c:pt idx="529">
                  <c:v>104.88523864746094</c:v>
                </c:pt>
                <c:pt idx="530">
                  <c:v>107.47512054443359</c:v>
                </c:pt>
                <c:pt idx="531">
                  <c:v>103.85838317871094</c:v>
                </c:pt>
                <c:pt idx="532">
                  <c:v>102.52255249023438</c:v>
                </c:pt>
                <c:pt idx="533">
                  <c:v>101.17763519287109</c:v>
                </c:pt>
                <c:pt idx="534">
                  <c:v>103.88563537597656</c:v>
                </c:pt>
                <c:pt idx="535">
                  <c:v>102.68611907958984</c:v>
                </c:pt>
                <c:pt idx="536">
                  <c:v>104.58536529541016</c:v>
                </c:pt>
                <c:pt idx="537">
                  <c:v>104.91251373291016</c:v>
                </c:pt>
                <c:pt idx="538">
                  <c:v>103.96743011474609</c:v>
                </c:pt>
                <c:pt idx="539">
                  <c:v>102.19540405273438</c:v>
                </c:pt>
                <c:pt idx="540">
                  <c:v>102.50438690185547</c:v>
                </c:pt>
                <c:pt idx="541">
                  <c:v>102.43167877197266</c:v>
                </c:pt>
                <c:pt idx="542">
                  <c:v>101.80464935302734</c:v>
                </c:pt>
                <c:pt idx="543">
                  <c:v>100.04172515869141</c:v>
                </c:pt>
                <c:pt idx="544">
                  <c:v>102.78608703613281</c:v>
                </c:pt>
                <c:pt idx="545">
                  <c:v>102.66795349121094</c:v>
                </c:pt>
                <c:pt idx="546">
                  <c:v>104.45813751220703</c:v>
                </c:pt>
                <c:pt idx="547">
                  <c:v>101.55930328369141</c:v>
                </c:pt>
                <c:pt idx="548">
                  <c:v>102.09545135498047</c:v>
                </c:pt>
                <c:pt idx="549">
                  <c:v>101.75923156738281</c:v>
                </c:pt>
                <c:pt idx="550">
                  <c:v>104.36726379394531</c:v>
                </c:pt>
                <c:pt idx="551">
                  <c:v>107.81134796142578</c:v>
                </c:pt>
                <c:pt idx="552">
                  <c:v>112.69121551513672</c:v>
                </c:pt>
                <c:pt idx="553">
                  <c:v>112.12779235839844</c:v>
                </c:pt>
                <c:pt idx="554">
                  <c:v>112.15505218505859</c:v>
                </c:pt>
                <c:pt idx="555">
                  <c:v>112.78207397460938</c:v>
                </c:pt>
                <c:pt idx="556">
                  <c:v>112.23685455322266</c:v>
                </c:pt>
                <c:pt idx="557">
                  <c:v>111.4735107421875</c:v>
                </c:pt>
                <c:pt idx="558">
                  <c:v>110.46482086181641</c:v>
                </c:pt>
                <c:pt idx="559">
                  <c:v>110.90101623535156</c:v>
                </c:pt>
                <c:pt idx="560">
                  <c:v>110.13767242431641</c:v>
                </c:pt>
                <c:pt idx="561">
                  <c:v>110.74653625488281</c:v>
                </c:pt>
                <c:pt idx="562">
                  <c:v>109.73784637451172</c:v>
                </c:pt>
                <c:pt idx="563">
                  <c:v>112.71846008300781</c:v>
                </c:pt>
                <c:pt idx="564">
                  <c:v>112.55490112304688</c:v>
                </c:pt>
                <c:pt idx="565">
                  <c:v>113.50906372070313</c:v>
                </c:pt>
                <c:pt idx="566">
                  <c:v>114.21786499023438</c:v>
                </c:pt>
                <c:pt idx="567">
                  <c:v>114.69039916992188</c:v>
                </c:pt>
                <c:pt idx="568">
                  <c:v>114.84488677978516</c:v>
                </c:pt>
                <c:pt idx="569">
                  <c:v>114.78128051757813</c:v>
                </c:pt>
                <c:pt idx="570">
                  <c:v>113.25460052490234</c:v>
                </c:pt>
                <c:pt idx="571">
                  <c:v>114.24513244628906</c:v>
                </c:pt>
                <c:pt idx="572">
                  <c:v>113.09104156494141</c:v>
                </c:pt>
                <c:pt idx="573">
                  <c:v>114.40870666503906</c:v>
                </c:pt>
                <c:pt idx="574">
                  <c:v>113.22734832763672</c:v>
                </c:pt>
                <c:pt idx="575">
                  <c:v>114.08156585693359</c:v>
                </c:pt>
                <c:pt idx="576">
                  <c:v>113.34548950195313</c:v>
                </c:pt>
                <c:pt idx="577">
                  <c:v>111.93695831298828</c:v>
                </c:pt>
                <c:pt idx="578">
                  <c:v>111.70069122314453</c:v>
                </c:pt>
                <c:pt idx="579">
                  <c:v>111.10093688964844</c:v>
                </c:pt>
                <c:pt idx="580">
                  <c:v>109.71967315673828</c:v>
                </c:pt>
                <c:pt idx="581">
                  <c:v>114.817626953125</c:v>
                </c:pt>
                <c:pt idx="582">
                  <c:v>113.00925445556641</c:v>
                </c:pt>
                <c:pt idx="583">
                  <c:v>113.87254333496094</c:v>
                </c:pt>
                <c:pt idx="584">
                  <c:v>113.49996948242188</c:v>
                </c:pt>
                <c:pt idx="585">
                  <c:v>116.48968505859375</c:v>
                </c:pt>
                <c:pt idx="586">
                  <c:v>114.85398101806641</c:v>
                </c:pt>
                <c:pt idx="587">
                  <c:v>114.96302032470703</c:v>
                </c:pt>
                <c:pt idx="588">
                  <c:v>112.51854705810547</c:v>
                </c:pt>
                <c:pt idx="589">
                  <c:v>113.77259826660156</c:v>
                </c:pt>
                <c:pt idx="590">
                  <c:v>113.80893707275391</c:v>
                </c:pt>
                <c:pt idx="591">
                  <c:v>110.52843475341797</c:v>
                </c:pt>
                <c:pt idx="592">
                  <c:v>109.99228668212891</c:v>
                </c:pt>
                <c:pt idx="593">
                  <c:v>106.3028564453125</c:v>
                </c:pt>
                <c:pt idx="594">
                  <c:v>104.65806579589844</c:v>
                </c:pt>
                <c:pt idx="595">
                  <c:v>105.48499298095703</c:v>
                </c:pt>
                <c:pt idx="596">
                  <c:v>105.40321350097656</c:v>
                </c:pt>
                <c:pt idx="597">
                  <c:v>106.59365081787109</c:v>
                </c:pt>
                <c:pt idx="598">
                  <c:v>106.64817810058594</c:v>
                </c:pt>
                <c:pt idx="599">
                  <c:v>109.9559326171875</c:v>
                </c:pt>
                <c:pt idx="600">
                  <c:v>110.63747406005859</c:v>
                </c:pt>
                <c:pt idx="601">
                  <c:v>112.14597320556641</c:v>
                </c:pt>
                <c:pt idx="602">
                  <c:v>110.97371673583984</c:v>
                </c:pt>
                <c:pt idx="603">
                  <c:v>109.565185546875</c:v>
                </c:pt>
                <c:pt idx="604">
                  <c:v>108.80184936523438</c:v>
                </c:pt>
                <c:pt idx="605">
                  <c:v>108.42018890380859</c:v>
                </c:pt>
                <c:pt idx="606">
                  <c:v>106.73905181884766</c:v>
                </c:pt>
                <c:pt idx="607">
                  <c:v>108.95634460449219</c:v>
                </c:pt>
                <c:pt idx="608">
                  <c:v>107.46602630615234</c:v>
                </c:pt>
                <c:pt idx="609">
                  <c:v>109.02903747558594</c:v>
                </c:pt>
                <c:pt idx="610">
                  <c:v>109.63789367675781</c:v>
                </c:pt>
                <c:pt idx="611">
                  <c:v>110.34669494628906</c:v>
                </c:pt>
                <c:pt idx="612">
                  <c:v>108.32932281494141</c:v>
                </c:pt>
                <c:pt idx="613">
                  <c:v>109.93775939941406</c:v>
                </c:pt>
                <c:pt idx="614">
                  <c:v>109.74693298339844</c:v>
                </c:pt>
                <c:pt idx="615">
                  <c:v>111.58256530761719</c:v>
                </c:pt>
                <c:pt idx="616">
                  <c:v>113.16374206542969</c:v>
                </c:pt>
                <c:pt idx="617">
                  <c:v>112.88204193115234</c:v>
                </c:pt>
                <c:pt idx="618">
                  <c:v>112.21866607666016</c:v>
                </c:pt>
                <c:pt idx="619">
                  <c:v>113.24552917480469</c:v>
                </c:pt>
                <c:pt idx="620">
                  <c:v>115.58095550537109</c:v>
                </c:pt>
                <c:pt idx="621">
                  <c:v>112.71846008300781</c:v>
                </c:pt>
                <c:pt idx="622">
                  <c:v>112.16414642333984</c:v>
                </c:pt>
                <c:pt idx="623">
                  <c:v>115.11750793457031</c:v>
                </c:pt>
                <c:pt idx="624">
                  <c:v>116.79865264892578</c:v>
                </c:pt>
                <c:pt idx="625">
                  <c:v>116.37154388427734</c:v>
                </c:pt>
                <c:pt idx="626">
                  <c:v>116.63507843017578</c:v>
                </c:pt>
                <c:pt idx="627">
                  <c:v>118.27988433837891</c:v>
                </c:pt>
                <c:pt idx="628">
                  <c:v>119.42486572265625</c:v>
                </c:pt>
                <c:pt idx="629">
                  <c:v>119.72474670410156</c:v>
                </c:pt>
                <c:pt idx="630">
                  <c:v>120.85157012939453</c:v>
                </c:pt>
                <c:pt idx="631">
                  <c:v>120.63347625732422</c:v>
                </c:pt>
                <c:pt idx="632">
                  <c:v>121.62397003173828</c:v>
                </c:pt>
                <c:pt idx="633">
                  <c:v>120.02463531494141</c:v>
                </c:pt>
                <c:pt idx="634">
                  <c:v>120.18821716308594</c:v>
                </c:pt>
                <c:pt idx="635">
                  <c:v>120.90610504150391</c:v>
                </c:pt>
                <c:pt idx="636">
                  <c:v>118.16173553466797</c:v>
                </c:pt>
                <c:pt idx="637">
                  <c:v>119.14318084716797</c:v>
                </c:pt>
                <c:pt idx="638">
                  <c:v>117.56196594238281</c:v>
                </c:pt>
                <c:pt idx="639">
                  <c:v>119.82472229003906</c:v>
                </c:pt>
                <c:pt idx="640">
                  <c:v>119.83380126953125</c:v>
                </c:pt>
                <c:pt idx="641">
                  <c:v>121.36953735351563</c:v>
                </c:pt>
                <c:pt idx="642">
                  <c:v>121.45132446289063</c:v>
                </c:pt>
                <c:pt idx="643">
                  <c:v>122.35096740722656</c:v>
                </c:pt>
                <c:pt idx="644">
                  <c:v>120.55168914794922</c:v>
                </c:pt>
                <c:pt idx="645">
                  <c:v>118.65245819091797</c:v>
                </c:pt>
                <c:pt idx="646">
                  <c:v>117.94362640380859</c:v>
                </c:pt>
                <c:pt idx="647">
                  <c:v>118.83420562744141</c:v>
                </c:pt>
                <c:pt idx="648">
                  <c:v>119.03411102294922</c:v>
                </c:pt>
                <c:pt idx="649">
                  <c:v>119.27947235107422</c:v>
                </c:pt>
                <c:pt idx="650">
                  <c:v>120.96970367431641</c:v>
                </c:pt>
                <c:pt idx="651">
                  <c:v>121.8330078125</c:v>
                </c:pt>
                <c:pt idx="652">
                  <c:v>121.66033172607422</c:v>
                </c:pt>
                <c:pt idx="653">
                  <c:v>123.45053100585938</c:v>
                </c:pt>
                <c:pt idx="654">
                  <c:v>122.72354888916016</c:v>
                </c:pt>
                <c:pt idx="655">
                  <c:v>123.13246917724609</c:v>
                </c:pt>
                <c:pt idx="656">
                  <c:v>124.04121398925781</c:v>
                </c:pt>
                <c:pt idx="657">
                  <c:v>122.93254089355469</c:v>
                </c:pt>
                <c:pt idx="658">
                  <c:v>122.82351684570313</c:v>
                </c:pt>
                <c:pt idx="659">
                  <c:v>122.123779296875</c:v>
                </c:pt>
                <c:pt idx="660">
                  <c:v>119.85196685791016</c:v>
                </c:pt>
                <c:pt idx="661">
                  <c:v>117.77098083496094</c:v>
                </c:pt>
                <c:pt idx="662">
                  <c:v>114.96302032470703</c:v>
                </c:pt>
                <c:pt idx="663">
                  <c:v>117.28028106689453</c:v>
                </c:pt>
                <c:pt idx="664">
                  <c:v>116.84408569335938</c:v>
                </c:pt>
                <c:pt idx="665">
                  <c:v>119.35216522216797</c:v>
                </c:pt>
                <c:pt idx="666">
                  <c:v>118.56157684326172</c:v>
                </c:pt>
                <c:pt idx="667">
                  <c:v>118.73424530029297</c:v>
                </c:pt>
                <c:pt idx="668">
                  <c:v>122.03291320800781</c:v>
                </c:pt>
                <c:pt idx="669">
                  <c:v>120.67891693115234</c:v>
                </c:pt>
                <c:pt idx="670">
                  <c:v>120.18821716308594</c:v>
                </c:pt>
                <c:pt idx="671">
                  <c:v>123.67771911621094</c:v>
                </c:pt>
                <c:pt idx="672">
                  <c:v>122.66901397705078</c:v>
                </c:pt>
                <c:pt idx="673">
                  <c:v>122.33278656005859</c:v>
                </c:pt>
                <c:pt idx="674">
                  <c:v>120.66073608398438</c:v>
                </c:pt>
                <c:pt idx="675">
                  <c:v>122.01473236083984</c:v>
                </c:pt>
                <c:pt idx="676">
                  <c:v>125.3861083984375</c:v>
                </c:pt>
                <c:pt idx="677">
                  <c:v>128.72113037109375</c:v>
                </c:pt>
                <c:pt idx="678">
                  <c:v>128.92106628417969</c:v>
                </c:pt>
                <c:pt idx="679">
                  <c:v>129.43904113769531</c:v>
                </c:pt>
                <c:pt idx="680">
                  <c:v>126.24031829833984</c:v>
                </c:pt>
                <c:pt idx="681">
                  <c:v>126.94911193847656</c:v>
                </c:pt>
                <c:pt idx="682">
                  <c:v>130.19328308105469</c:v>
                </c:pt>
                <c:pt idx="683">
                  <c:v>128.88471984863281</c:v>
                </c:pt>
                <c:pt idx="684">
                  <c:v>126.15855407714844</c:v>
                </c:pt>
                <c:pt idx="685">
                  <c:v>126.24940490722656</c:v>
                </c:pt>
                <c:pt idx="686">
                  <c:v>123.79583740234375</c:v>
                </c:pt>
                <c:pt idx="687">
                  <c:v>121.21505737304688</c:v>
                </c:pt>
                <c:pt idx="688">
                  <c:v>120.46080017089844</c:v>
                </c:pt>
                <c:pt idx="689">
                  <c:v>118.95233154296875</c:v>
                </c:pt>
                <c:pt idx="690">
                  <c:v>119.77927398681641</c:v>
                </c:pt>
                <c:pt idx="691">
                  <c:v>119.34307861328125</c:v>
                </c:pt>
                <c:pt idx="692">
                  <c:v>119.41577911376953</c:v>
                </c:pt>
                <c:pt idx="693">
                  <c:v>118.13447570800781</c:v>
                </c:pt>
                <c:pt idx="694">
                  <c:v>119.26130676269531</c:v>
                </c:pt>
                <c:pt idx="695">
                  <c:v>118.36167144775391</c:v>
                </c:pt>
                <c:pt idx="696">
                  <c:v>119.57935333251953</c:v>
                </c:pt>
                <c:pt idx="697">
                  <c:v>120.19728851318359</c:v>
                </c:pt>
                <c:pt idx="698">
                  <c:v>119.99736022949219</c:v>
                </c:pt>
                <c:pt idx="699">
                  <c:v>121.93294525146484</c:v>
                </c:pt>
                <c:pt idx="700">
                  <c:v>121.8148193359375</c:v>
                </c:pt>
                <c:pt idx="701">
                  <c:v>120.17002868652344</c:v>
                </c:pt>
                <c:pt idx="702">
                  <c:v>120.14277648925781</c:v>
                </c:pt>
                <c:pt idx="703">
                  <c:v>120.397216796875</c:v>
                </c:pt>
                <c:pt idx="704">
                  <c:v>121.08783721923828</c:v>
                </c:pt>
                <c:pt idx="705">
                  <c:v>124.86813354492188</c:v>
                </c:pt>
                <c:pt idx="706">
                  <c:v>126.01313781738281</c:v>
                </c:pt>
                <c:pt idx="707">
                  <c:v>127.93054962158203</c:v>
                </c:pt>
                <c:pt idx="708">
                  <c:v>128.1123046875</c:v>
                </c:pt>
                <c:pt idx="709">
                  <c:v>127.91236114501953</c:v>
                </c:pt>
                <c:pt idx="710">
                  <c:v>129.03010559082031</c:v>
                </c:pt>
                <c:pt idx="711">
                  <c:v>127.66703796386719</c:v>
                </c:pt>
                <c:pt idx="712">
                  <c:v>129.57534790039063</c:v>
                </c:pt>
                <c:pt idx="713">
                  <c:v>128.51214599609375</c:v>
                </c:pt>
                <c:pt idx="714">
                  <c:v>128.85743713378906</c:v>
                </c:pt>
                <c:pt idx="715">
                  <c:v>130.33866882324219</c:v>
                </c:pt>
                <c:pt idx="716">
                  <c:v>129.48448181152344</c:v>
                </c:pt>
                <c:pt idx="717">
                  <c:v>129.98428344726563</c:v>
                </c:pt>
                <c:pt idx="718">
                  <c:v>131.91078186035156</c:v>
                </c:pt>
                <c:pt idx="719">
                  <c:v>130.66581726074219</c:v>
                </c:pt>
                <c:pt idx="720">
                  <c:v>129.875244140625</c:v>
                </c:pt>
                <c:pt idx="721">
                  <c:v>130.30232238769531</c:v>
                </c:pt>
                <c:pt idx="722">
                  <c:v>131.52912902832031</c:v>
                </c:pt>
                <c:pt idx="723">
                  <c:v>131.61090087890625</c:v>
                </c:pt>
                <c:pt idx="724">
                  <c:v>133.48286437988281</c:v>
                </c:pt>
                <c:pt idx="725">
                  <c:v>134.26437377929688</c:v>
                </c:pt>
                <c:pt idx="726">
                  <c:v>135.94554138183594</c:v>
                </c:pt>
                <c:pt idx="727">
                  <c:v>135.75468444824219</c:v>
                </c:pt>
                <c:pt idx="728">
                  <c:v>137.36312866210938</c:v>
                </c:pt>
                <c:pt idx="729">
                  <c:v>137.06326293945313</c:v>
                </c:pt>
                <c:pt idx="730">
                  <c:v>136.97239685058594</c:v>
                </c:pt>
                <c:pt idx="731">
                  <c:v>137.17228698730469</c:v>
                </c:pt>
                <c:pt idx="732">
                  <c:v>136.86332702636719</c:v>
                </c:pt>
                <c:pt idx="733">
                  <c:v>136.76338195800781</c:v>
                </c:pt>
                <c:pt idx="734">
                  <c:v>137.00874328613281</c:v>
                </c:pt>
                <c:pt idx="735">
                  <c:v>136.59979248046875</c:v>
                </c:pt>
                <c:pt idx="736">
                  <c:v>136.92694091796875</c:v>
                </c:pt>
                <c:pt idx="737">
                  <c:v>138.21734619140625</c:v>
                </c:pt>
                <c:pt idx="738">
                  <c:v>138.698974609375</c:v>
                </c:pt>
                <c:pt idx="739">
                  <c:v>137.21774291992188</c:v>
                </c:pt>
                <c:pt idx="740">
                  <c:v>135.26399230957031</c:v>
                </c:pt>
                <c:pt idx="741">
                  <c:v>138.36016845703125</c:v>
                </c:pt>
                <c:pt idx="742">
                  <c:v>141.28683471679688</c:v>
                </c:pt>
                <c:pt idx="743">
                  <c:v>143.14498901367188</c:v>
                </c:pt>
                <c:pt idx="744">
                  <c:v>144.21345520019531</c:v>
                </c:pt>
                <c:pt idx="745">
                  <c:v>145.63493347167969</c:v>
                </c:pt>
                <c:pt idx="746">
                  <c:v>148.63591003417969</c:v>
                </c:pt>
                <c:pt idx="747">
                  <c:v>149.28627014160156</c:v>
                </c:pt>
                <c:pt idx="748">
                  <c:v>147.44668579101563</c:v>
                </c:pt>
                <c:pt idx="749">
                  <c:v>147.99484252929688</c:v>
                </c:pt>
                <c:pt idx="750">
                  <c:v>144.78948974609375</c:v>
                </c:pt>
                <c:pt idx="751">
                  <c:v>144.00904846191406</c:v>
                </c:pt>
                <c:pt idx="752">
                  <c:v>144.32492065429688</c:v>
                </c:pt>
                <c:pt idx="753">
                  <c:v>144.77090454101563</c:v>
                </c:pt>
                <c:pt idx="754">
                  <c:v>145.76504516601563</c:v>
                </c:pt>
                <c:pt idx="755">
                  <c:v>146.30389404296875</c:v>
                </c:pt>
                <c:pt idx="756">
                  <c:v>143.24717712402344</c:v>
                </c:pt>
                <c:pt idx="757">
                  <c:v>142.21591186523438</c:v>
                </c:pt>
                <c:pt idx="758">
                  <c:v>141.14744567871094</c:v>
                </c:pt>
                <c:pt idx="759">
                  <c:v>141.46334838867188</c:v>
                </c:pt>
                <c:pt idx="760">
                  <c:v>139.36358642578125</c:v>
                </c:pt>
                <c:pt idx="761">
                  <c:v>135.647216796875</c:v>
                </c:pt>
                <c:pt idx="762">
                  <c:v>138.06288146972656</c:v>
                </c:pt>
                <c:pt idx="763">
                  <c:v>136.23257446289063</c:v>
                </c:pt>
                <c:pt idx="764">
                  <c:v>136.06532287597656</c:v>
                </c:pt>
                <c:pt idx="765">
                  <c:v>136.20469665527344</c:v>
                </c:pt>
                <c:pt idx="766">
                  <c:v>137.63548278808594</c:v>
                </c:pt>
                <c:pt idx="767">
                  <c:v>137.15237426757813</c:v>
                </c:pt>
                <c:pt idx="768">
                  <c:v>140.33914184570313</c:v>
                </c:pt>
                <c:pt idx="769">
                  <c:v>142.17874145507813</c:v>
                </c:pt>
                <c:pt idx="770">
                  <c:v>142.19731140136719</c:v>
                </c:pt>
                <c:pt idx="771">
                  <c:v>141.41690063476563</c:v>
                </c:pt>
                <c:pt idx="772">
                  <c:v>141.29611206054688</c:v>
                </c:pt>
                <c:pt idx="773">
                  <c:v>140.95234680175781</c:v>
                </c:pt>
                <c:pt idx="774">
                  <c:v>140.47850036621094</c:v>
                </c:pt>
                <c:pt idx="775">
                  <c:v>139.42863464355469</c:v>
                </c:pt>
                <c:pt idx="776">
                  <c:v>140.80368041992188</c:v>
                </c:pt>
                <c:pt idx="777">
                  <c:v>140.72006225585938</c:v>
                </c:pt>
                <c:pt idx="778">
                  <c:v>140.51567077636719</c:v>
                </c:pt>
                <c:pt idx="779">
                  <c:v>140.76651000976563</c:v>
                </c:pt>
                <c:pt idx="780">
                  <c:v>138.76898193359375</c:v>
                </c:pt>
                <c:pt idx="781">
                  <c:v>136.60420227050781</c:v>
                </c:pt>
                <c:pt idx="782">
                  <c:v>134.59736633300781</c:v>
                </c:pt>
                <c:pt idx="783">
                  <c:v>133.52891540527344</c:v>
                </c:pt>
                <c:pt idx="784">
                  <c:v>132.46046447753906</c:v>
                </c:pt>
                <c:pt idx="785">
                  <c:v>132.80421447753906</c:v>
                </c:pt>
                <c:pt idx="786">
                  <c:v>133.90054321289063</c:v>
                </c:pt>
                <c:pt idx="787">
                  <c:v>130.5465087890625</c:v>
                </c:pt>
                <c:pt idx="788">
                  <c:v>132.60911560058594</c:v>
                </c:pt>
                <c:pt idx="789">
                  <c:v>130.44430541992188</c:v>
                </c:pt>
                <c:pt idx="790">
                  <c:v>130.03553771972656</c:v>
                </c:pt>
                <c:pt idx="791">
                  <c:v>128.36317443847656</c:v>
                </c:pt>
                <c:pt idx="792">
                  <c:v>128.35386657714844</c:v>
                </c:pt>
                <c:pt idx="793">
                  <c:v>130.00764465332031</c:v>
                </c:pt>
                <c:pt idx="794">
                  <c:v>133.13870239257813</c:v>
                </c:pt>
                <c:pt idx="795">
                  <c:v>131.31768798828125</c:v>
                </c:pt>
                <c:pt idx="796">
                  <c:v>130.12843322753906</c:v>
                </c:pt>
                <c:pt idx="797">
                  <c:v>130.5465087890625</c:v>
                </c:pt>
                <c:pt idx="798">
                  <c:v>129.75679016113281</c:v>
                </c:pt>
                <c:pt idx="799">
                  <c:v>129.65460205078125</c:v>
                </c:pt>
                <c:pt idx="800">
                  <c:v>131.73574829101563</c:v>
                </c:pt>
                <c:pt idx="801">
                  <c:v>127.96366119384766</c:v>
                </c:pt>
                <c:pt idx="802">
                  <c:v>129.1064453125</c:v>
                </c:pt>
                <c:pt idx="803">
                  <c:v>133.18515014648438</c:v>
                </c:pt>
                <c:pt idx="804">
                  <c:v>131.30836486816406</c:v>
                </c:pt>
                <c:pt idx="805">
                  <c:v>131.43844604492188</c:v>
                </c:pt>
                <c:pt idx="806">
                  <c:v>131.08540344238281</c:v>
                </c:pt>
                <c:pt idx="807">
                  <c:v>131.1968994140625</c:v>
                </c:pt>
                <c:pt idx="808">
                  <c:v>130.5372314453125</c:v>
                </c:pt>
                <c:pt idx="809">
                  <c:v>130.07267761230469</c:v>
                </c:pt>
                <c:pt idx="810">
                  <c:v>128.95777893066406</c:v>
                </c:pt>
                <c:pt idx="811">
                  <c:v>130.07267761230469</c:v>
                </c:pt>
                <c:pt idx="812">
                  <c:v>128.74411010742188</c:v>
                </c:pt>
                <c:pt idx="813">
                  <c:v>130.37928771972656</c:v>
                </c:pt>
                <c:pt idx="814">
                  <c:v>130.76950073242188</c:v>
                </c:pt>
                <c:pt idx="815">
                  <c:v>130.39788818359375</c:v>
                </c:pt>
                <c:pt idx="816">
                  <c:v>131.02964782714844</c:v>
                </c:pt>
                <c:pt idx="817">
                  <c:v>132.23745727539063</c:v>
                </c:pt>
                <c:pt idx="818">
                  <c:v>133.73329162597656</c:v>
                </c:pt>
                <c:pt idx="819">
                  <c:v>134.69027709960938</c:v>
                </c:pt>
                <c:pt idx="820">
                  <c:v>137.35676574707031</c:v>
                </c:pt>
                <c:pt idx="821">
                  <c:v>135.19197082519531</c:v>
                </c:pt>
                <c:pt idx="822">
                  <c:v>135.12693786621094</c:v>
                </c:pt>
                <c:pt idx="823">
                  <c:v>135.7215576171875</c:v>
                </c:pt>
                <c:pt idx="824">
                  <c:v>134.40226745605469</c:v>
                </c:pt>
                <c:pt idx="825">
                  <c:v>135.647216796875</c:v>
                </c:pt>
                <c:pt idx="826">
                  <c:v>135.2198486328125</c:v>
                </c:pt>
                <c:pt idx="827">
                  <c:v>137.18023681640625</c:v>
                </c:pt>
                <c:pt idx="828">
                  <c:v>138.72251892089844</c:v>
                </c:pt>
                <c:pt idx="829">
                  <c:v>134.43940734863281</c:v>
                </c:pt>
                <c:pt idx="830">
                  <c:v>134.45799255371094</c:v>
                </c:pt>
                <c:pt idx="831">
                  <c:v>131.10397338867188</c:v>
                </c:pt>
                <c:pt idx="832">
                  <c:v>134.78318786621094</c:v>
                </c:pt>
                <c:pt idx="833">
                  <c:v>136.02815246582031</c:v>
                </c:pt>
                <c:pt idx="834">
                  <c:v>134.50445556640625</c:v>
                </c:pt>
                <c:pt idx="835">
                  <c:v>133.08294677734375</c:v>
                </c:pt>
                <c:pt idx="836">
                  <c:v>132.33036804199219</c:v>
                </c:pt>
                <c:pt idx="837">
                  <c:v>127.60131072998047</c:v>
                </c:pt>
                <c:pt idx="838">
                  <c:v>127.61989593505859</c:v>
                </c:pt>
                <c:pt idx="839">
                  <c:v>128.23309326171875</c:v>
                </c:pt>
                <c:pt idx="840">
                  <c:v>126.19837951660156</c:v>
                </c:pt>
                <c:pt idx="841">
                  <c:v>126.81158447265625</c:v>
                </c:pt>
                <c:pt idx="842">
                  <c:v>129.38516235351563</c:v>
                </c:pt>
                <c:pt idx="843">
                  <c:v>129.05998229980469</c:v>
                </c:pt>
                <c:pt idx="844">
                  <c:v>126.66292572021484</c:v>
                </c:pt>
                <c:pt idx="845">
                  <c:v>125.97539520263672</c:v>
                </c:pt>
                <c:pt idx="846">
                  <c:v>126.30986022949219</c:v>
                </c:pt>
                <c:pt idx="847">
                  <c:v>125.33432006835938</c:v>
                </c:pt>
                <c:pt idx="848">
                  <c:v>124.37736511230469</c:v>
                </c:pt>
                <c:pt idx="849">
                  <c:v>127.87075042724609</c:v>
                </c:pt>
                <c:pt idx="850">
                  <c:v>126.46781921386719</c:v>
                </c:pt>
                <c:pt idx="851">
                  <c:v>127.62915802001953</c:v>
                </c:pt>
                <c:pt idx="852">
                  <c:v>127.22039794921875</c:v>
                </c:pt>
                <c:pt idx="853">
                  <c:v>127.07171630859375</c:v>
                </c:pt>
                <c:pt idx="854">
                  <c:v>128.07514953613281</c:v>
                </c:pt>
                <c:pt idx="855">
                  <c:v>126.41207122802734</c:v>
                </c:pt>
                <c:pt idx="856">
                  <c:v>125.80815887451172</c:v>
                </c:pt>
                <c:pt idx="857">
                  <c:v>127.65704345703125</c:v>
                </c:pt>
                <c:pt idx="858">
                  <c:v>126.61647033691406</c:v>
                </c:pt>
                <c:pt idx="859">
                  <c:v>126.50498199462891</c:v>
                </c:pt>
                <c:pt idx="860">
                  <c:v>123.25316619873047</c:v>
                </c:pt>
                <c:pt idx="861">
                  <c:v>124.51673126220703</c:v>
                </c:pt>
                <c:pt idx="862">
                  <c:v>125.39008331298828</c:v>
                </c:pt>
                <c:pt idx="863">
                  <c:v>123.04875946044922</c:v>
                </c:pt>
                <c:pt idx="864">
                  <c:v>120.35440063476563</c:v>
                </c:pt>
                <c:pt idx="865">
                  <c:v>117.74365234375</c:v>
                </c:pt>
                <c:pt idx="866">
                  <c:v>120.53092193603516</c:v>
                </c:pt>
                <c:pt idx="867">
                  <c:v>123.65267181396484</c:v>
                </c:pt>
                <c:pt idx="868">
                  <c:v>125.33432006835938</c:v>
                </c:pt>
                <c:pt idx="869">
                  <c:v>128.46534729003906</c:v>
                </c:pt>
                <c:pt idx="870">
                  <c:v>126.33773040771484</c:v>
                </c:pt>
                <c:pt idx="871">
                  <c:v>129.951904296875</c:v>
                </c:pt>
                <c:pt idx="872">
                  <c:v>130.03727722167969</c:v>
                </c:pt>
                <c:pt idx="873">
                  <c:v>129.80007934570313</c:v>
                </c:pt>
                <c:pt idx="874">
                  <c:v>134.87599182128906</c:v>
                </c:pt>
                <c:pt idx="875">
                  <c:v>136.6217041015625</c:v>
                </c:pt>
                <c:pt idx="876">
                  <c:v>137.23838806152344</c:v>
                </c:pt>
                <c:pt idx="877">
                  <c:v>138.07330322265625</c:v>
                </c:pt>
                <c:pt idx="878">
                  <c:v>139.5628662109375</c:v>
                </c:pt>
                <c:pt idx="879">
                  <c:v>138.29151916503906</c:v>
                </c:pt>
                <c:pt idx="880">
                  <c:v>138.71847534179688</c:v>
                </c:pt>
                <c:pt idx="881">
                  <c:v>139.98031616210938</c:v>
                </c:pt>
                <c:pt idx="882">
                  <c:v>138.31048583984375</c:v>
                </c:pt>
                <c:pt idx="883">
                  <c:v>139.27822875976563</c:v>
                </c:pt>
                <c:pt idx="884">
                  <c:v>137.91203308105469</c:v>
                </c:pt>
                <c:pt idx="885">
                  <c:v>138.04486083984375</c:v>
                </c:pt>
                <c:pt idx="886">
                  <c:v>139.58184814453125</c:v>
                </c:pt>
                <c:pt idx="887">
                  <c:v>139.27822875976563</c:v>
                </c:pt>
                <c:pt idx="888">
                  <c:v>142.58940124511719</c:v>
                </c:pt>
                <c:pt idx="889">
                  <c:v>139.21182250976563</c:v>
                </c:pt>
                <c:pt idx="890">
                  <c:v>138.367431640625</c:v>
                </c:pt>
                <c:pt idx="891">
                  <c:v>137.56098937988281</c:v>
                </c:pt>
                <c:pt idx="892">
                  <c:v>139.34463500976563</c:v>
                </c:pt>
                <c:pt idx="893">
                  <c:v>139.9044189453125</c:v>
                </c:pt>
                <c:pt idx="894">
                  <c:v>142.532470703125</c:v>
                </c:pt>
                <c:pt idx="895">
                  <c:v>143.91767883300781</c:v>
                </c:pt>
                <c:pt idx="896">
                  <c:v>145.59700012207031</c:v>
                </c:pt>
                <c:pt idx="897">
                  <c:v>146.07138061523438</c:v>
                </c:pt>
                <c:pt idx="898">
                  <c:v>145.76776123046875</c:v>
                </c:pt>
                <c:pt idx="899">
                  <c:v>148.83226013183594</c:v>
                </c:pt>
                <c:pt idx="900">
                  <c:v>153.00682067871094</c:v>
                </c:pt>
                <c:pt idx="901">
                  <c:v>156.73544311523438</c:v>
                </c:pt>
                <c:pt idx="902">
                  <c:v>157.96884155273438</c:v>
                </c:pt>
                <c:pt idx="903">
                  <c:v>159.50582885742188</c:v>
                </c:pt>
                <c:pt idx="904">
                  <c:v>159.84739685058594</c:v>
                </c:pt>
                <c:pt idx="905">
                  <c:v>156.30850219726563</c:v>
                </c:pt>
                <c:pt idx="906">
                  <c:v>155.14152526855469</c:v>
                </c:pt>
                <c:pt idx="907">
                  <c:v>153.60452270507813</c:v>
                </c:pt>
                <c:pt idx="908">
                  <c:v>153.87966918945313</c:v>
                </c:pt>
                <c:pt idx="909">
                  <c:v>153.70889282226563</c:v>
                </c:pt>
                <c:pt idx="910">
                  <c:v>152.89295959472656</c:v>
                </c:pt>
                <c:pt idx="911">
                  <c:v>152.96885681152344</c:v>
                </c:pt>
                <c:pt idx="912">
                  <c:v>150.41668701171875</c:v>
                </c:pt>
                <c:pt idx="913">
                  <c:v>148.38633728027344</c:v>
                </c:pt>
                <c:pt idx="914">
                  <c:v>146.35598754882813</c:v>
                </c:pt>
                <c:pt idx="915">
                  <c:v>145.13211059570313</c:v>
                </c:pt>
                <c:pt idx="916">
                  <c:v>143.89869689941406</c:v>
                </c:pt>
                <c:pt idx="917">
                  <c:v>145.06565856933594</c:v>
                </c:pt>
                <c:pt idx="918">
                  <c:v>146.09033203125</c:v>
                </c:pt>
                <c:pt idx="919">
                  <c:v>144.09796142578125</c:v>
                </c:pt>
                <c:pt idx="920">
                  <c:v>148.95559692382813</c:v>
                </c:pt>
                <c:pt idx="921">
                  <c:v>147.80758666992188</c:v>
                </c:pt>
                <c:pt idx="922">
                  <c:v>149.27818298339844</c:v>
                </c:pt>
                <c:pt idx="923">
                  <c:v>148.35787963867188</c:v>
                </c:pt>
                <c:pt idx="924">
                  <c:v>148.39584350585938</c:v>
                </c:pt>
                <c:pt idx="925">
                  <c:v>147.77912902832031</c:v>
                </c:pt>
                <c:pt idx="926">
                  <c:v>146.36549377441406</c:v>
                </c:pt>
                <c:pt idx="927">
                  <c:v>148.92715454101563</c:v>
                </c:pt>
                <c:pt idx="928">
                  <c:v>146.82089233398438</c:v>
                </c:pt>
                <c:pt idx="929">
                  <c:v>148.53814697265625</c:v>
                </c:pt>
                <c:pt idx="930">
                  <c:v>149.40151977539063</c:v>
                </c:pt>
                <c:pt idx="931">
                  <c:v>151.36544799804688</c:v>
                </c:pt>
                <c:pt idx="932">
                  <c:v>152.02009582519531</c:v>
                </c:pt>
                <c:pt idx="933">
                  <c:v>155.19845581054688</c:v>
                </c:pt>
                <c:pt idx="934">
                  <c:v>158.95555114746094</c:v>
                </c:pt>
                <c:pt idx="935">
                  <c:v>166.19459533691406</c:v>
                </c:pt>
                <c:pt idx="936">
                  <c:v>158.67092895507813</c:v>
                </c:pt>
                <c:pt idx="937">
                  <c:v>157.98782348632813</c:v>
                </c:pt>
                <c:pt idx="938">
                  <c:v>159.22120666503906</c:v>
                </c:pt>
                <c:pt idx="939">
                  <c:v>157.97833251953125</c:v>
                </c:pt>
                <c:pt idx="940">
                  <c:v>158.76579284667969</c:v>
                </c:pt>
                <c:pt idx="941">
                  <c:v>158.57603454589844</c:v>
                </c:pt>
                <c:pt idx="942">
                  <c:v>158.99349975585938</c:v>
                </c:pt>
                <c:pt idx="943">
                  <c:v>162.579833984375</c:v>
                </c:pt>
                <c:pt idx="944">
                  <c:v>162.72213745117188</c:v>
                </c:pt>
                <c:pt idx="945">
                  <c:v>168.94602966308594</c:v>
                </c:pt>
                <c:pt idx="946">
                  <c:v>162.91189575195313</c:v>
                </c:pt>
                <c:pt idx="947">
                  <c:v>162.94036865234375</c:v>
                </c:pt>
                <c:pt idx="948">
                  <c:v>163.81321716308594</c:v>
                </c:pt>
                <c:pt idx="949">
                  <c:v>160.95744323730469</c:v>
                </c:pt>
                <c:pt idx="950">
                  <c:v>160.25535583496094</c:v>
                </c:pt>
                <c:pt idx="951">
                  <c:v>161.95362854003906</c:v>
                </c:pt>
                <c:pt idx="952">
                  <c:v>156.68800354003906</c:v>
                </c:pt>
                <c:pt idx="953">
                  <c:v>157.5513916015625</c:v>
                </c:pt>
                <c:pt idx="954">
                  <c:v>156.24209594726563</c:v>
                </c:pt>
                <c:pt idx="955">
                  <c:v>154.36355590820313</c:v>
                </c:pt>
                <c:pt idx="956">
                  <c:v>156.147216796875</c:v>
                </c:pt>
                <c:pt idx="957">
                  <c:v>154.51535034179688</c:v>
                </c:pt>
                <c:pt idx="958">
                  <c:v>154.0599365234375</c:v>
                </c:pt>
                <c:pt idx="959">
                  <c:v>152.94039916992188</c:v>
                </c:pt>
                <c:pt idx="960">
                  <c:v>153.57606506347656</c:v>
                </c:pt>
                <c:pt idx="961">
                  <c:v>156.63107299804688</c:v>
                </c:pt>
                <c:pt idx="962">
                  <c:v>158.21549987792969</c:v>
                </c:pt>
                <c:pt idx="963">
                  <c:v>158.20603942871094</c:v>
                </c:pt>
                <c:pt idx="964">
                  <c:v>155.85311889648438</c:v>
                </c:pt>
                <c:pt idx="965">
                  <c:v>153.65196228027344</c:v>
                </c:pt>
                <c:pt idx="966">
                  <c:v>155.70130920410156</c:v>
                </c:pt>
                <c:pt idx="967">
                  <c:v>153.90815734863281</c:v>
                </c:pt>
                <c:pt idx="968">
                  <c:v>153.57606506347656</c:v>
                </c:pt>
                <c:pt idx="969">
                  <c:v>150.05618286132813</c:v>
                </c:pt>
                <c:pt idx="970">
                  <c:v>151.95370483398438</c:v>
                </c:pt>
                <c:pt idx="971">
                  <c:v>151.95370483398438</c:v>
                </c:pt>
                <c:pt idx="972">
                  <c:v>152.10549926757813</c:v>
                </c:pt>
                <c:pt idx="973">
                  <c:v>149.65769958496094</c:v>
                </c:pt>
                <c:pt idx="974">
                  <c:v>147.07707214355469</c:v>
                </c:pt>
                <c:pt idx="975">
                  <c:v>150.76774597167969</c:v>
                </c:pt>
                <c:pt idx="976">
                  <c:v>149.49639892578125</c:v>
                </c:pt>
                <c:pt idx="977">
                  <c:v>148.46224975585938</c:v>
                </c:pt>
                <c:pt idx="978">
                  <c:v>147.77912902832031</c:v>
                </c:pt>
                <c:pt idx="979">
                  <c:v>146.44137573242188</c:v>
                </c:pt>
                <c:pt idx="980">
                  <c:v>148.26301574707031</c:v>
                </c:pt>
                <c:pt idx="981">
                  <c:v>156.69068908691406</c:v>
                </c:pt>
                <c:pt idx="982">
                  <c:v>153.84597778320313</c:v>
                </c:pt>
                <c:pt idx="983">
                  <c:v>153.76856994628906</c:v>
                </c:pt>
                <c:pt idx="984">
                  <c:v>151.22381591796875</c:v>
                </c:pt>
                <c:pt idx="985">
                  <c:v>154.28138732910156</c:v>
                </c:pt>
                <c:pt idx="986">
                  <c:v>155.007080078125</c:v>
                </c:pt>
                <c:pt idx="987">
                  <c:v>157.66792297363281</c:v>
                </c:pt>
                <c:pt idx="988">
                  <c:v>155.30702209472656</c:v>
                </c:pt>
                <c:pt idx="989">
                  <c:v>158.03561401367188</c:v>
                </c:pt>
                <c:pt idx="990">
                  <c:v>164.08302307128906</c:v>
                </c:pt>
                <c:pt idx="991">
                  <c:v>165.12800598144531</c:v>
                </c:pt>
                <c:pt idx="992">
                  <c:v>165.55375671386719</c:v>
                </c:pt>
                <c:pt idx="993">
                  <c:v>164.09268188476563</c:v>
                </c:pt>
                <c:pt idx="994">
                  <c:v>160.39651489257813</c:v>
                </c:pt>
                <c:pt idx="995">
                  <c:v>161.79951477050781</c:v>
                </c:pt>
                <c:pt idx="996">
                  <c:v>158.78067016601563</c:v>
                </c:pt>
                <c:pt idx="997">
                  <c:v>162.99932861328125</c:v>
                </c:pt>
                <c:pt idx="998">
                  <c:v>162.47683715820313</c:v>
                </c:pt>
                <c:pt idx="999">
                  <c:v>164.44102478027344</c:v>
                </c:pt>
                <c:pt idx="1000">
                  <c:v>162.74774169921875</c:v>
                </c:pt>
                <c:pt idx="1001">
                  <c:v>164.26686096191406</c:v>
                </c:pt>
                <c:pt idx="1002">
                  <c:v>163.87983703613281</c:v>
                </c:pt>
                <c:pt idx="1003">
                  <c:v>162.08010864257813</c:v>
                </c:pt>
                <c:pt idx="1004">
                  <c:v>158.45167541503906</c:v>
                </c:pt>
                <c:pt idx="1005">
                  <c:v>156.75839233398438</c:v>
                </c:pt>
                <c:pt idx="1006">
                  <c:v>155.82952880859375</c:v>
                </c:pt>
                <c:pt idx="1007">
                  <c:v>156.23590087890625</c:v>
                </c:pt>
                <c:pt idx="1008">
                  <c:v>154.40716552734375</c:v>
                </c:pt>
                <c:pt idx="1009">
                  <c:v>155.90695190429688</c:v>
                </c:pt>
                <c:pt idx="1010">
                  <c:v>152.94613647460938</c:v>
                </c:pt>
                <c:pt idx="1011">
                  <c:v>150.30461120605469</c:v>
                </c:pt>
                <c:pt idx="1012">
                  <c:v>152.85903930664063</c:v>
                </c:pt>
                <c:pt idx="1013">
                  <c:v>154.99740600585938</c:v>
                </c:pt>
                <c:pt idx="1014">
                  <c:v>155.92626953125</c:v>
                </c:pt>
                <c:pt idx="1015">
                  <c:v>153.31381225585938</c:v>
                </c:pt>
                <c:pt idx="1016">
                  <c:v>151.79470825195313</c:v>
                </c:pt>
                <c:pt idx="1017">
                  <c:v>156.73904418945313</c:v>
                </c:pt>
                <c:pt idx="1018">
                  <c:v>157.9678955078125</c:v>
                </c:pt>
                <c:pt idx="1019">
                  <c:v>160.00949096679688</c:v>
                </c:pt>
                <c:pt idx="1020">
                  <c:v>160.14495849609375</c:v>
                </c:pt>
                <c:pt idx="1021">
                  <c:v>156.41973876953125</c:v>
                </c:pt>
                <c:pt idx="1022">
                  <c:v>156.71002197265625</c:v>
                </c:pt>
                <c:pt idx="1023">
                  <c:v>156.43910217285156</c:v>
                </c:pt>
                <c:pt idx="1024">
                  <c:v>153.10092163085938</c:v>
                </c:pt>
                <c:pt idx="1025">
                  <c:v>151.68826293945313</c:v>
                </c:pt>
                <c:pt idx="1026">
                  <c:v>151.41734313964844</c:v>
                </c:pt>
                <c:pt idx="1027">
                  <c:v>152.49136352539063</c:v>
                </c:pt>
                <c:pt idx="1028">
                  <c:v>151.70761108398438</c:v>
                </c:pt>
                <c:pt idx="1029">
                  <c:v>150.323974609375</c:v>
                </c:pt>
                <c:pt idx="1030">
                  <c:v>146.66650390625</c:v>
                </c:pt>
                <c:pt idx="1031">
                  <c:v>147.06320190429688</c:v>
                </c:pt>
                <c:pt idx="1032">
                  <c:v>149.5595703125</c:v>
                </c:pt>
                <c:pt idx="1033">
                  <c:v>148.50489807128906</c:v>
                </c:pt>
                <c:pt idx="1034">
                  <c:v>151.41734313964844</c:v>
                </c:pt>
                <c:pt idx="1035">
                  <c:v>152.25914001464844</c:v>
                </c:pt>
                <c:pt idx="1036">
                  <c:v>147.34379577636719</c:v>
                </c:pt>
                <c:pt idx="1037">
                  <c:v>143.66697692871094</c:v>
                </c:pt>
                <c:pt idx="1038">
                  <c:v>147.52764892578125</c:v>
                </c:pt>
                <c:pt idx="1039">
                  <c:v>148.80487060546875</c:v>
                </c:pt>
                <c:pt idx="1040">
                  <c:v>143.59925842285156</c:v>
                </c:pt>
                <c:pt idx="1041">
                  <c:v>145.91177368164063</c:v>
                </c:pt>
                <c:pt idx="1042">
                  <c:v>144.46040344238281</c:v>
                </c:pt>
                <c:pt idx="1043">
                  <c:v>146.80195617675781</c:v>
                </c:pt>
                <c:pt idx="1044">
                  <c:v>148.51458740234375</c:v>
                </c:pt>
                <c:pt idx="1045">
                  <c:v>152.82032775878906</c:v>
                </c:pt>
                <c:pt idx="1046">
                  <c:v>148.26300048828125</c:v>
                </c:pt>
                <c:pt idx="1047">
                  <c:v>150.51747131347656</c:v>
                </c:pt>
                <c:pt idx="1048">
                  <c:v>150.82711791992188</c:v>
                </c:pt>
                <c:pt idx="1049">
                  <c:v>149.47247314453125</c:v>
                </c:pt>
                <c:pt idx="1050">
                  <c:v>154.91032409667969</c:v>
                </c:pt>
                <c:pt idx="1051">
                  <c:v>160.30943298339844</c:v>
                </c:pt>
                <c:pt idx="1052">
                  <c:v>154.81355285644531</c:v>
                </c:pt>
                <c:pt idx="1053">
                  <c:v>152.10430908203125</c:v>
                </c:pt>
                <c:pt idx="1054">
                  <c:v>151.78501892089844</c:v>
                </c:pt>
                <c:pt idx="1055">
                  <c:v>156.27461242675781</c:v>
                </c:pt>
                <c:pt idx="1056">
                  <c:v>158.55810546875</c:v>
                </c:pt>
                <c:pt idx="1057">
                  <c:v>161.24800109863281</c:v>
                </c:pt>
                <c:pt idx="1058">
                  <c:v>162.88320922851563</c:v>
                </c:pt>
                <c:pt idx="1059">
                  <c:v>160.52229309082031</c:v>
                </c:pt>
                <c:pt idx="1060">
                  <c:v>161.96400451660156</c:v>
                </c:pt>
                <c:pt idx="1061">
                  <c:v>159.87400817871094</c:v>
                </c:pt>
                <c:pt idx="1062">
                  <c:v>160.60940551757813</c:v>
                </c:pt>
                <c:pt idx="1063">
                  <c:v>161.36410522460938</c:v>
                </c:pt>
                <c:pt idx="1064">
                  <c:v>159.19671630859375</c:v>
                </c:pt>
                <c:pt idx="1065">
                  <c:v>160.84161376953125</c:v>
                </c:pt>
                <c:pt idx="1066">
                  <c:v>160.66744995117188</c:v>
                </c:pt>
                <c:pt idx="1067">
                  <c:v>162.49618530273438</c:v>
                </c:pt>
                <c:pt idx="1068">
                  <c:v>163.33798217773438</c:v>
                </c:pt>
                <c:pt idx="1069">
                  <c:v>163.54118347167969</c:v>
                </c:pt>
                <c:pt idx="1070">
                  <c:v>161.5576171875</c:v>
                </c:pt>
                <c:pt idx="1071">
                  <c:v>162.30267333984375</c:v>
                </c:pt>
                <c:pt idx="1072">
                  <c:v>164.67323303222656</c:v>
                </c:pt>
                <c:pt idx="1073">
                  <c:v>165.05059814453125</c:v>
                </c:pt>
                <c:pt idx="1074">
                  <c:v>165.59245300292969</c:v>
                </c:pt>
                <c:pt idx="1075">
                  <c:v>164.91513061523438</c:v>
                </c:pt>
                <c:pt idx="1076">
                  <c:v>164.32492065429688</c:v>
                </c:pt>
                <c:pt idx="1077">
                  <c:v>164.66357421875</c:v>
                </c:pt>
                <c:pt idx="1078">
                  <c:v>164.89579772949219</c:v>
                </c:pt>
                <c:pt idx="1079">
                  <c:v>162.55422973632813</c:v>
                </c:pt>
                <c:pt idx="1080">
                  <c:v>161.06416320800781</c:v>
                </c:pt>
                <c:pt idx="1081">
                  <c:v>160.76419067382813</c:v>
                </c:pt>
                <c:pt idx="1082">
                  <c:v>164.5184326171875</c:v>
                </c:pt>
                <c:pt idx="1083">
                  <c:v>168.37910461425781</c:v>
                </c:pt>
                <c:pt idx="1084">
                  <c:v>166.6761474609375</c:v>
                </c:pt>
                <c:pt idx="1085">
                  <c:v>166.1246337890625</c:v>
                </c:pt>
                <c:pt idx="1086">
                  <c:v>164.07334899902344</c:v>
                </c:pt>
                <c:pt idx="1087">
                  <c:v>162.69935607910156</c:v>
                </c:pt>
                <c:pt idx="1088">
                  <c:v>162.18655395507813</c:v>
                </c:pt>
                <c:pt idx="1089">
                  <c:v>161.18026733398438</c:v>
                </c:pt>
                <c:pt idx="1090">
                  <c:v>162.75743103027344</c:v>
                </c:pt>
                <c:pt idx="1091">
                  <c:v>168.64033508300781</c:v>
                </c:pt>
                <c:pt idx="1092">
                  <c:v>169.48214721679688</c:v>
                </c:pt>
                <c:pt idx="1093">
                  <c:v>171.35926818847656</c:v>
                </c:pt>
                <c:pt idx="1094">
                  <c:v>169.32731628417969</c:v>
                </c:pt>
                <c:pt idx="1095">
                  <c:v>168.85322570800781</c:v>
                </c:pt>
                <c:pt idx="1096">
                  <c:v>172.8203125</c:v>
                </c:pt>
                <c:pt idx="1097">
                  <c:v>171.11738586425781</c:v>
                </c:pt>
                <c:pt idx="1098">
                  <c:v>174.48455810546875</c:v>
                </c:pt>
                <c:pt idx="1099">
                  <c:v>172.58808898925781</c:v>
                </c:pt>
                <c:pt idx="1100">
                  <c:v>168.34039306640625</c:v>
                </c:pt>
                <c:pt idx="1101">
                  <c:v>167.48892211914063</c:v>
                </c:pt>
                <c:pt idx="1102">
                  <c:v>165.57308959960938</c:v>
                </c:pt>
                <c:pt idx="1103">
                  <c:v>165.35057067871094</c:v>
                </c:pt>
                <c:pt idx="1104">
                  <c:v>162.56390380859375</c:v>
                </c:pt>
                <c:pt idx="1105">
                  <c:v>163.51216125488281</c:v>
                </c:pt>
                <c:pt idx="1106">
                  <c:v>162.79612731933594</c:v>
                </c:pt>
                <c:pt idx="1107">
                  <c:v>166.18269348144531</c:v>
                </c:pt>
                <c:pt idx="1108">
                  <c:v>165.59245300292969</c:v>
                </c:pt>
                <c:pt idx="1109">
                  <c:v>163.13479614257813</c:v>
                </c:pt>
                <c:pt idx="1110">
                  <c:v>165.48602294921875</c:v>
                </c:pt>
                <c:pt idx="1111">
                  <c:v>169.18220520019531</c:v>
                </c:pt>
                <c:pt idx="1112">
                  <c:v>166.5697021484375</c:v>
                </c:pt>
                <c:pt idx="1113">
                  <c:v>167.19865417480469</c:v>
                </c:pt>
                <c:pt idx="1114">
                  <c:v>166.9664306640625</c:v>
                </c:pt>
                <c:pt idx="1115">
                  <c:v>163.96693420410156</c:v>
                </c:pt>
                <c:pt idx="1116">
                  <c:v>163.38636779785156</c:v>
                </c:pt>
                <c:pt idx="1117">
                  <c:v>164.14106750488281</c:v>
                </c:pt>
                <c:pt idx="1118">
                  <c:v>166.95675659179688</c:v>
                </c:pt>
                <c:pt idx="1119">
                  <c:v>164.53779602050781</c:v>
                </c:pt>
                <c:pt idx="1120">
                  <c:v>164.66357421875</c:v>
                </c:pt>
                <c:pt idx="1121">
                  <c:v>165.21510314941406</c:v>
                </c:pt>
                <c:pt idx="1122">
                  <c:v>160.21267700195313</c:v>
                </c:pt>
                <c:pt idx="1123">
                  <c:v>160.10623168945313</c:v>
                </c:pt>
                <c:pt idx="1124">
                  <c:v>156.98095703125</c:v>
                </c:pt>
                <c:pt idx="1125">
                  <c:v>158.26783752441406</c:v>
                </c:pt>
                <c:pt idx="1126">
                  <c:v>160.14495849609375</c:v>
                </c:pt>
                <c:pt idx="1127">
                  <c:v>159.77726745605469</c:v>
                </c:pt>
                <c:pt idx="1128">
                  <c:v>161.87692260742188</c:v>
                </c:pt>
                <c:pt idx="1129">
                  <c:v>161.02543640136719</c:v>
                </c:pt>
                <c:pt idx="1130">
                  <c:v>159.99014282226563</c:v>
                </c:pt>
                <c:pt idx="1131">
                  <c:v>155.51020812988281</c:v>
                </c:pt>
                <c:pt idx="1132">
                  <c:v>153.49763488769531</c:v>
                </c:pt>
                <c:pt idx="1133">
                  <c:v>153.23638916015625</c:v>
                </c:pt>
                <c:pt idx="1134">
                  <c:v>153.30412292480469</c:v>
                </c:pt>
                <c:pt idx="1135">
                  <c:v>153.81695556640625</c:v>
                </c:pt>
                <c:pt idx="1136">
                  <c:v>153.71051025390625</c:v>
                </c:pt>
                <c:pt idx="1137">
                  <c:v>156.62294006347656</c:v>
                </c:pt>
                <c:pt idx="1138">
                  <c:v>157.26155090332031</c:v>
                </c:pt>
                <c:pt idx="1139">
                  <c:v>157.80339050292969</c:v>
                </c:pt>
                <c:pt idx="1140">
                  <c:v>158.67420959472656</c:v>
                </c:pt>
                <c:pt idx="1141">
                  <c:v>155.25865173339844</c:v>
                </c:pt>
                <c:pt idx="1142">
                  <c:v>156.96160888671875</c:v>
                </c:pt>
                <c:pt idx="1143">
                  <c:v>158.98385620117188</c:v>
                </c:pt>
                <c:pt idx="1144">
                  <c:v>160.36750793457031</c:v>
                </c:pt>
                <c:pt idx="1145">
                  <c:v>162.09947204589844</c:v>
                </c:pt>
                <c:pt idx="1146">
                  <c:v>162.44781494140625</c:v>
                </c:pt>
                <c:pt idx="1147">
                  <c:v>159.95143127441406</c:v>
                </c:pt>
                <c:pt idx="1148">
                  <c:v>161.48988342285156</c:v>
                </c:pt>
                <c:pt idx="1149">
                  <c:v>159.30314636230469</c:v>
                </c:pt>
                <c:pt idx="1150">
                  <c:v>158.73228454589844</c:v>
                </c:pt>
                <c:pt idx="1151">
                  <c:v>158.45167541503906</c:v>
                </c:pt>
                <c:pt idx="1152">
                  <c:v>158.09365844726563</c:v>
                </c:pt>
                <c:pt idx="1153">
                  <c:v>159.82563781738281</c:v>
                </c:pt>
                <c:pt idx="1154">
                  <c:v>155.65534973144531</c:v>
                </c:pt>
                <c:pt idx="1155">
                  <c:v>154.83291625976563</c:v>
                </c:pt>
                <c:pt idx="1156">
                  <c:v>154.87161254882813</c:v>
                </c:pt>
                <c:pt idx="1157">
                  <c:v>154.08787536621094</c:v>
                </c:pt>
                <c:pt idx="1158">
                  <c:v>153.50732421875</c:v>
                </c:pt>
                <c:pt idx="1159">
                  <c:v>153.72987365722656</c:v>
                </c:pt>
                <c:pt idx="1160">
                  <c:v>154.56199645996094</c:v>
                </c:pt>
                <c:pt idx="1161">
                  <c:v>154.9683837890625</c:v>
                </c:pt>
                <c:pt idx="1162">
                  <c:v>156.87452697753906</c:v>
                </c:pt>
                <c:pt idx="1163">
                  <c:v>154.83291625976563</c:v>
                </c:pt>
                <c:pt idx="1164">
                  <c:v>152.0849609375</c:v>
                </c:pt>
                <c:pt idx="1165">
                  <c:v>149.5982666015625</c:v>
                </c:pt>
                <c:pt idx="1166">
                  <c:v>149.57893371582031</c:v>
                </c:pt>
                <c:pt idx="1167">
                  <c:v>150.35299682617188</c:v>
                </c:pt>
                <c:pt idx="1168">
                  <c:v>146.376220703125</c:v>
                </c:pt>
                <c:pt idx="1169">
                  <c:v>149.26930236816406</c:v>
                </c:pt>
                <c:pt idx="1170">
                  <c:v>152.0462646484375</c:v>
                </c:pt>
                <c:pt idx="1171">
                  <c:v>151.901123046875</c:v>
                </c:pt>
                <c:pt idx="1172">
                  <c:v>151.42701721191406</c:v>
                </c:pt>
                <c:pt idx="1173">
                  <c:v>154.07818603515625</c:v>
                </c:pt>
                <c:pt idx="1174">
                  <c:v>152.73324584960938</c:v>
                </c:pt>
                <c:pt idx="1175">
                  <c:v>154.08787536621094</c:v>
                </c:pt>
                <c:pt idx="1176">
                  <c:v>150.66261291503906</c:v>
                </c:pt>
                <c:pt idx="1177">
                  <c:v>149.06610107421875</c:v>
                </c:pt>
                <c:pt idx="1178">
                  <c:v>148.57264709472656</c:v>
                </c:pt>
                <c:pt idx="1179">
                  <c:v>149.89822387695313</c:v>
                </c:pt>
                <c:pt idx="1180">
                  <c:v>155.65534973144531</c:v>
                </c:pt>
                <c:pt idx="1181">
                  <c:v>154.81355285644531</c:v>
                </c:pt>
                <c:pt idx="1182">
                  <c:v>157.60020446777344</c:v>
                </c:pt>
                <c:pt idx="1183">
                  <c:v>158.80000305175781</c:v>
                </c:pt>
                <c:pt idx="1184">
                  <c:v>156.95191955566406</c:v>
                </c:pt>
                <c:pt idx="1185">
                  <c:v>154.42654418945313</c:v>
                </c:pt>
                <c:pt idx="1186">
                  <c:v>154.88130187988281</c:v>
                </c:pt>
                <c:pt idx="1187">
                  <c:v>154.91999816894531</c:v>
                </c:pt>
                <c:pt idx="1188">
                  <c:v>154.32009887695313</c:v>
                </c:pt>
                <c:pt idx="1189">
                  <c:v>156.41006469726563</c:v>
                </c:pt>
                <c:pt idx="1190">
                  <c:v>157.69696044921875</c:v>
                </c:pt>
                <c:pt idx="1191">
                  <c:v>165.73757934570313</c:v>
                </c:pt>
                <c:pt idx="1192">
                  <c:v>167.97271728515625</c:v>
                </c:pt>
                <c:pt idx="1193">
                  <c:v>165.66986083984375</c:v>
                </c:pt>
                <c:pt idx="1194">
                  <c:v>167.06317138671875</c:v>
                </c:pt>
                <c:pt idx="1195">
                  <c:v>167.266357421875</c:v>
                </c:pt>
                <c:pt idx="1196">
                  <c:v>166.98577880859375</c:v>
                </c:pt>
                <c:pt idx="1197">
                  <c:v>166.35684204101563</c:v>
                </c:pt>
                <c:pt idx="1198">
                  <c:v>175.31666564941406</c:v>
                </c:pt>
                <c:pt idx="1199">
                  <c:v>175.46180725097656</c:v>
                </c:pt>
                <c:pt idx="1200">
                  <c:v>173.07188415527344</c:v>
                </c:pt>
                <c:pt idx="1201">
                  <c:v>170.69163513183594</c:v>
                </c:pt>
                <c:pt idx="1202">
                  <c:v>175.17153930664063</c:v>
                </c:pt>
                <c:pt idx="1203">
                  <c:v>176.87449645996094</c:v>
                </c:pt>
                <c:pt idx="1204">
                  <c:v>173.76853942871094</c:v>
                </c:pt>
                <c:pt idx="1205">
                  <c:v>175.72306823730469</c:v>
                </c:pt>
                <c:pt idx="1206">
                  <c:v>172.07527160644531</c:v>
                </c:pt>
                <c:pt idx="1207">
                  <c:v>171.81402587890625</c:v>
                </c:pt>
                <c:pt idx="1208">
                  <c:v>168.77580261230469</c:v>
                </c:pt>
                <c:pt idx="1209">
                  <c:v>166.74388122558594</c:v>
                </c:pt>
                <c:pt idx="1210">
                  <c:v>168.31135559082031</c:v>
                </c:pt>
                <c:pt idx="1211">
                  <c:v>172.25912475585938</c:v>
                </c:pt>
                <c:pt idx="1212">
                  <c:v>171.25283813476563</c:v>
                </c:pt>
                <c:pt idx="1213">
                  <c:v>171.43666076660156</c:v>
                </c:pt>
                <c:pt idx="1214">
                  <c:v>172.81063842773438</c:v>
                </c:pt>
                <c:pt idx="1215">
                  <c:v>172.26878356933594</c:v>
                </c:pt>
                <c:pt idx="1216">
                  <c:v>176.87449645996094</c:v>
                </c:pt>
                <c:pt idx="1217">
                  <c:v>173.55567932128906</c:v>
                </c:pt>
                <c:pt idx="1218">
                  <c:v>171.16572570800781</c:v>
                </c:pt>
                <c:pt idx="1219">
                  <c:v>174.16523742675781</c:v>
                </c:pt>
                <c:pt idx="1220">
                  <c:v>176.40037536621094</c:v>
                </c:pt>
                <c:pt idx="1221">
                  <c:v>179.98043823242188</c:v>
                </c:pt>
                <c:pt idx="1222">
                  <c:v>182.79609680175781</c:v>
                </c:pt>
                <c:pt idx="1223">
                  <c:v>181.71243286132813</c:v>
                </c:pt>
                <c:pt idx="1224">
                  <c:v>184.57646179199219</c:v>
                </c:pt>
                <c:pt idx="1225">
                  <c:v>188.33070373535156</c:v>
                </c:pt>
                <c:pt idx="1226">
                  <c:v>187.94366455078125</c:v>
                </c:pt>
                <c:pt idx="1227">
                  <c:v>184.10234069824219</c:v>
                </c:pt>
                <c:pt idx="1228">
                  <c:v>179.73854064941406</c:v>
                </c:pt>
                <c:pt idx="1229">
                  <c:v>180.85127258300781</c:v>
                </c:pt>
                <c:pt idx="1230">
                  <c:v>188.18556213378906</c:v>
                </c:pt>
                <c:pt idx="1231">
                  <c:v>187.08251953125</c:v>
                </c:pt>
                <c:pt idx="1232">
                  <c:v>183.61854553222656</c:v>
                </c:pt>
                <c:pt idx="1233">
                  <c:v>183.14445495605469</c:v>
                </c:pt>
                <c:pt idx="1234">
                  <c:v>184.4893798828125</c:v>
                </c:pt>
                <c:pt idx="1235">
                  <c:v>183.86044311523438</c:v>
                </c:pt>
                <c:pt idx="1236">
                  <c:v>185.06024169921875</c:v>
                </c:pt>
                <c:pt idx="1237">
                  <c:v>184.78671264648438</c:v>
                </c:pt>
                <c:pt idx="1238">
                  <c:v>187.25846862792969</c:v>
                </c:pt>
                <c:pt idx="1239">
                  <c:v>188.98773193359375</c:v>
                </c:pt>
                <c:pt idx="1240">
                  <c:v>186.68205261230469</c:v>
                </c:pt>
                <c:pt idx="1241">
                  <c:v>183.68270874023438</c:v>
                </c:pt>
                <c:pt idx="1242">
                  <c:v>177.24440002441406</c:v>
                </c:pt>
                <c:pt idx="1243">
                  <c:v>180.634521484375</c:v>
                </c:pt>
                <c:pt idx="1244">
                  <c:v>180.14602661132813</c:v>
                </c:pt>
                <c:pt idx="1245">
                  <c:v>179.2178955078125</c:v>
                </c:pt>
                <c:pt idx="1246">
                  <c:v>181.93391418457031</c:v>
                </c:pt>
                <c:pt idx="1247">
                  <c:v>181.25978088378906</c:v>
                </c:pt>
                <c:pt idx="1248">
                  <c:v>176.83404541015625</c:v>
                </c:pt>
                <c:pt idx="1249">
                  <c:v>176.84382629394531</c:v>
                </c:pt>
                <c:pt idx="1250">
                  <c:v>174.68470764160156</c:v>
                </c:pt>
                <c:pt idx="1251">
                  <c:v>173.65885925292969</c:v>
                </c:pt>
                <c:pt idx="1252">
                  <c:v>171.10893249511719</c:v>
                </c:pt>
                <c:pt idx="1253">
                  <c:v>174.87033081054688</c:v>
                </c:pt>
                <c:pt idx="1254">
                  <c:v>176.072021484375</c:v>
                </c:pt>
                <c:pt idx="1255">
                  <c:v>176.22833251953125</c:v>
                </c:pt>
                <c:pt idx="1256">
                  <c:v>175.29042053222656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7-414B-B353-8C1226B9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492461"/>
        <c:axId val="23345032"/>
      </c:lineChart>
      <c:catAx>
        <c:axId val="453492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3345032"/>
        <c:crosses val="autoZero"/>
        <c:auto val="1"/>
        <c:lblAlgn val="ctr"/>
        <c:lblOffset val="100"/>
        <c:noMultiLvlLbl val="1"/>
      </c:catAx>
      <c:valAx>
        <c:axId val="23345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KOFUBL.MX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534924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ASUR.MX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ASUR!$B$1</c:f>
              <c:strCache>
                <c:ptCount val="1"/>
                <c:pt idx="0">
                  <c:v>ALSEA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ASUR!$A$2:$A$1258</c:f>
              <c:numCache>
                <c:formatCode>General</c:formatCode>
                <c:ptCount val="1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</c:numCache>
            </c:numRef>
          </c:cat>
          <c:val>
            <c:numRef>
              <c:f>ASUR!$B$2:$B$1258</c:f>
              <c:numCache>
                <c:formatCode>General</c:formatCode>
                <c:ptCount val="1257"/>
                <c:pt idx="0">
                  <c:v>17.997325897216797</c:v>
                </c:pt>
                <c:pt idx="1">
                  <c:v>17.55908203125</c:v>
                </c:pt>
                <c:pt idx="2">
                  <c:v>18.474529266357422</c:v>
                </c:pt>
                <c:pt idx="3">
                  <c:v>18.659566879272461</c:v>
                </c:pt>
                <c:pt idx="4">
                  <c:v>18.416095733642578</c:v>
                </c:pt>
                <c:pt idx="5">
                  <c:v>18.260274887084961</c:v>
                </c:pt>
                <c:pt idx="6">
                  <c:v>18.669305801391602</c:v>
                </c:pt>
                <c:pt idx="7">
                  <c:v>19.360759735107422</c:v>
                </c:pt>
                <c:pt idx="8">
                  <c:v>20.393075942993164</c:v>
                </c:pt>
                <c:pt idx="9">
                  <c:v>21.181919097900391</c:v>
                </c:pt>
                <c:pt idx="10">
                  <c:v>23.295242309570313</c:v>
                </c:pt>
                <c:pt idx="11">
                  <c:v>24.639196395874023</c:v>
                </c:pt>
                <c:pt idx="12">
                  <c:v>24.561286926269531</c:v>
                </c:pt>
                <c:pt idx="13">
                  <c:v>23.616621017456055</c:v>
                </c:pt>
                <c:pt idx="14">
                  <c:v>22.584308624267578</c:v>
                </c:pt>
                <c:pt idx="15">
                  <c:v>24.288600921630859</c:v>
                </c:pt>
                <c:pt idx="16">
                  <c:v>24.064607620239258</c:v>
                </c:pt>
                <c:pt idx="17">
                  <c:v>23.723749160766602</c:v>
                </c:pt>
                <c:pt idx="18">
                  <c:v>23.558191299438477</c:v>
                </c:pt>
                <c:pt idx="19">
                  <c:v>22.681697845458984</c:v>
                </c:pt>
                <c:pt idx="20">
                  <c:v>22.710910797119141</c:v>
                </c:pt>
                <c:pt idx="21">
                  <c:v>22.409008026123047</c:v>
                </c:pt>
                <c:pt idx="22">
                  <c:v>23.227069854736328</c:v>
                </c:pt>
                <c:pt idx="23">
                  <c:v>22.779083251953125</c:v>
                </c:pt>
                <c:pt idx="24">
                  <c:v>22.506399154663086</c:v>
                </c:pt>
                <c:pt idx="25">
                  <c:v>21.922069549560547</c:v>
                </c:pt>
                <c:pt idx="26">
                  <c:v>22.253189086914063</c:v>
                </c:pt>
                <c:pt idx="27">
                  <c:v>22.01945686340332</c:v>
                </c:pt>
                <c:pt idx="28">
                  <c:v>21.990240097045898</c:v>
                </c:pt>
                <c:pt idx="29">
                  <c:v>21.795463562011719</c:v>
                </c:pt>
                <c:pt idx="30">
                  <c:v>22.798563003540039</c:v>
                </c:pt>
                <c:pt idx="31">
                  <c:v>22.886211395263672</c:v>
                </c:pt>
                <c:pt idx="32">
                  <c:v>22.720651626586914</c:v>
                </c:pt>
                <c:pt idx="33">
                  <c:v>22.272666931152344</c:v>
                </c:pt>
                <c:pt idx="34">
                  <c:v>21.620166778564453</c:v>
                </c:pt>
                <c:pt idx="35">
                  <c:v>21.181919097900391</c:v>
                </c:pt>
                <c:pt idx="36">
                  <c:v>20.860538482666016</c:v>
                </c:pt>
                <c:pt idx="37">
                  <c:v>20.587850570678711</c:v>
                </c:pt>
                <c:pt idx="38">
                  <c:v>20.432029724121094</c:v>
                </c:pt>
                <c:pt idx="39">
                  <c:v>20.412551879882813</c:v>
                </c:pt>
                <c:pt idx="40">
                  <c:v>20.49046516418457</c:v>
                </c:pt>
                <c:pt idx="41">
                  <c:v>20.470985412597656</c:v>
                </c:pt>
                <c:pt idx="42">
                  <c:v>20.714456558227539</c:v>
                </c:pt>
                <c:pt idx="43">
                  <c:v>22.05841064453125</c:v>
                </c:pt>
                <c:pt idx="44">
                  <c:v>22.272666931152344</c:v>
                </c:pt>
                <c:pt idx="45">
                  <c:v>21.668859481811523</c:v>
                </c:pt>
                <c:pt idx="46">
                  <c:v>21.746770858764648</c:v>
                </c:pt>
                <c:pt idx="47">
                  <c:v>21.81494140625</c:v>
                </c:pt>
                <c:pt idx="48">
                  <c:v>22.038934707641602</c:v>
                </c:pt>
                <c:pt idx="49">
                  <c:v>21.698078155517578</c:v>
                </c:pt>
                <c:pt idx="50">
                  <c:v>21.094270706176758</c:v>
                </c:pt>
                <c:pt idx="51">
                  <c:v>20.266469955444336</c:v>
                </c:pt>
                <c:pt idx="52">
                  <c:v>19.876918792724609</c:v>
                </c:pt>
                <c:pt idx="53">
                  <c:v>20.412551879882813</c:v>
                </c:pt>
                <c:pt idx="54">
                  <c:v>19.847700119018555</c:v>
                </c:pt>
                <c:pt idx="55">
                  <c:v>19.701618194580078</c:v>
                </c:pt>
                <c:pt idx="56">
                  <c:v>19.351022720336914</c:v>
                </c:pt>
                <c:pt idx="57">
                  <c:v>20.509939193725586</c:v>
                </c:pt>
                <c:pt idx="58">
                  <c:v>20.470985412597656</c:v>
                </c:pt>
                <c:pt idx="59">
                  <c:v>20.558635711669922</c:v>
                </c:pt>
                <c:pt idx="60">
                  <c:v>20.57811164855957</c:v>
                </c:pt>
                <c:pt idx="61">
                  <c:v>20.928709030151367</c:v>
                </c:pt>
                <c:pt idx="62">
                  <c:v>21.600688934326172</c:v>
                </c:pt>
                <c:pt idx="63">
                  <c:v>22.165538787841797</c:v>
                </c:pt>
                <c:pt idx="64">
                  <c:v>21.756507873535156</c:v>
                </c:pt>
                <c:pt idx="65">
                  <c:v>21.191658020019531</c:v>
                </c:pt>
                <c:pt idx="66">
                  <c:v>21.269567489624023</c:v>
                </c:pt>
                <c:pt idx="67">
                  <c:v>21.4156494140625</c:v>
                </c:pt>
                <c:pt idx="68">
                  <c:v>21.756507873535156</c:v>
                </c:pt>
                <c:pt idx="69">
                  <c:v>22.01945686340332</c:v>
                </c:pt>
                <c:pt idx="70">
                  <c:v>22.360313415527344</c:v>
                </c:pt>
                <c:pt idx="71">
                  <c:v>22.038934707641602</c:v>
                </c:pt>
                <c:pt idx="72">
                  <c:v>22.01945686340332</c:v>
                </c:pt>
                <c:pt idx="73">
                  <c:v>21.084529876708984</c:v>
                </c:pt>
                <c:pt idx="74">
                  <c:v>20.178821563720703</c:v>
                </c:pt>
                <c:pt idx="75">
                  <c:v>21.055315017700195</c:v>
                </c:pt>
                <c:pt idx="76">
                  <c:v>21.074790954589844</c:v>
                </c:pt>
                <c:pt idx="77">
                  <c:v>20.451507568359375</c:v>
                </c:pt>
                <c:pt idx="78">
                  <c:v>21.289047241210938</c:v>
                </c:pt>
                <c:pt idx="79">
                  <c:v>20.889755249023438</c:v>
                </c:pt>
                <c:pt idx="80">
                  <c:v>20.597589492797852</c:v>
                </c:pt>
                <c:pt idx="81">
                  <c:v>20.519680023193359</c:v>
                </c:pt>
                <c:pt idx="82">
                  <c:v>20.08143424987793</c:v>
                </c:pt>
                <c:pt idx="83">
                  <c:v>19.165985107421875</c:v>
                </c:pt>
                <c:pt idx="84">
                  <c:v>19.107551574707031</c:v>
                </c:pt>
                <c:pt idx="85">
                  <c:v>19.243894577026367</c:v>
                </c:pt>
                <c:pt idx="86">
                  <c:v>19.117290496826172</c:v>
                </c:pt>
                <c:pt idx="87">
                  <c:v>19.195199966430664</c:v>
                </c:pt>
                <c:pt idx="88">
                  <c:v>19.779529571533203</c:v>
                </c:pt>
                <c:pt idx="89">
                  <c:v>19.584754943847656</c:v>
                </c:pt>
                <c:pt idx="90">
                  <c:v>20.402812957763672</c:v>
                </c:pt>
                <c:pt idx="91">
                  <c:v>20.402812957763672</c:v>
                </c:pt>
                <c:pt idx="92">
                  <c:v>20.5294189453125</c:v>
                </c:pt>
                <c:pt idx="93">
                  <c:v>20.412551879882813</c:v>
                </c:pt>
                <c:pt idx="94">
                  <c:v>20.539157867431641</c:v>
                </c:pt>
                <c:pt idx="95">
                  <c:v>20.96766471862793</c:v>
                </c:pt>
                <c:pt idx="96">
                  <c:v>20.714456558227539</c:v>
                </c:pt>
                <c:pt idx="97">
                  <c:v>20.850797653198242</c:v>
                </c:pt>
                <c:pt idx="98">
                  <c:v>21.016359329223633</c:v>
                </c:pt>
                <c:pt idx="99">
                  <c:v>21.016359329223633</c:v>
                </c:pt>
                <c:pt idx="100">
                  <c:v>21.81494140625</c:v>
                </c:pt>
                <c:pt idx="101">
                  <c:v>22.116844177246094</c:v>
                </c:pt>
                <c:pt idx="102">
                  <c:v>21.931808471679688</c:v>
                </c:pt>
                <c:pt idx="103">
                  <c:v>21.795463562011719</c:v>
                </c:pt>
                <c:pt idx="104">
                  <c:v>21.464344024658203</c:v>
                </c:pt>
                <c:pt idx="105">
                  <c:v>21.464344024658203</c:v>
                </c:pt>
                <c:pt idx="106">
                  <c:v>20.5294189453125</c:v>
                </c:pt>
                <c:pt idx="107">
                  <c:v>20.928709030151367</c:v>
                </c:pt>
                <c:pt idx="108">
                  <c:v>20.928709030151367</c:v>
                </c:pt>
                <c:pt idx="109">
                  <c:v>20.948186874389648</c:v>
                </c:pt>
                <c:pt idx="110">
                  <c:v>20.938449859619141</c:v>
                </c:pt>
                <c:pt idx="111">
                  <c:v>20.646284103393555</c:v>
                </c:pt>
                <c:pt idx="112">
                  <c:v>19.185462951660156</c:v>
                </c:pt>
                <c:pt idx="113">
                  <c:v>19.127029418945313</c:v>
                </c:pt>
                <c:pt idx="114">
                  <c:v>17.773334503173828</c:v>
                </c:pt>
                <c:pt idx="115">
                  <c:v>18.474529266357422</c:v>
                </c:pt>
                <c:pt idx="116">
                  <c:v>19.010164260864258</c:v>
                </c:pt>
                <c:pt idx="117">
                  <c:v>18.873819351196289</c:v>
                </c:pt>
                <c:pt idx="118">
                  <c:v>19.039379119873047</c:v>
                </c:pt>
                <c:pt idx="119">
                  <c:v>21.026098251342773</c:v>
                </c:pt>
                <c:pt idx="120">
                  <c:v>21.104007720947266</c:v>
                </c:pt>
                <c:pt idx="121">
                  <c:v>20.597589492797852</c:v>
                </c:pt>
                <c:pt idx="122">
                  <c:v>20.188560485839844</c:v>
                </c:pt>
                <c:pt idx="123">
                  <c:v>20.393075942993164</c:v>
                </c:pt>
                <c:pt idx="124">
                  <c:v>21.513038635253906</c:v>
                </c:pt>
                <c:pt idx="125">
                  <c:v>22.214231491088867</c:v>
                </c:pt>
                <c:pt idx="126">
                  <c:v>22.954383850097656</c:v>
                </c:pt>
                <c:pt idx="127">
                  <c:v>23.519233703613281</c:v>
                </c:pt>
                <c:pt idx="128">
                  <c:v>23.70427131652832</c:v>
                </c:pt>
                <c:pt idx="129">
                  <c:v>24.814496994018555</c:v>
                </c:pt>
                <c:pt idx="130">
                  <c:v>25.807855606079102</c:v>
                </c:pt>
                <c:pt idx="131">
                  <c:v>26.596698760986328</c:v>
                </c:pt>
                <c:pt idx="132">
                  <c:v>26.810953140258789</c:v>
                </c:pt>
                <c:pt idx="133">
                  <c:v>27.02520751953125</c:v>
                </c:pt>
                <c:pt idx="134">
                  <c:v>26.986249923706055</c:v>
                </c:pt>
                <c:pt idx="135">
                  <c:v>27.015468597412109</c:v>
                </c:pt>
                <c:pt idx="136">
                  <c:v>27.697185516357422</c:v>
                </c:pt>
                <c:pt idx="137">
                  <c:v>27.86274528503418</c:v>
                </c:pt>
                <c:pt idx="138">
                  <c:v>27.843267440795898</c:v>
                </c:pt>
                <c:pt idx="139">
                  <c:v>27.989349365234375</c:v>
                </c:pt>
                <c:pt idx="140">
                  <c:v>27.775096893310547</c:v>
                </c:pt>
                <c:pt idx="141">
                  <c:v>27.687446594238281</c:v>
                </c:pt>
                <c:pt idx="142">
                  <c:v>26.343488693237305</c:v>
                </c:pt>
                <c:pt idx="143">
                  <c:v>26.450616836547852</c:v>
                </c:pt>
                <c:pt idx="144">
                  <c:v>26.187667846679688</c:v>
                </c:pt>
                <c:pt idx="145">
                  <c:v>25.5838623046875</c:v>
                </c:pt>
                <c:pt idx="146">
                  <c:v>26.070804595947266</c:v>
                </c:pt>
                <c:pt idx="147">
                  <c:v>24.960578918457031</c:v>
                </c:pt>
                <c:pt idx="148">
                  <c:v>25.135875701904297</c:v>
                </c:pt>
                <c:pt idx="149">
                  <c:v>24.707370758056641</c:v>
                </c:pt>
                <c:pt idx="150">
                  <c:v>25.165094375610352</c:v>
                </c:pt>
                <c:pt idx="151">
                  <c:v>25.301437377929688</c:v>
                </c:pt>
                <c:pt idx="152">
                  <c:v>25.057966232299805</c:v>
                </c:pt>
                <c:pt idx="153">
                  <c:v>25.330652236938477</c:v>
                </c:pt>
                <c:pt idx="154">
                  <c:v>25.34039306640625</c:v>
                </c:pt>
                <c:pt idx="155">
                  <c:v>25.213787078857422</c:v>
                </c:pt>
                <c:pt idx="156">
                  <c:v>25.642295837402344</c:v>
                </c:pt>
                <c:pt idx="157">
                  <c:v>25.515691757202148</c:v>
                </c:pt>
                <c:pt idx="158">
                  <c:v>25.866287231445313</c:v>
                </c:pt>
                <c:pt idx="159">
                  <c:v>26.03184700012207</c:v>
                </c:pt>
                <c:pt idx="160">
                  <c:v>26.158452987670898</c:v>
                </c:pt>
                <c:pt idx="161">
                  <c:v>25.466997146606445</c:v>
                </c:pt>
                <c:pt idx="162">
                  <c:v>24.882667541503906</c:v>
                </c:pt>
                <c:pt idx="163">
                  <c:v>23.645839691162109</c:v>
                </c:pt>
                <c:pt idx="164">
                  <c:v>23.577665328979492</c:v>
                </c:pt>
                <c:pt idx="165">
                  <c:v>23.636100769042969</c:v>
                </c:pt>
                <c:pt idx="166">
                  <c:v>23.938003540039063</c:v>
                </c:pt>
                <c:pt idx="167">
                  <c:v>23.25628662109375</c:v>
                </c:pt>
                <c:pt idx="168">
                  <c:v>23.217330932617188</c:v>
                </c:pt>
                <c:pt idx="169">
                  <c:v>23.042032241821289</c:v>
                </c:pt>
                <c:pt idx="170">
                  <c:v>22.447963714599609</c:v>
                </c:pt>
                <c:pt idx="171">
                  <c:v>22.379793167114258</c:v>
                </c:pt>
                <c:pt idx="172">
                  <c:v>22.185016632080078</c:v>
                </c:pt>
                <c:pt idx="173">
                  <c:v>21.980501174926758</c:v>
                </c:pt>
                <c:pt idx="174">
                  <c:v>22.331098556518555</c:v>
                </c:pt>
                <c:pt idx="175">
                  <c:v>22.506399154663086</c:v>
                </c:pt>
                <c:pt idx="176">
                  <c:v>23.090724945068359</c:v>
                </c:pt>
                <c:pt idx="177">
                  <c:v>23.25628662109375</c:v>
                </c:pt>
                <c:pt idx="178">
                  <c:v>23.412107467651367</c:v>
                </c:pt>
                <c:pt idx="179">
                  <c:v>23.149160385131836</c:v>
                </c:pt>
                <c:pt idx="180">
                  <c:v>22.769344329833984</c:v>
                </c:pt>
                <c:pt idx="181">
                  <c:v>22.954383850097656</c:v>
                </c:pt>
                <c:pt idx="182">
                  <c:v>23.343935012817383</c:v>
                </c:pt>
                <c:pt idx="183">
                  <c:v>23.295242309570313</c:v>
                </c:pt>
                <c:pt idx="184">
                  <c:v>23.70427131652832</c:v>
                </c:pt>
                <c:pt idx="185">
                  <c:v>23.947742462158203</c:v>
                </c:pt>
                <c:pt idx="186">
                  <c:v>24.132780075073242</c:v>
                </c:pt>
                <c:pt idx="187">
                  <c:v>24.230165481567383</c:v>
                </c:pt>
                <c:pt idx="188">
                  <c:v>23.879570007324219</c:v>
                </c:pt>
                <c:pt idx="189">
                  <c:v>24.10356330871582</c:v>
                </c:pt>
                <c:pt idx="190">
                  <c:v>24.181472778320313</c:v>
                </c:pt>
                <c:pt idx="191">
                  <c:v>24.181472778320313</c:v>
                </c:pt>
                <c:pt idx="192">
                  <c:v>24.025651931762695</c:v>
                </c:pt>
                <c:pt idx="193">
                  <c:v>23.684793472290039</c:v>
                </c:pt>
                <c:pt idx="194">
                  <c:v>24.775541305541992</c:v>
                </c:pt>
                <c:pt idx="195">
                  <c:v>26.460355758666992</c:v>
                </c:pt>
                <c:pt idx="196">
                  <c:v>26.733041763305664</c:v>
                </c:pt>
                <c:pt idx="197">
                  <c:v>25.876028060913086</c:v>
                </c:pt>
                <c:pt idx="198">
                  <c:v>25.866287231445313</c:v>
                </c:pt>
                <c:pt idx="199">
                  <c:v>26.275318145751953</c:v>
                </c:pt>
                <c:pt idx="200">
                  <c:v>26.187667846679688</c:v>
                </c:pt>
                <c:pt idx="201">
                  <c:v>26.470094680786133</c:v>
                </c:pt>
                <c:pt idx="202">
                  <c:v>27.015468597412109</c:v>
                </c:pt>
                <c:pt idx="203">
                  <c:v>27.443975448608398</c:v>
                </c:pt>
                <c:pt idx="204">
                  <c:v>27.814050674438477</c:v>
                </c:pt>
                <c:pt idx="205">
                  <c:v>28.291252136230469</c:v>
                </c:pt>
                <c:pt idx="206">
                  <c:v>28.51524543762207</c:v>
                </c:pt>
                <c:pt idx="207">
                  <c:v>29.245656967163086</c:v>
                </c:pt>
                <c:pt idx="208">
                  <c:v>29.99554443359375</c:v>
                </c:pt>
                <c:pt idx="209">
                  <c:v>30.005281448364258</c:v>
                </c:pt>
                <c:pt idx="210">
                  <c:v>29.888418197631836</c:v>
                </c:pt>
                <c:pt idx="211">
                  <c:v>30.005281448364258</c:v>
                </c:pt>
                <c:pt idx="212">
                  <c:v>30.404573440551758</c:v>
                </c:pt>
                <c:pt idx="213">
                  <c:v>30.628568649291992</c:v>
                </c:pt>
                <c:pt idx="214">
                  <c:v>31.144723892211914</c:v>
                </c:pt>
                <c:pt idx="215">
                  <c:v>30.122150421142578</c:v>
                </c:pt>
                <c:pt idx="216">
                  <c:v>29.489128112792969</c:v>
                </c:pt>
                <c:pt idx="217">
                  <c:v>30.716217041015625</c:v>
                </c:pt>
                <c:pt idx="218">
                  <c:v>30.316925048828125</c:v>
                </c:pt>
                <c:pt idx="219">
                  <c:v>29.567037582397461</c:v>
                </c:pt>
                <c:pt idx="220">
                  <c:v>29.791030883789063</c:v>
                </c:pt>
                <c:pt idx="221">
                  <c:v>30.034500122070313</c:v>
                </c:pt>
                <c:pt idx="222">
                  <c:v>29.907894134521484</c:v>
                </c:pt>
                <c:pt idx="223">
                  <c:v>31.544017791748047</c:v>
                </c:pt>
                <c:pt idx="224">
                  <c:v>33.141181945800781</c:v>
                </c:pt>
                <c:pt idx="225">
                  <c:v>33.102226257324219</c:v>
                </c:pt>
                <c:pt idx="226">
                  <c:v>33.482040405273438</c:v>
                </c:pt>
                <c:pt idx="227">
                  <c:v>33.686557769775391</c:v>
                </c:pt>
                <c:pt idx="228">
                  <c:v>33.706031799316406</c:v>
                </c:pt>
                <c:pt idx="229">
                  <c:v>34.864948272705078</c:v>
                </c:pt>
                <c:pt idx="230">
                  <c:v>35.556404113769531</c:v>
                </c:pt>
                <c:pt idx="231">
                  <c:v>34.825996398925781</c:v>
                </c:pt>
                <c:pt idx="232">
                  <c:v>34.582527160644531</c:v>
                </c:pt>
                <c:pt idx="233">
                  <c:v>33.238571166992188</c:v>
                </c:pt>
                <c:pt idx="234">
                  <c:v>33.871589660644531</c:v>
                </c:pt>
                <c:pt idx="235">
                  <c:v>33.287261962890625</c:v>
                </c:pt>
                <c:pt idx="236">
                  <c:v>32.089389801025391</c:v>
                </c:pt>
                <c:pt idx="237">
                  <c:v>32.469203948974609</c:v>
                </c:pt>
                <c:pt idx="238">
                  <c:v>31.544017791748047</c:v>
                </c:pt>
                <c:pt idx="239">
                  <c:v>32.07965087890625</c:v>
                </c:pt>
                <c:pt idx="240">
                  <c:v>31.904350280761719</c:v>
                </c:pt>
                <c:pt idx="241">
                  <c:v>31.39793586730957</c:v>
                </c:pt>
                <c:pt idx="242">
                  <c:v>31.505060195922852</c:v>
                </c:pt>
                <c:pt idx="243">
                  <c:v>31.076553344726563</c:v>
                </c:pt>
                <c:pt idx="244">
                  <c:v>30.988903045654297</c:v>
                </c:pt>
                <c:pt idx="245">
                  <c:v>31.134984970092773</c:v>
                </c:pt>
                <c:pt idx="246">
                  <c:v>31.290807723999023</c:v>
                </c:pt>
                <c:pt idx="247">
                  <c:v>31.388195037841797</c:v>
                </c:pt>
                <c:pt idx="248">
                  <c:v>32.225730895996094</c:v>
                </c:pt>
                <c:pt idx="249">
                  <c:v>31.748529434204102</c:v>
                </c:pt>
                <c:pt idx="250">
                  <c:v>31.544017791748047</c:v>
                </c:pt>
                <c:pt idx="251">
                  <c:v>30.706478118896484</c:v>
                </c:pt>
                <c:pt idx="252">
                  <c:v>31.076553344726563</c:v>
                </c:pt>
                <c:pt idx="253">
                  <c:v>30.842823028564453</c:v>
                </c:pt>
                <c:pt idx="254">
                  <c:v>30.784389495849609</c:v>
                </c:pt>
                <c:pt idx="255">
                  <c:v>31.164201736450195</c:v>
                </c:pt>
                <c:pt idx="256">
                  <c:v>32.167301177978516</c:v>
                </c:pt>
                <c:pt idx="257">
                  <c:v>32.537376403808594</c:v>
                </c:pt>
                <c:pt idx="258">
                  <c:v>33.170398712158203</c:v>
                </c:pt>
                <c:pt idx="259">
                  <c:v>33.482040405273438</c:v>
                </c:pt>
                <c:pt idx="260">
                  <c:v>32.615287780761719</c:v>
                </c:pt>
                <c:pt idx="261">
                  <c:v>32.157562255859375</c:v>
                </c:pt>
                <c:pt idx="262">
                  <c:v>34.416965484619141</c:v>
                </c:pt>
                <c:pt idx="263">
                  <c:v>34.280624389648438</c:v>
                </c:pt>
                <c:pt idx="264">
                  <c:v>35.127899169921875</c:v>
                </c:pt>
                <c:pt idx="265">
                  <c:v>37.319133758544922</c:v>
                </c:pt>
                <c:pt idx="266">
                  <c:v>37.065925598144531</c:v>
                </c:pt>
                <c:pt idx="267">
                  <c:v>36.695846557617188</c:v>
                </c:pt>
                <c:pt idx="268">
                  <c:v>35.468753814697266</c:v>
                </c:pt>
                <c:pt idx="269">
                  <c:v>35.546669006347656</c:v>
                </c:pt>
                <c:pt idx="270">
                  <c:v>36.053089141845703</c:v>
                </c:pt>
                <c:pt idx="271">
                  <c:v>35.877788543701172</c:v>
                </c:pt>
                <c:pt idx="272">
                  <c:v>35.741447448730469</c:v>
                </c:pt>
                <c:pt idx="273">
                  <c:v>35.322673797607422</c:v>
                </c:pt>
                <c:pt idx="274">
                  <c:v>35.517452239990234</c:v>
                </c:pt>
                <c:pt idx="275">
                  <c:v>35.653797149658203</c:v>
                </c:pt>
                <c:pt idx="276">
                  <c:v>35.166854858398438</c:v>
                </c:pt>
                <c:pt idx="277">
                  <c:v>34.845474243164063</c:v>
                </c:pt>
                <c:pt idx="278">
                  <c:v>34.796779632568359</c:v>
                </c:pt>
                <c:pt idx="279">
                  <c:v>34.543571472167969</c:v>
                </c:pt>
                <c:pt idx="280">
                  <c:v>34.154018402099609</c:v>
                </c:pt>
                <c:pt idx="281">
                  <c:v>35.127899169921875</c:v>
                </c:pt>
                <c:pt idx="282">
                  <c:v>36.462116241455078</c:v>
                </c:pt>
                <c:pt idx="283">
                  <c:v>36.880886077880859</c:v>
                </c:pt>
                <c:pt idx="284">
                  <c:v>35.945957183837891</c:v>
                </c:pt>
                <c:pt idx="285">
                  <c:v>35.926479339599609</c:v>
                </c:pt>
                <c:pt idx="286">
                  <c:v>36.062824249267578</c:v>
                </c:pt>
                <c:pt idx="287">
                  <c:v>35.984916687011719</c:v>
                </c:pt>
                <c:pt idx="288">
                  <c:v>35.1181640625</c:v>
                </c:pt>
                <c:pt idx="289">
                  <c:v>35.254505157470703</c:v>
                </c:pt>
                <c:pt idx="290">
                  <c:v>35.332412719726563</c:v>
                </c:pt>
                <c:pt idx="291">
                  <c:v>35.342155456542969</c:v>
                </c:pt>
                <c:pt idx="292">
                  <c:v>34.446182250976563</c:v>
                </c:pt>
                <c:pt idx="293">
                  <c:v>35.936222076416016</c:v>
                </c:pt>
                <c:pt idx="294">
                  <c:v>36.949058532714844</c:v>
                </c:pt>
                <c:pt idx="295">
                  <c:v>38.351448059082031</c:v>
                </c:pt>
                <c:pt idx="296">
                  <c:v>38.536483764648438</c:v>
                </c:pt>
                <c:pt idx="297">
                  <c:v>39.130550384521484</c:v>
                </c:pt>
                <c:pt idx="298">
                  <c:v>38.614398956298828</c:v>
                </c:pt>
                <c:pt idx="299">
                  <c:v>38.137191772460938</c:v>
                </c:pt>
                <c:pt idx="300">
                  <c:v>39.919399261474609</c:v>
                </c:pt>
                <c:pt idx="301">
                  <c:v>39.315589904785156</c:v>
                </c:pt>
                <c:pt idx="302">
                  <c:v>39.101337432861328</c:v>
                </c:pt>
                <c:pt idx="303">
                  <c:v>38.81890869140625</c:v>
                </c:pt>
                <c:pt idx="304">
                  <c:v>37.991107940673828</c:v>
                </c:pt>
                <c:pt idx="305">
                  <c:v>37.903457641601563</c:v>
                </c:pt>
                <c:pt idx="306">
                  <c:v>37.611293792724609</c:v>
                </c:pt>
                <c:pt idx="307">
                  <c:v>36.695846557617188</c:v>
                </c:pt>
                <c:pt idx="308">
                  <c:v>37.659988403320313</c:v>
                </c:pt>
                <c:pt idx="309">
                  <c:v>38.059284210205078</c:v>
                </c:pt>
                <c:pt idx="310">
                  <c:v>38.1761474609375</c:v>
                </c:pt>
                <c:pt idx="311">
                  <c:v>37.815814971923828</c:v>
                </c:pt>
                <c:pt idx="312">
                  <c:v>37.796337127685547</c:v>
                </c:pt>
                <c:pt idx="313">
                  <c:v>36.890625</c:v>
                </c:pt>
                <c:pt idx="314">
                  <c:v>37.065925598144531</c:v>
                </c:pt>
                <c:pt idx="315">
                  <c:v>36.910102844238281</c:v>
                </c:pt>
                <c:pt idx="316">
                  <c:v>37.416519165039063</c:v>
                </c:pt>
                <c:pt idx="317">
                  <c:v>38.624134063720703</c:v>
                </c:pt>
                <c:pt idx="318">
                  <c:v>38.507266998291016</c:v>
                </c:pt>
                <c:pt idx="319">
                  <c:v>38.370925903320313</c:v>
                </c:pt>
                <c:pt idx="320">
                  <c:v>38.039806365966797</c:v>
                </c:pt>
                <c:pt idx="321">
                  <c:v>38.614398956298828</c:v>
                </c:pt>
                <c:pt idx="322">
                  <c:v>38.702045440673828</c:v>
                </c:pt>
                <c:pt idx="323">
                  <c:v>38.234580993652344</c:v>
                </c:pt>
                <c:pt idx="324">
                  <c:v>39.111072540283203</c:v>
                </c:pt>
                <c:pt idx="325">
                  <c:v>40.912754058837891</c:v>
                </c:pt>
                <c:pt idx="326">
                  <c:v>39.890174865722656</c:v>
                </c:pt>
                <c:pt idx="327">
                  <c:v>40.864059448242188</c:v>
                </c:pt>
                <c:pt idx="328">
                  <c:v>40.610851287841797</c:v>
                </c:pt>
                <c:pt idx="329">
                  <c:v>40.416072845458984</c:v>
                </c:pt>
                <c:pt idx="330">
                  <c:v>39.890174865722656</c:v>
                </c:pt>
                <c:pt idx="331">
                  <c:v>39.062381744384766</c:v>
                </c:pt>
                <c:pt idx="332">
                  <c:v>39.393501281738281</c:v>
                </c:pt>
                <c:pt idx="333">
                  <c:v>39.549320220947266</c:v>
                </c:pt>
                <c:pt idx="334">
                  <c:v>39.744098663330078</c:v>
                </c:pt>
                <c:pt idx="335">
                  <c:v>40.269989013671875</c:v>
                </c:pt>
                <c:pt idx="336">
                  <c:v>39.003948211669922</c:v>
                </c:pt>
                <c:pt idx="337">
                  <c:v>39.802528381347656</c:v>
                </c:pt>
                <c:pt idx="338">
                  <c:v>41.078315734863281</c:v>
                </c:pt>
                <c:pt idx="339">
                  <c:v>41.282829284667969</c:v>
                </c:pt>
                <c:pt idx="340">
                  <c:v>40.922492980957031</c:v>
                </c:pt>
                <c:pt idx="341">
                  <c:v>41.253612518310547</c:v>
                </c:pt>
                <c:pt idx="342">
                  <c:v>40.464767456054688</c:v>
                </c:pt>
                <c:pt idx="343">
                  <c:v>40.90301513671875</c:v>
                </c:pt>
                <c:pt idx="344">
                  <c:v>40.523204803466797</c:v>
                </c:pt>
                <c:pt idx="345">
                  <c:v>40.893280029296875</c:v>
                </c:pt>
                <c:pt idx="346">
                  <c:v>39.929134368896484</c:v>
                </c:pt>
                <c:pt idx="347">
                  <c:v>40.084957122802734</c:v>
                </c:pt>
                <c:pt idx="348">
                  <c:v>40.143390655517578</c:v>
                </c:pt>
                <c:pt idx="349">
                  <c:v>40.81536865234375</c:v>
                </c:pt>
                <c:pt idx="350">
                  <c:v>40.864059448242188</c:v>
                </c:pt>
                <c:pt idx="351">
                  <c:v>41.029621124267578</c:v>
                </c:pt>
                <c:pt idx="352">
                  <c:v>42.821563720703125</c:v>
                </c:pt>
                <c:pt idx="353">
                  <c:v>43.240333557128906</c:v>
                </c:pt>
                <c:pt idx="354">
                  <c:v>43.659099578857422</c:v>
                </c:pt>
                <c:pt idx="355">
                  <c:v>44.438205718994141</c:v>
                </c:pt>
                <c:pt idx="356">
                  <c:v>44.175258636474609</c:v>
                </c:pt>
                <c:pt idx="357">
                  <c:v>44.408988952636719</c:v>
                </c:pt>
                <c:pt idx="358">
                  <c:v>46.084064483642578</c:v>
                </c:pt>
                <c:pt idx="359">
                  <c:v>45.928241729736328</c:v>
                </c:pt>
                <c:pt idx="360">
                  <c:v>45.636077880859375</c:v>
                </c:pt>
                <c:pt idx="361">
                  <c:v>44.886188507080078</c:v>
                </c:pt>
                <c:pt idx="362">
                  <c:v>44.243431091308594</c:v>
                </c:pt>
                <c:pt idx="363">
                  <c:v>43.026077270507813</c:v>
                </c:pt>
                <c:pt idx="364">
                  <c:v>42.402793884277344</c:v>
                </c:pt>
                <c:pt idx="365">
                  <c:v>42.091152191162109</c:v>
                </c:pt>
                <c:pt idx="366">
                  <c:v>43.113727569580078</c:v>
                </c:pt>
                <c:pt idx="367">
                  <c:v>42.841041564941406</c:v>
                </c:pt>
                <c:pt idx="368">
                  <c:v>42.74365234375</c:v>
                </c:pt>
                <c:pt idx="369">
                  <c:v>42.539134979248047</c:v>
                </c:pt>
                <c:pt idx="370">
                  <c:v>42.811820983886719</c:v>
                </c:pt>
                <c:pt idx="371">
                  <c:v>41.750289916992188</c:v>
                </c:pt>
                <c:pt idx="372">
                  <c:v>42.636524200439453</c:v>
                </c:pt>
                <c:pt idx="373">
                  <c:v>42.3443603515625</c:v>
                </c:pt>
                <c:pt idx="374">
                  <c:v>42.470962524414063</c:v>
                </c:pt>
                <c:pt idx="375">
                  <c:v>42.850776672363281</c:v>
                </c:pt>
                <c:pt idx="376">
                  <c:v>42.519657135009766</c:v>
                </c:pt>
                <c:pt idx="377">
                  <c:v>42.74365234375</c:v>
                </c:pt>
                <c:pt idx="378">
                  <c:v>41.019878387451172</c:v>
                </c:pt>
                <c:pt idx="379">
                  <c:v>39.636970520019531</c:v>
                </c:pt>
                <c:pt idx="380">
                  <c:v>40.133651733398438</c:v>
                </c:pt>
                <c:pt idx="381">
                  <c:v>39.257156372070313</c:v>
                </c:pt>
                <c:pt idx="382">
                  <c:v>39.120811462402344</c:v>
                </c:pt>
                <c:pt idx="383">
                  <c:v>36.919837951660156</c:v>
                </c:pt>
                <c:pt idx="384">
                  <c:v>37.562602996826172</c:v>
                </c:pt>
                <c:pt idx="385">
                  <c:v>35.731704711914063</c:v>
                </c:pt>
                <c:pt idx="386">
                  <c:v>36.062824249267578</c:v>
                </c:pt>
                <c:pt idx="387">
                  <c:v>37.621036529541016</c:v>
                </c:pt>
                <c:pt idx="388">
                  <c:v>37.913200378417969</c:v>
                </c:pt>
                <c:pt idx="389">
                  <c:v>37.93267822265625</c:v>
                </c:pt>
                <c:pt idx="390">
                  <c:v>38.273536682128906</c:v>
                </c:pt>
                <c:pt idx="391">
                  <c:v>37.621036529541016</c:v>
                </c:pt>
                <c:pt idx="392">
                  <c:v>36.705585479736328</c:v>
                </c:pt>
                <c:pt idx="393">
                  <c:v>35.634315490722656</c:v>
                </c:pt>
                <c:pt idx="394">
                  <c:v>35.1181640625</c:v>
                </c:pt>
                <c:pt idx="395">
                  <c:v>35.819355010986328</c:v>
                </c:pt>
                <c:pt idx="396">
                  <c:v>35.001293182373047</c:v>
                </c:pt>
                <c:pt idx="397">
                  <c:v>36.160213470458984</c:v>
                </c:pt>
                <c:pt idx="398">
                  <c:v>36.666633605957031</c:v>
                </c:pt>
                <c:pt idx="399">
                  <c:v>35.790138244628906</c:v>
                </c:pt>
                <c:pt idx="400">
                  <c:v>35.790138244628906</c:v>
                </c:pt>
                <c:pt idx="401">
                  <c:v>36.023872375488281</c:v>
                </c:pt>
                <c:pt idx="402">
                  <c:v>37.065925598144531</c:v>
                </c:pt>
                <c:pt idx="403">
                  <c:v>37.124355316162109</c:v>
                </c:pt>
                <c:pt idx="404">
                  <c:v>37.173049926757813</c:v>
                </c:pt>
                <c:pt idx="405">
                  <c:v>37.026969909667969</c:v>
                </c:pt>
                <c:pt idx="406">
                  <c:v>37.065925598144531</c:v>
                </c:pt>
                <c:pt idx="407">
                  <c:v>37.572341918945313</c:v>
                </c:pt>
                <c:pt idx="408">
                  <c:v>36.958797454833984</c:v>
                </c:pt>
                <c:pt idx="409">
                  <c:v>38.896816253662109</c:v>
                </c:pt>
                <c:pt idx="410">
                  <c:v>39.958347320556641</c:v>
                </c:pt>
                <c:pt idx="411">
                  <c:v>40.805625915527344</c:v>
                </c:pt>
                <c:pt idx="412">
                  <c:v>40.688762664794922</c:v>
                </c:pt>
                <c:pt idx="413">
                  <c:v>42.10089111328125</c:v>
                </c:pt>
                <c:pt idx="414">
                  <c:v>42.441749572753906</c:v>
                </c:pt>
                <c:pt idx="415">
                  <c:v>42.412532806396484</c:v>
                </c:pt>
                <c:pt idx="416">
                  <c:v>41.915851593017578</c:v>
                </c:pt>
                <c:pt idx="417">
                  <c:v>41.925590515136719</c:v>
                </c:pt>
                <c:pt idx="418">
                  <c:v>41.623687744140625</c:v>
                </c:pt>
                <c:pt idx="419">
                  <c:v>42.013236999511719</c:v>
                </c:pt>
                <c:pt idx="420">
                  <c:v>42.198280334472656</c:v>
                </c:pt>
                <c:pt idx="421">
                  <c:v>40.805625915527344</c:v>
                </c:pt>
                <c:pt idx="422">
                  <c:v>40.864059448242188</c:v>
                </c:pt>
                <c:pt idx="423">
                  <c:v>38.887081146240234</c:v>
                </c:pt>
                <c:pt idx="424">
                  <c:v>38.624134063720703</c:v>
                </c:pt>
                <c:pt idx="425">
                  <c:v>38.302757263183594</c:v>
                </c:pt>
                <c:pt idx="426">
                  <c:v>39.724620819091797</c:v>
                </c:pt>
                <c:pt idx="427">
                  <c:v>39.792789459228516</c:v>
                </c:pt>
                <c:pt idx="428">
                  <c:v>40.484245300292969</c:v>
                </c:pt>
                <c:pt idx="429">
                  <c:v>41.204921722412109</c:v>
                </c:pt>
                <c:pt idx="430">
                  <c:v>43.240333557128906</c:v>
                </c:pt>
                <c:pt idx="431">
                  <c:v>44.1168212890625</c:v>
                </c:pt>
                <c:pt idx="432">
                  <c:v>44.740104675292969</c:v>
                </c:pt>
                <c:pt idx="433">
                  <c:v>45.042011260986328</c:v>
                </c:pt>
                <c:pt idx="434">
                  <c:v>45.860073089599609</c:v>
                </c:pt>
                <c:pt idx="435">
                  <c:v>45.947719573974609</c:v>
                </c:pt>
                <c:pt idx="436">
                  <c:v>45.821117401123047</c:v>
                </c:pt>
                <c:pt idx="437">
                  <c:v>45.168617248535156</c:v>
                </c:pt>
                <c:pt idx="438">
                  <c:v>45.178352355957031</c:v>
                </c:pt>
                <c:pt idx="439">
                  <c:v>45.07122802734375</c:v>
                </c:pt>
                <c:pt idx="440">
                  <c:v>44.964099884033203</c:v>
                </c:pt>
                <c:pt idx="441">
                  <c:v>45.382869720458984</c:v>
                </c:pt>
                <c:pt idx="442">
                  <c:v>44.808277130126953</c:v>
                </c:pt>
                <c:pt idx="443">
                  <c:v>43.814922332763672</c:v>
                </c:pt>
                <c:pt idx="444">
                  <c:v>43.181900024414063</c:v>
                </c:pt>
                <c:pt idx="445">
                  <c:v>42.490444183349609</c:v>
                </c:pt>
                <c:pt idx="446">
                  <c:v>41.380218505859375</c:v>
                </c:pt>
                <c:pt idx="447">
                  <c:v>45.032272338867188</c:v>
                </c:pt>
                <c:pt idx="448">
                  <c:v>43.201377868652344</c:v>
                </c:pt>
                <c:pt idx="449">
                  <c:v>44.730369567871094</c:v>
                </c:pt>
                <c:pt idx="450">
                  <c:v>44.954360961914063</c:v>
                </c:pt>
                <c:pt idx="451">
                  <c:v>46.366493225097656</c:v>
                </c:pt>
                <c:pt idx="452">
                  <c:v>45.811378479003906</c:v>
                </c:pt>
                <c:pt idx="453">
                  <c:v>42.938430786132813</c:v>
                </c:pt>
                <c:pt idx="454">
                  <c:v>43.055290222167969</c:v>
                </c:pt>
                <c:pt idx="455">
                  <c:v>43.775966644287109</c:v>
                </c:pt>
                <c:pt idx="456">
                  <c:v>45.821117401123047</c:v>
                </c:pt>
                <c:pt idx="457">
                  <c:v>47.574104309082031</c:v>
                </c:pt>
                <c:pt idx="458">
                  <c:v>47.204029083251953</c:v>
                </c:pt>
                <c:pt idx="459">
                  <c:v>47.817573547363281</c:v>
                </c:pt>
                <c:pt idx="460">
                  <c:v>47.807834625244141</c:v>
                </c:pt>
                <c:pt idx="461">
                  <c:v>48.470073699951172</c:v>
                </c:pt>
                <c:pt idx="462">
                  <c:v>48.635635375976563</c:v>
                </c:pt>
                <c:pt idx="463">
                  <c:v>48.44085693359375</c:v>
                </c:pt>
                <c:pt idx="464">
                  <c:v>46.921604156494141</c:v>
                </c:pt>
                <c:pt idx="465">
                  <c:v>46.35675048828125</c:v>
                </c:pt>
                <c:pt idx="466">
                  <c:v>46.833953857421875</c:v>
                </c:pt>
                <c:pt idx="467">
                  <c:v>47.486454010009766</c:v>
                </c:pt>
                <c:pt idx="468">
                  <c:v>47.593578338623047</c:v>
                </c:pt>
                <c:pt idx="469">
                  <c:v>47.428020477294922</c:v>
                </c:pt>
                <c:pt idx="470">
                  <c:v>48.557723999023438</c:v>
                </c:pt>
                <c:pt idx="471">
                  <c:v>48.255821228027344</c:v>
                </c:pt>
                <c:pt idx="472">
                  <c:v>47.350109100341797</c:v>
                </c:pt>
                <c:pt idx="473">
                  <c:v>47.126117706298828</c:v>
                </c:pt>
                <c:pt idx="474">
                  <c:v>46.463878631591797</c:v>
                </c:pt>
                <c:pt idx="475">
                  <c:v>46.980037689208984</c:v>
                </c:pt>
                <c:pt idx="476">
                  <c:v>46.376228332519531</c:v>
                </c:pt>
                <c:pt idx="477">
                  <c:v>45.275741577148438</c:v>
                </c:pt>
                <c:pt idx="478">
                  <c:v>44.798542022705078</c:v>
                </c:pt>
                <c:pt idx="479">
                  <c:v>45.100444793701172</c:v>
                </c:pt>
                <c:pt idx="480">
                  <c:v>44.555072784423828</c:v>
                </c:pt>
                <c:pt idx="481">
                  <c:v>44.895927429199219</c:v>
                </c:pt>
                <c:pt idx="482">
                  <c:v>44.681678771972656</c:v>
                </c:pt>
                <c:pt idx="483">
                  <c:v>43.814922332763672</c:v>
                </c:pt>
                <c:pt idx="484">
                  <c:v>44.0291748046875</c:v>
                </c:pt>
                <c:pt idx="485">
                  <c:v>43.999961853027344</c:v>
                </c:pt>
                <c:pt idx="486">
                  <c:v>42.753391265869141</c:v>
                </c:pt>
                <c:pt idx="487">
                  <c:v>43.707794189453125</c:v>
                </c:pt>
                <c:pt idx="488">
                  <c:v>44.204471588134766</c:v>
                </c:pt>
                <c:pt idx="489">
                  <c:v>43.561710357666016</c:v>
                </c:pt>
                <c:pt idx="490">
                  <c:v>42.003501892089844</c:v>
                </c:pt>
                <c:pt idx="491">
                  <c:v>42.422271728515625</c:v>
                </c:pt>
                <c:pt idx="492">
                  <c:v>43.892829895019531</c:v>
                </c:pt>
                <c:pt idx="493">
                  <c:v>43.308502197265625</c:v>
                </c:pt>
                <c:pt idx="494">
                  <c:v>41.750289916992188</c:v>
                </c:pt>
                <c:pt idx="495">
                  <c:v>40.717979431152344</c:v>
                </c:pt>
                <c:pt idx="496">
                  <c:v>41.029621124267578</c:v>
                </c:pt>
                <c:pt idx="497">
                  <c:v>40.941970825195313</c:v>
                </c:pt>
                <c:pt idx="498">
                  <c:v>40.094692230224609</c:v>
                </c:pt>
                <c:pt idx="499">
                  <c:v>40.825103759765625</c:v>
                </c:pt>
                <c:pt idx="500">
                  <c:v>41.828205108642578</c:v>
                </c:pt>
                <c:pt idx="501">
                  <c:v>42.860515594482422</c:v>
                </c:pt>
                <c:pt idx="502">
                  <c:v>42.324882507324219</c:v>
                </c:pt>
                <c:pt idx="503">
                  <c:v>42.480705261230469</c:v>
                </c:pt>
                <c:pt idx="504">
                  <c:v>42.334625244140625</c:v>
                </c:pt>
                <c:pt idx="505">
                  <c:v>43.065032958984375</c:v>
                </c:pt>
                <c:pt idx="506">
                  <c:v>42.422271728515625</c:v>
                </c:pt>
                <c:pt idx="507">
                  <c:v>42.149581909179688</c:v>
                </c:pt>
                <c:pt idx="508">
                  <c:v>42.032718658447266</c:v>
                </c:pt>
                <c:pt idx="509">
                  <c:v>41.711338043212891</c:v>
                </c:pt>
                <c:pt idx="510">
                  <c:v>41.584735870361328</c:v>
                </c:pt>
                <c:pt idx="511">
                  <c:v>41.049098968505859</c:v>
                </c:pt>
                <c:pt idx="512">
                  <c:v>41.039360046386719</c:v>
                </c:pt>
                <c:pt idx="513">
                  <c:v>41.78924560546875</c:v>
                </c:pt>
                <c:pt idx="514">
                  <c:v>41.945072174072266</c:v>
                </c:pt>
                <c:pt idx="515">
                  <c:v>41.906112670898438</c:v>
                </c:pt>
                <c:pt idx="516">
                  <c:v>42.10089111328125</c:v>
                </c:pt>
                <c:pt idx="517">
                  <c:v>43.668838500976563</c:v>
                </c:pt>
                <c:pt idx="518">
                  <c:v>42.402793884277344</c:v>
                </c:pt>
                <c:pt idx="519">
                  <c:v>41.019878387451172</c:v>
                </c:pt>
                <c:pt idx="520">
                  <c:v>38.633869171142578</c:v>
                </c:pt>
                <c:pt idx="521">
                  <c:v>39.052639007568359</c:v>
                </c:pt>
                <c:pt idx="522">
                  <c:v>39.7733154296875</c:v>
                </c:pt>
                <c:pt idx="523">
                  <c:v>36.910102844238281</c:v>
                </c:pt>
                <c:pt idx="524">
                  <c:v>37.241226196289063</c:v>
                </c:pt>
                <c:pt idx="525">
                  <c:v>37.3775634765625</c:v>
                </c:pt>
                <c:pt idx="526">
                  <c:v>36.978275299072266</c:v>
                </c:pt>
                <c:pt idx="527">
                  <c:v>36.988010406494141</c:v>
                </c:pt>
                <c:pt idx="528">
                  <c:v>37.621036529541016</c:v>
                </c:pt>
                <c:pt idx="529">
                  <c:v>38.916297912597656</c:v>
                </c:pt>
                <c:pt idx="530">
                  <c:v>39.383758544921875</c:v>
                </c:pt>
                <c:pt idx="531">
                  <c:v>38.594917297363281</c:v>
                </c:pt>
                <c:pt idx="532">
                  <c:v>37.630775451660156</c:v>
                </c:pt>
                <c:pt idx="533">
                  <c:v>37.085399627685547</c:v>
                </c:pt>
                <c:pt idx="534">
                  <c:v>36.715328216552734</c:v>
                </c:pt>
                <c:pt idx="535">
                  <c:v>35.653797149658203</c:v>
                </c:pt>
                <c:pt idx="536">
                  <c:v>35.809619903564453</c:v>
                </c:pt>
                <c:pt idx="537">
                  <c:v>36.208908081054688</c:v>
                </c:pt>
                <c:pt idx="538">
                  <c:v>37.182788848876953</c:v>
                </c:pt>
                <c:pt idx="539">
                  <c:v>36.150474548339844</c:v>
                </c:pt>
                <c:pt idx="540">
                  <c:v>35.381111145019531</c:v>
                </c:pt>
                <c:pt idx="541">
                  <c:v>35.244762420654297</c:v>
                </c:pt>
                <c:pt idx="542">
                  <c:v>35.731704711914063</c:v>
                </c:pt>
                <c:pt idx="543">
                  <c:v>35.955699920654297</c:v>
                </c:pt>
                <c:pt idx="544">
                  <c:v>36.578983306884766</c:v>
                </c:pt>
                <c:pt idx="545">
                  <c:v>37.494430541992188</c:v>
                </c:pt>
                <c:pt idx="546">
                  <c:v>37.737899780273438</c:v>
                </c:pt>
                <c:pt idx="547">
                  <c:v>37.708686828613281</c:v>
                </c:pt>
                <c:pt idx="548">
                  <c:v>37.036705017089844</c:v>
                </c:pt>
                <c:pt idx="549">
                  <c:v>36.880886077880859</c:v>
                </c:pt>
                <c:pt idx="550">
                  <c:v>37.893722534179688</c:v>
                </c:pt>
                <c:pt idx="551">
                  <c:v>37.2899169921875</c:v>
                </c:pt>
                <c:pt idx="552">
                  <c:v>37.572341918945313</c:v>
                </c:pt>
                <c:pt idx="553">
                  <c:v>38.166408538818359</c:v>
                </c:pt>
                <c:pt idx="554">
                  <c:v>38.624134063720703</c:v>
                </c:pt>
                <c:pt idx="555">
                  <c:v>39.753837585449219</c:v>
                </c:pt>
                <c:pt idx="556">
                  <c:v>38.614398956298828</c:v>
                </c:pt>
                <c:pt idx="557">
                  <c:v>39.325328826904297</c:v>
                </c:pt>
                <c:pt idx="558">
                  <c:v>40.649806976318359</c:v>
                </c:pt>
                <c:pt idx="559">
                  <c:v>39.744098663330078</c:v>
                </c:pt>
                <c:pt idx="560">
                  <c:v>38.721519470214844</c:v>
                </c:pt>
                <c:pt idx="561">
                  <c:v>38.069019317626953</c:v>
                </c:pt>
                <c:pt idx="562">
                  <c:v>37.728164672851563</c:v>
                </c:pt>
                <c:pt idx="563">
                  <c:v>37.757377624511719</c:v>
                </c:pt>
                <c:pt idx="564">
                  <c:v>37.93267822265625</c:v>
                </c:pt>
                <c:pt idx="565">
                  <c:v>37.163314819335938</c:v>
                </c:pt>
                <c:pt idx="566">
                  <c:v>38.254058837890625</c:v>
                </c:pt>
                <c:pt idx="567">
                  <c:v>37.445735931396484</c:v>
                </c:pt>
                <c:pt idx="568">
                  <c:v>36.988010406494141</c:v>
                </c:pt>
                <c:pt idx="569">
                  <c:v>36.306293487548828</c:v>
                </c:pt>
                <c:pt idx="570">
                  <c:v>35.838832855224609</c:v>
                </c:pt>
                <c:pt idx="571">
                  <c:v>35.692752838134766</c:v>
                </c:pt>
                <c:pt idx="572">
                  <c:v>35.858310699462891</c:v>
                </c:pt>
                <c:pt idx="573">
                  <c:v>37.13409423828125</c:v>
                </c:pt>
                <c:pt idx="574">
                  <c:v>36.413425445556641</c:v>
                </c:pt>
                <c:pt idx="575">
                  <c:v>36.277080535888672</c:v>
                </c:pt>
                <c:pt idx="576">
                  <c:v>35.712223052978516</c:v>
                </c:pt>
                <c:pt idx="577">
                  <c:v>35.6051025390625</c:v>
                </c:pt>
                <c:pt idx="578">
                  <c:v>35.400585174560547</c:v>
                </c:pt>
                <c:pt idx="579">
                  <c:v>36.462116241455078</c:v>
                </c:pt>
                <c:pt idx="580">
                  <c:v>36.413425445556641</c:v>
                </c:pt>
                <c:pt idx="581">
                  <c:v>36.471855163574219</c:v>
                </c:pt>
                <c:pt idx="582">
                  <c:v>36.627674102783203</c:v>
                </c:pt>
                <c:pt idx="583">
                  <c:v>36.082302093505859</c:v>
                </c:pt>
                <c:pt idx="584">
                  <c:v>36.676368713378906</c:v>
                </c:pt>
                <c:pt idx="585">
                  <c:v>37.737899780273438</c:v>
                </c:pt>
                <c:pt idx="586">
                  <c:v>37.552867889404297</c:v>
                </c:pt>
                <c:pt idx="587">
                  <c:v>37.698947906494141</c:v>
                </c:pt>
                <c:pt idx="588">
                  <c:v>37.455474853515625</c:v>
                </c:pt>
                <c:pt idx="589">
                  <c:v>37.698947906494141</c:v>
                </c:pt>
                <c:pt idx="590">
                  <c:v>37.280174255371094</c:v>
                </c:pt>
                <c:pt idx="591">
                  <c:v>37.299652099609375</c:v>
                </c:pt>
                <c:pt idx="592">
                  <c:v>35.585624694824219</c:v>
                </c:pt>
                <c:pt idx="593">
                  <c:v>35.390846252441406</c:v>
                </c:pt>
                <c:pt idx="594">
                  <c:v>34.144283294677734</c:v>
                </c:pt>
                <c:pt idx="595">
                  <c:v>34.738346099853516</c:v>
                </c:pt>
                <c:pt idx="596">
                  <c:v>34.952598571777344</c:v>
                </c:pt>
                <c:pt idx="597">
                  <c:v>34.494873046875</c:v>
                </c:pt>
                <c:pt idx="598">
                  <c:v>35.205810546875</c:v>
                </c:pt>
                <c:pt idx="599">
                  <c:v>35.536930084228516</c:v>
                </c:pt>
                <c:pt idx="600">
                  <c:v>35.585624694824219</c:v>
                </c:pt>
                <c:pt idx="601">
                  <c:v>36.014129638671875</c:v>
                </c:pt>
                <c:pt idx="602">
                  <c:v>35.858310699462891</c:v>
                </c:pt>
                <c:pt idx="603">
                  <c:v>35.225284576416016</c:v>
                </c:pt>
                <c:pt idx="604">
                  <c:v>34.017673492431641</c:v>
                </c:pt>
                <c:pt idx="605">
                  <c:v>34.670173645019531</c:v>
                </c:pt>
                <c:pt idx="606">
                  <c:v>34.192974090576172</c:v>
                </c:pt>
                <c:pt idx="607">
                  <c:v>34.903907775878906</c:v>
                </c:pt>
                <c:pt idx="608">
                  <c:v>34.884429931640625</c:v>
                </c:pt>
                <c:pt idx="609">
                  <c:v>35.225284576416016</c:v>
                </c:pt>
                <c:pt idx="610">
                  <c:v>36.540027618408203</c:v>
                </c:pt>
                <c:pt idx="611">
                  <c:v>36.64715576171875</c:v>
                </c:pt>
                <c:pt idx="612">
                  <c:v>35.585624694824219</c:v>
                </c:pt>
                <c:pt idx="613">
                  <c:v>35.741447448730469</c:v>
                </c:pt>
                <c:pt idx="614">
                  <c:v>35.692752838134766</c:v>
                </c:pt>
                <c:pt idx="615">
                  <c:v>36.296558380126953</c:v>
                </c:pt>
                <c:pt idx="616">
                  <c:v>36.841930389404297</c:v>
                </c:pt>
                <c:pt idx="617">
                  <c:v>37.2899169921875</c:v>
                </c:pt>
                <c:pt idx="618">
                  <c:v>36.140735626220703</c:v>
                </c:pt>
                <c:pt idx="619">
                  <c:v>37.065925598144531</c:v>
                </c:pt>
                <c:pt idx="620">
                  <c:v>37.104877471923828</c:v>
                </c:pt>
                <c:pt idx="621">
                  <c:v>36.111522674560547</c:v>
                </c:pt>
                <c:pt idx="622">
                  <c:v>37.153572082519531</c:v>
                </c:pt>
                <c:pt idx="623">
                  <c:v>37.095142364501953</c:v>
                </c:pt>
                <c:pt idx="624">
                  <c:v>37.767116546630859</c:v>
                </c:pt>
                <c:pt idx="625">
                  <c:v>37.689205169677734</c:v>
                </c:pt>
                <c:pt idx="626">
                  <c:v>37.543125152587891</c:v>
                </c:pt>
                <c:pt idx="627">
                  <c:v>38.010589599609375</c:v>
                </c:pt>
                <c:pt idx="628">
                  <c:v>37.202266693115234</c:v>
                </c:pt>
                <c:pt idx="629">
                  <c:v>37.3775634765625</c:v>
                </c:pt>
                <c:pt idx="630">
                  <c:v>37.494430541992188</c:v>
                </c:pt>
                <c:pt idx="631">
                  <c:v>38.146926879882813</c:v>
                </c:pt>
                <c:pt idx="632">
                  <c:v>38.964988708496094</c:v>
                </c:pt>
                <c:pt idx="633">
                  <c:v>39.841484069824219</c:v>
                </c:pt>
                <c:pt idx="634">
                  <c:v>39.412979125976563</c:v>
                </c:pt>
                <c:pt idx="635">
                  <c:v>39.257156372070313</c:v>
                </c:pt>
                <c:pt idx="636">
                  <c:v>39.627231597900391</c:v>
                </c:pt>
                <c:pt idx="637">
                  <c:v>38.643611907958984</c:v>
                </c:pt>
                <c:pt idx="638">
                  <c:v>37.3775634765625</c:v>
                </c:pt>
                <c:pt idx="639">
                  <c:v>37.786594390869141</c:v>
                </c:pt>
                <c:pt idx="640">
                  <c:v>38.585174560546875</c:v>
                </c:pt>
                <c:pt idx="641">
                  <c:v>38.663089752197266</c:v>
                </c:pt>
                <c:pt idx="642">
                  <c:v>38.107978820800781</c:v>
                </c:pt>
                <c:pt idx="643">
                  <c:v>37.630775451660156</c:v>
                </c:pt>
                <c:pt idx="644">
                  <c:v>37.93267822265625</c:v>
                </c:pt>
                <c:pt idx="645">
                  <c:v>37.93267822265625</c:v>
                </c:pt>
                <c:pt idx="646">
                  <c:v>38.107978820800781</c:v>
                </c:pt>
                <c:pt idx="647">
                  <c:v>37.796337127685547</c:v>
                </c:pt>
                <c:pt idx="648">
                  <c:v>38.127452850341797</c:v>
                </c:pt>
                <c:pt idx="649">
                  <c:v>38.263797760009766</c:v>
                </c:pt>
                <c:pt idx="650">
                  <c:v>37.698947906494141</c:v>
                </c:pt>
                <c:pt idx="651">
                  <c:v>36.666633605957031</c:v>
                </c:pt>
                <c:pt idx="652">
                  <c:v>36.432899475097656</c:v>
                </c:pt>
                <c:pt idx="653">
                  <c:v>36.014129638671875</c:v>
                </c:pt>
                <c:pt idx="654">
                  <c:v>35.712223052978516</c:v>
                </c:pt>
                <c:pt idx="655">
                  <c:v>35.984916687011719</c:v>
                </c:pt>
                <c:pt idx="656">
                  <c:v>36.218643188476563</c:v>
                </c:pt>
                <c:pt idx="657">
                  <c:v>36.588722229003906</c:v>
                </c:pt>
                <c:pt idx="658">
                  <c:v>36.277080535888672</c:v>
                </c:pt>
                <c:pt idx="659">
                  <c:v>36.520549774169922</c:v>
                </c:pt>
                <c:pt idx="660">
                  <c:v>35.819355010986328</c:v>
                </c:pt>
                <c:pt idx="661">
                  <c:v>36.238121032714844</c:v>
                </c:pt>
                <c:pt idx="662">
                  <c:v>35.673274993896484</c:v>
                </c:pt>
                <c:pt idx="663">
                  <c:v>36.160213470458984</c:v>
                </c:pt>
                <c:pt idx="664">
                  <c:v>37.611293792724609</c:v>
                </c:pt>
                <c:pt idx="665">
                  <c:v>38.468315124511719</c:v>
                </c:pt>
                <c:pt idx="666">
                  <c:v>39.159767150878906</c:v>
                </c:pt>
                <c:pt idx="667">
                  <c:v>39.636970520019531</c:v>
                </c:pt>
                <c:pt idx="668">
                  <c:v>40.162868499755859</c:v>
                </c:pt>
                <c:pt idx="669">
                  <c:v>41.253612518310547</c:v>
                </c:pt>
                <c:pt idx="670">
                  <c:v>41.565258026123047</c:v>
                </c:pt>
                <c:pt idx="671">
                  <c:v>40.679023742675781</c:v>
                </c:pt>
                <c:pt idx="672">
                  <c:v>40.795886993408203</c:v>
                </c:pt>
                <c:pt idx="673">
                  <c:v>40.591373443603516</c:v>
                </c:pt>
                <c:pt idx="674">
                  <c:v>41.068572998046875</c:v>
                </c:pt>
                <c:pt idx="675">
                  <c:v>41.195178985595703</c:v>
                </c:pt>
                <c:pt idx="676">
                  <c:v>42.363838195800781</c:v>
                </c:pt>
                <c:pt idx="677">
                  <c:v>42.850776672363281</c:v>
                </c:pt>
                <c:pt idx="678">
                  <c:v>43.435104370117188</c:v>
                </c:pt>
                <c:pt idx="679">
                  <c:v>43.999961853027344</c:v>
                </c:pt>
                <c:pt idx="680">
                  <c:v>43.853878021240234</c:v>
                </c:pt>
                <c:pt idx="681">
                  <c:v>43.337718963623047</c:v>
                </c:pt>
                <c:pt idx="682">
                  <c:v>43.844139099121094</c:v>
                </c:pt>
                <c:pt idx="683">
                  <c:v>43.688316345214844</c:v>
                </c:pt>
                <c:pt idx="684">
                  <c:v>43.493541717529297</c:v>
                </c:pt>
                <c:pt idx="685">
                  <c:v>43.503276824951172</c:v>
                </c:pt>
                <c:pt idx="686">
                  <c:v>43.162422180175781</c:v>
                </c:pt>
                <c:pt idx="687">
                  <c:v>43.259807586669922</c:v>
                </c:pt>
                <c:pt idx="688">
                  <c:v>43.211112976074219</c:v>
                </c:pt>
                <c:pt idx="689">
                  <c:v>42.704696655273438</c:v>
                </c:pt>
                <c:pt idx="690">
                  <c:v>42.841041564941406</c:v>
                </c:pt>
                <c:pt idx="691">
                  <c:v>42.139846801757813</c:v>
                </c:pt>
                <c:pt idx="692">
                  <c:v>42.169059753417969</c:v>
                </c:pt>
                <c:pt idx="693">
                  <c:v>43.006595611572266</c:v>
                </c:pt>
                <c:pt idx="694">
                  <c:v>42.74365234375</c:v>
                </c:pt>
                <c:pt idx="695">
                  <c:v>42.617042541503906</c:v>
                </c:pt>
                <c:pt idx="696">
                  <c:v>41.701595306396484</c:v>
                </c:pt>
                <c:pt idx="697">
                  <c:v>41.945072174072266</c:v>
                </c:pt>
                <c:pt idx="698">
                  <c:v>42.841041564941406</c:v>
                </c:pt>
                <c:pt idx="699">
                  <c:v>42.071674346923828</c:v>
                </c:pt>
                <c:pt idx="700">
                  <c:v>41.321784973144531</c:v>
                </c:pt>
                <c:pt idx="701">
                  <c:v>39.442195892333984</c:v>
                </c:pt>
                <c:pt idx="702">
                  <c:v>40.094692230224609</c:v>
                </c:pt>
                <c:pt idx="703">
                  <c:v>39.802528381347656</c:v>
                </c:pt>
                <c:pt idx="704">
                  <c:v>39.890174865722656</c:v>
                </c:pt>
                <c:pt idx="705">
                  <c:v>40.10443115234375</c:v>
                </c:pt>
                <c:pt idx="706">
                  <c:v>39.111072540283203</c:v>
                </c:pt>
                <c:pt idx="707">
                  <c:v>39.344806671142578</c:v>
                </c:pt>
                <c:pt idx="708">
                  <c:v>39.257156372070313</c:v>
                </c:pt>
                <c:pt idx="709">
                  <c:v>39.393501281738281</c:v>
                </c:pt>
                <c:pt idx="710">
                  <c:v>39.344806671142578</c:v>
                </c:pt>
                <c:pt idx="711">
                  <c:v>40.007045745849609</c:v>
                </c:pt>
                <c:pt idx="712">
                  <c:v>38.867603302001953</c:v>
                </c:pt>
                <c:pt idx="713">
                  <c:v>38.867603302001953</c:v>
                </c:pt>
                <c:pt idx="714">
                  <c:v>38.692306518554688</c:v>
                </c:pt>
                <c:pt idx="715">
                  <c:v>38.838390350341797</c:v>
                </c:pt>
                <c:pt idx="716">
                  <c:v>38.546226501464844</c:v>
                </c:pt>
                <c:pt idx="717">
                  <c:v>38.838390350341797</c:v>
                </c:pt>
                <c:pt idx="718">
                  <c:v>38.955253601074219</c:v>
                </c:pt>
                <c:pt idx="719">
                  <c:v>39.364284515380859</c:v>
                </c:pt>
                <c:pt idx="720">
                  <c:v>39.763576507568359</c:v>
                </c:pt>
                <c:pt idx="721">
                  <c:v>40.532939910888672</c:v>
                </c:pt>
                <c:pt idx="722">
                  <c:v>41.906112670898438</c:v>
                </c:pt>
                <c:pt idx="723">
                  <c:v>41.984024047851563</c:v>
                </c:pt>
                <c:pt idx="724">
                  <c:v>42.169059753417969</c:v>
                </c:pt>
                <c:pt idx="725">
                  <c:v>42.607307434082031</c:v>
                </c:pt>
                <c:pt idx="726">
                  <c:v>41.623687744140625</c:v>
                </c:pt>
                <c:pt idx="727">
                  <c:v>42.110630035400391</c:v>
                </c:pt>
                <c:pt idx="728">
                  <c:v>42.548873901367188</c:v>
                </c:pt>
                <c:pt idx="729">
                  <c:v>42.393051147460938</c:v>
                </c:pt>
                <c:pt idx="730">
                  <c:v>42.724174499511719</c:v>
                </c:pt>
                <c:pt idx="731">
                  <c:v>42.685218811035156</c:v>
                </c:pt>
                <c:pt idx="732">
                  <c:v>44.253166198730469</c:v>
                </c:pt>
                <c:pt idx="733">
                  <c:v>44.749847412109375</c:v>
                </c:pt>
                <c:pt idx="734">
                  <c:v>45.499736785888672</c:v>
                </c:pt>
                <c:pt idx="735">
                  <c:v>45.402347564697266</c:v>
                </c:pt>
                <c:pt idx="736">
                  <c:v>44.856975555419922</c:v>
                </c:pt>
                <c:pt idx="737">
                  <c:v>45.129657745361328</c:v>
                </c:pt>
                <c:pt idx="738">
                  <c:v>44.876453399658203</c:v>
                </c:pt>
                <c:pt idx="739">
                  <c:v>44.301864624023438</c:v>
                </c:pt>
                <c:pt idx="740">
                  <c:v>44.905670166015625</c:v>
                </c:pt>
                <c:pt idx="741">
                  <c:v>47.165073394775391</c:v>
                </c:pt>
                <c:pt idx="742">
                  <c:v>48.022090911865234</c:v>
                </c:pt>
                <c:pt idx="743">
                  <c:v>48.684329986572266</c:v>
                </c:pt>
                <c:pt idx="744">
                  <c:v>49.804290771484375</c:v>
                </c:pt>
                <c:pt idx="745">
                  <c:v>50.057498931884766</c:v>
                </c:pt>
                <c:pt idx="746">
                  <c:v>49.852985382080078</c:v>
                </c:pt>
                <c:pt idx="747">
                  <c:v>50.145153045654297</c:v>
                </c:pt>
                <c:pt idx="748">
                  <c:v>51.596233367919922</c:v>
                </c:pt>
                <c:pt idx="749">
                  <c:v>51.946830749511719</c:v>
                </c:pt>
                <c:pt idx="750">
                  <c:v>52.131866455078125</c:v>
                </c:pt>
                <c:pt idx="751">
                  <c:v>53.027835845947266</c:v>
                </c:pt>
                <c:pt idx="752">
                  <c:v>52.248733520507813</c:v>
                </c:pt>
                <c:pt idx="753">
                  <c:v>51.907875061035156</c:v>
                </c:pt>
                <c:pt idx="754">
                  <c:v>50.291229248046875</c:v>
                </c:pt>
                <c:pt idx="755">
                  <c:v>51.615711212158203</c:v>
                </c:pt>
                <c:pt idx="756">
                  <c:v>51.615711212158203</c:v>
                </c:pt>
                <c:pt idx="757">
                  <c:v>50.505485534667969</c:v>
                </c:pt>
                <c:pt idx="758">
                  <c:v>50.12567138671875</c:v>
                </c:pt>
                <c:pt idx="759">
                  <c:v>49.142047882080078</c:v>
                </c:pt>
                <c:pt idx="760">
                  <c:v>50.271751403808594</c:v>
                </c:pt>
                <c:pt idx="761">
                  <c:v>49.541343688964844</c:v>
                </c:pt>
                <c:pt idx="762">
                  <c:v>49.073879241943359</c:v>
                </c:pt>
                <c:pt idx="763">
                  <c:v>50.106193542480469</c:v>
                </c:pt>
                <c:pt idx="764">
                  <c:v>49.891941070556641</c:v>
                </c:pt>
                <c:pt idx="765">
                  <c:v>49.658210754394531</c:v>
                </c:pt>
                <c:pt idx="766">
                  <c:v>49.745857238769531</c:v>
                </c:pt>
                <c:pt idx="767">
                  <c:v>49.784812927246094</c:v>
                </c:pt>
                <c:pt idx="768">
                  <c:v>49.775077819824219</c:v>
                </c:pt>
                <c:pt idx="769">
                  <c:v>51.498844146728516</c:v>
                </c:pt>
                <c:pt idx="770">
                  <c:v>54.089366912841797</c:v>
                </c:pt>
                <c:pt idx="771">
                  <c:v>55.988437652587891</c:v>
                </c:pt>
                <c:pt idx="772">
                  <c:v>55.861835479736328</c:v>
                </c:pt>
                <c:pt idx="773">
                  <c:v>56.524074554443359</c:v>
                </c:pt>
                <c:pt idx="774">
                  <c:v>57.049968719482422</c:v>
                </c:pt>
                <c:pt idx="775">
                  <c:v>56.728588104248047</c:v>
                </c:pt>
                <c:pt idx="776">
                  <c:v>57.741424560546875</c:v>
                </c:pt>
                <c:pt idx="777">
                  <c:v>58.277061462402344</c:v>
                </c:pt>
                <c:pt idx="778">
                  <c:v>58.325752258300781</c:v>
                </c:pt>
                <c:pt idx="779">
                  <c:v>58.15045166015625</c:v>
                </c:pt>
                <c:pt idx="780">
                  <c:v>56.679897308349609</c:v>
                </c:pt>
                <c:pt idx="781">
                  <c:v>55.939743041992188</c:v>
                </c:pt>
                <c:pt idx="782">
                  <c:v>56.085826873779297</c:v>
                </c:pt>
                <c:pt idx="783">
                  <c:v>54.673694610595703</c:v>
                </c:pt>
                <c:pt idx="784">
                  <c:v>55.219070434570313</c:v>
                </c:pt>
                <c:pt idx="785">
                  <c:v>54.29388427734375</c:v>
                </c:pt>
                <c:pt idx="786">
                  <c:v>55.3359375</c:v>
                </c:pt>
                <c:pt idx="787">
                  <c:v>55.014560699462891</c:v>
                </c:pt>
                <c:pt idx="788">
                  <c:v>56.77728271484375</c:v>
                </c:pt>
                <c:pt idx="789">
                  <c:v>56.231910705566406</c:v>
                </c:pt>
                <c:pt idx="790">
                  <c:v>56.592243194580078</c:v>
                </c:pt>
                <c:pt idx="791">
                  <c:v>57.26422119140625</c:v>
                </c:pt>
                <c:pt idx="792">
                  <c:v>55.998176574707031</c:v>
                </c:pt>
                <c:pt idx="793">
                  <c:v>56.485115051269531</c:v>
                </c:pt>
                <c:pt idx="794">
                  <c:v>57.322654724121094</c:v>
                </c:pt>
                <c:pt idx="795">
                  <c:v>57.118141174316406</c:v>
                </c:pt>
                <c:pt idx="796">
                  <c:v>56.660415649414063</c:v>
                </c:pt>
                <c:pt idx="797">
                  <c:v>56.533809661865234</c:v>
                </c:pt>
                <c:pt idx="798">
                  <c:v>55.355415344238281</c:v>
                </c:pt>
                <c:pt idx="799">
                  <c:v>54.537353515625</c:v>
                </c:pt>
                <c:pt idx="800">
                  <c:v>54.508140563964844</c:v>
                </c:pt>
                <c:pt idx="801">
                  <c:v>54.800304412841797</c:v>
                </c:pt>
                <c:pt idx="802">
                  <c:v>55.608619689941406</c:v>
                </c:pt>
                <c:pt idx="803">
                  <c:v>56.222171783447266</c:v>
                </c:pt>
                <c:pt idx="804">
                  <c:v>57.020751953125</c:v>
                </c:pt>
                <c:pt idx="805">
                  <c:v>57.429782867431641</c:v>
                </c:pt>
                <c:pt idx="806">
                  <c:v>56.757804870605469</c:v>
                </c:pt>
                <c:pt idx="807">
                  <c:v>56.261123657226563</c:v>
                </c:pt>
                <c:pt idx="808">
                  <c:v>55.141159057617188</c:v>
                </c:pt>
                <c:pt idx="809">
                  <c:v>55.783920288085938</c:v>
                </c:pt>
                <c:pt idx="810">
                  <c:v>56.894142150878906</c:v>
                </c:pt>
                <c:pt idx="811">
                  <c:v>57.332393646240234</c:v>
                </c:pt>
                <c:pt idx="812">
                  <c:v>56.972057342529297</c:v>
                </c:pt>
                <c:pt idx="813">
                  <c:v>57.030490875244141</c:v>
                </c:pt>
                <c:pt idx="814">
                  <c:v>59.319110870361328</c:v>
                </c:pt>
                <c:pt idx="815">
                  <c:v>61.091575622558594</c:v>
                </c:pt>
                <c:pt idx="816">
                  <c:v>61.549301147460938</c:v>
                </c:pt>
                <c:pt idx="817">
                  <c:v>64.276168823242188</c:v>
                </c:pt>
                <c:pt idx="818">
                  <c:v>62.786128997802734</c:v>
                </c:pt>
                <c:pt idx="819">
                  <c:v>59.796318054199219</c:v>
                </c:pt>
                <c:pt idx="820">
                  <c:v>57.566123962402344</c:v>
                </c:pt>
                <c:pt idx="821">
                  <c:v>57.235008239746094</c:v>
                </c:pt>
                <c:pt idx="822">
                  <c:v>58.734786987304688</c:v>
                </c:pt>
                <c:pt idx="823">
                  <c:v>59.085376739501953</c:v>
                </c:pt>
                <c:pt idx="824">
                  <c:v>58.442619323730469</c:v>
                </c:pt>
                <c:pt idx="825">
                  <c:v>58.325752258300781</c:v>
                </c:pt>
                <c:pt idx="826">
                  <c:v>57.371349334716797</c:v>
                </c:pt>
                <c:pt idx="827">
                  <c:v>58.432880401611328</c:v>
                </c:pt>
                <c:pt idx="828">
                  <c:v>58.997730255126953</c:v>
                </c:pt>
                <c:pt idx="829">
                  <c:v>58.647136688232422</c:v>
                </c:pt>
                <c:pt idx="830">
                  <c:v>58.335491180419922</c:v>
                </c:pt>
                <c:pt idx="831">
                  <c:v>58.471836090087891</c:v>
                </c:pt>
                <c:pt idx="832">
                  <c:v>58.725044250488281</c:v>
                </c:pt>
                <c:pt idx="833">
                  <c:v>58.637393951416016</c:v>
                </c:pt>
                <c:pt idx="834">
                  <c:v>58.871124267578125</c:v>
                </c:pt>
                <c:pt idx="835">
                  <c:v>58.763999938964844</c:v>
                </c:pt>
                <c:pt idx="836">
                  <c:v>59.221725463867188</c:v>
                </c:pt>
                <c:pt idx="837">
                  <c:v>58.617916107177734</c:v>
                </c:pt>
                <c:pt idx="838">
                  <c:v>58.432880401611328</c:v>
                </c:pt>
                <c:pt idx="839">
                  <c:v>58.822433471679688</c:v>
                </c:pt>
                <c:pt idx="840">
                  <c:v>58.296535491943359</c:v>
                </c:pt>
                <c:pt idx="841">
                  <c:v>58.939296722412109</c:v>
                </c:pt>
                <c:pt idx="842">
                  <c:v>60.0787353515625</c:v>
                </c:pt>
                <c:pt idx="843">
                  <c:v>60.585155487060547</c:v>
                </c:pt>
                <c:pt idx="844">
                  <c:v>60.400123596191406</c:v>
                </c:pt>
                <c:pt idx="845">
                  <c:v>62.386837005615234</c:v>
                </c:pt>
                <c:pt idx="846">
                  <c:v>62.5621337890625</c:v>
                </c:pt>
                <c:pt idx="847">
                  <c:v>61.744075775146484</c:v>
                </c:pt>
                <c:pt idx="848">
                  <c:v>61.685646057128906</c:v>
                </c:pt>
                <c:pt idx="849">
                  <c:v>61.763553619384766</c:v>
                </c:pt>
                <c:pt idx="850">
                  <c:v>61.938850402832031</c:v>
                </c:pt>
                <c:pt idx="851">
                  <c:v>61.34478759765625</c:v>
                </c:pt>
                <c:pt idx="852">
                  <c:v>61.705123901367188</c:v>
                </c:pt>
                <c:pt idx="853">
                  <c:v>62.532920837402344</c:v>
                </c:pt>
                <c:pt idx="854">
                  <c:v>61.929115295410156</c:v>
                </c:pt>
                <c:pt idx="855">
                  <c:v>62.240756988525391</c:v>
                </c:pt>
                <c:pt idx="856">
                  <c:v>61.656429290771484</c:v>
                </c:pt>
                <c:pt idx="857">
                  <c:v>63.204898834228516</c:v>
                </c:pt>
                <c:pt idx="858">
                  <c:v>62.14337158203125</c:v>
                </c:pt>
                <c:pt idx="859">
                  <c:v>60.7896728515625</c:v>
                </c:pt>
                <c:pt idx="860">
                  <c:v>59.406761169433594</c:v>
                </c:pt>
                <c:pt idx="861">
                  <c:v>60.302730560302734</c:v>
                </c:pt>
                <c:pt idx="862">
                  <c:v>60.565677642822266</c:v>
                </c:pt>
                <c:pt idx="863">
                  <c:v>59.903438568115234</c:v>
                </c:pt>
                <c:pt idx="864">
                  <c:v>60.039787292480469</c:v>
                </c:pt>
                <c:pt idx="865">
                  <c:v>58.169929504394531</c:v>
                </c:pt>
                <c:pt idx="866">
                  <c:v>57.702468872070313</c:v>
                </c:pt>
                <c:pt idx="867">
                  <c:v>57.478477478027344</c:v>
                </c:pt>
                <c:pt idx="868">
                  <c:v>60.185867309570313</c:v>
                </c:pt>
                <c:pt idx="869">
                  <c:v>61.03314208984375</c:v>
                </c:pt>
                <c:pt idx="870">
                  <c:v>60.351428985595703</c:v>
                </c:pt>
                <c:pt idx="871">
                  <c:v>60.088478088378906</c:v>
                </c:pt>
                <c:pt idx="872">
                  <c:v>58.277061462402344</c:v>
                </c:pt>
                <c:pt idx="873">
                  <c:v>58.608177185058594</c:v>
                </c:pt>
                <c:pt idx="874">
                  <c:v>61.042881011962891</c:v>
                </c:pt>
                <c:pt idx="875">
                  <c:v>60.604633331298828</c:v>
                </c:pt>
                <c:pt idx="876">
                  <c:v>59.854743957519531</c:v>
                </c:pt>
                <c:pt idx="877">
                  <c:v>59.221725463867188</c:v>
                </c:pt>
                <c:pt idx="878">
                  <c:v>59.552841186523438</c:v>
                </c:pt>
                <c:pt idx="879">
                  <c:v>59.406761169433594</c:v>
                </c:pt>
                <c:pt idx="880">
                  <c:v>59.474929809570313</c:v>
                </c:pt>
                <c:pt idx="881">
                  <c:v>59.552841186523438</c:v>
                </c:pt>
                <c:pt idx="882">
                  <c:v>60.263778686523438</c:v>
                </c:pt>
                <c:pt idx="883">
                  <c:v>58.647136688232422</c:v>
                </c:pt>
                <c:pt idx="884">
                  <c:v>58.793212890625</c:v>
                </c:pt>
                <c:pt idx="885">
                  <c:v>58.910083770751953</c:v>
                </c:pt>
                <c:pt idx="886">
                  <c:v>59.095119476318359</c:v>
                </c:pt>
                <c:pt idx="887">
                  <c:v>58.656871795654297</c:v>
                </c:pt>
                <c:pt idx="888">
                  <c:v>58.160194396972656</c:v>
                </c:pt>
                <c:pt idx="889">
                  <c:v>58.949031829833984</c:v>
                </c:pt>
                <c:pt idx="890">
                  <c:v>58.773735046386719</c:v>
                </c:pt>
                <c:pt idx="891">
                  <c:v>59.260677337646484</c:v>
                </c:pt>
                <c:pt idx="892">
                  <c:v>59.202247619628906</c:v>
                </c:pt>
                <c:pt idx="893">
                  <c:v>58.208889007568359</c:v>
                </c:pt>
                <c:pt idx="894">
                  <c:v>58.695827484130859</c:v>
                </c:pt>
                <c:pt idx="895">
                  <c:v>58.910083770751953</c:v>
                </c:pt>
                <c:pt idx="896">
                  <c:v>59.864486694335938</c:v>
                </c:pt>
                <c:pt idx="897">
                  <c:v>60.283256530761719</c:v>
                </c:pt>
                <c:pt idx="898">
                  <c:v>60.361164093017578</c:v>
                </c:pt>
                <c:pt idx="899">
                  <c:v>59.864486694335938</c:v>
                </c:pt>
                <c:pt idx="900">
                  <c:v>59.9910888671875</c:v>
                </c:pt>
                <c:pt idx="901">
                  <c:v>60.312469482421875</c:v>
                </c:pt>
                <c:pt idx="902">
                  <c:v>59.621013641357422</c:v>
                </c:pt>
                <c:pt idx="903">
                  <c:v>60.565677642822266</c:v>
                </c:pt>
                <c:pt idx="904">
                  <c:v>61.403217315673828</c:v>
                </c:pt>
                <c:pt idx="905">
                  <c:v>61.3642578125</c:v>
                </c:pt>
                <c:pt idx="906">
                  <c:v>62.698478698730469</c:v>
                </c:pt>
                <c:pt idx="907">
                  <c:v>63.156204223632813</c:v>
                </c:pt>
                <c:pt idx="908">
                  <c:v>62.776390075683594</c:v>
                </c:pt>
                <c:pt idx="909">
                  <c:v>62.435531616210938</c:v>
                </c:pt>
                <c:pt idx="910">
                  <c:v>62.318668365478516</c:v>
                </c:pt>
                <c:pt idx="911">
                  <c:v>62.669261932373047</c:v>
                </c:pt>
                <c:pt idx="912">
                  <c:v>61.714859008789063</c:v>
                </c:pt>
                <c:pt idx="913">
                  <c:v>62.269969940185547</c:v>
                </c:pt>
                <c:pt idx="914">
                  <c:v>60.8773193359375</c:v>
                </c:pt>
                <c:pt idx="915">
                  <c:v>61.237659454345703</c:v>
                </c:pt>
                <c:pt idx="916">
                  <c:v>60.984447479248047</c:v>
                </c:pt>
                <c:pt idx="917">
                  <c:v>60.215084075927734</c:v>
                </c:pt>
                <c:pt idx="918">
                  <c:v>59.815788269042969</c:v>
                </c:pt>
                <c:pt idx="919">
                  <c:v>59.767093658447266</c:v>
                </c:pt>
                <c:pt idx="920">
                  <c:v>60.273513793945313</c:v>
                </c:pt>
                <c:pt idx="921">
                  <c:v>59.689186096191406</c:v>
                </c:pt>
                <c:pt idx="922">
                  <c:v>59.698925018310547</c:v>
                </c:pt>
                <c:pt idx="923">
                  <c:v>60.672805786132813</c:v>
                </c:pt>
                <c:pt idx="924">
                  <c:v>62.455009460449219</c:v>
                </c:pt>
                <c:pt idx="925">
                  <c:v>62.396575927734375</c:v>
                </c:pt>
                <c:pt idx="926">
                  <c:v>62.708217620849609</c:v>
                </c:pt>
                <c:pt idx="927">
                  <c:v>62.318668365478516</c:v>
                </c:pt>
                <c:pt idx="928">
                  <c:v>63.302288055419922</c:v>
                </c:pt>
                <c:pt idx="929">
                  <c:v>63.263332366943359</c:v>
                </c:pt>
                <c:pt idx="930">
                  <c:v>65.026054382324219</c:v>
                </c:pt>
                <c:pt idx="931">
                  <c:v>66.223930358886719</c:v>
                </c:pt>
                <c:pt idx="932">
                  <c:v>65.629859924316406</c:v>
                </c:pt>
                <c:pt idx="933">
                  <c:v>65.766204833984375</c:v>
                </c:pt>
                <c:pt idx="934">
                  <c:v>66.516098022460938</c:v>
                </c:pt>
                <c:pt idx="935">
                  <c:v>65.026054382324219</c:v>
                </c:pt>
                <c:pt idx="936">
                  <c:v>65.337692260742188</c:v>
                </c:pt>
                <c:pt idx="937">
                  <c:v>65.707778930664063</c:v>
                </c:pt>
                <c:pt idx="938">
                  <c:v>64.354080200195313</c:v>
                </c:pt>
                <c:pt idx="939">
                  <c:v>64.841018676757813</c:v>
                </c:pt>
                <c:pt idx="940">
                  <c:v>63.935310363769531</c:v>
                </c:pt>
                <c:pt idx="941">
                  <c:v>63.380195617675781</c:v>
                </c:pt>
                <c:pt idx="942">
                  <c:v>63.350982666015625</c:v>
                </c:pt>
                <c:pt idx="943">
                  <c:v>65.006576538085938</c:v>
                </c:pt>
                <c:pt idx="944">
                  <c:v>65.698036193847656</c:v>
                </c:pt>
                <c:pt idx="945">
                  <c:v>65.581169128417969</c:v>
                </c:pt>
                <c:pt idx="946">
                  <c:v>66.126548767089844</c:v>
                </c:pt>
                <c:pt idx="947">
                  <c:v>65.250053405761719</c:v>
                </c:pt>
                <c:pt idx="948">
                  <c:v>63.555500030517578</c:v>
                </c:pt>
                <c:pt idx="949">
                  <c:v>62.951690673828125</c:v>
                </c:pt>
                <c:pt idx="950">
                  <c:v>63.760013580322266</c:v>
                </c:pt>
                <c:pt idx="951">
                  <c:v>64.217735290527344</c:v>
                </c:pt>
                <c:pt idx="952">
                  <c:v>63.088035583496094</c:v>
                </c:pt>
                <c:pt idx="953">
                  <c:v>63.808700561523438</c:v>
                </c:pt>
                <c:pt idx="954">
                  <c:v>64.938407897949219</c:v>
                </c:pt>
                <c:pt idx="955">
                  <c:v>65.142921447753906</c:v>
                </c:pt>
                <c:pt idx="956">
                  <c:v>65.922027587890625</c:v>
                </c:pt>
                <c:pt idx="957">
                  <c:v>65.68829345703125</c:v>
                </c:pt>
                <c:pt idx="958">
                  <c:v>65.941497802734375</c:v>
                </c:pt>
                <c:pt idx="959">
                  <c:v>65.240310668945313</c:v>
                </c:pt>
                <c:pt idx="960">
                  <c:v>65.912284851074219</c:v>
                </c:pt>
                <c:pt idx="961">
                  <c:v>66.594001770019531</c:v>
                </c:pt>
                <c:pt idx="962">
                  <c:v>68.161949157714844</c:v>
                </c:pt>
                <c:pt idx="963">
                  <c:v>70.119453430175781</c:v>
                </c:pt>
                <c:pt idx="964">
                  <c:v>72.485984802246094</c:v>
                </c:pt>
                <c:pt idx="965">
                  <c:v>75.358932495117188</c:v>
                </c:pt>
                <c:pt idx="966">
                  <c:v>76.527595520019531</c:v>
                </c:pt>
                <c:pt idx="967">
                  <c:v>76.897666931152344</c:v>
                </c:pt>
                <c:pt idx="968">
                  <c:v>77.21905517578125</c:v>
                </c:pt>
                <c:pt idx="969">
                  <c:v>76.926887512207031</c:v>
                </c:pt>
                <c:pt idx="970">
                  <c:v>80.247825622558594</c:v>
                </c:pt>
                <c:pt idx="971">
                  <c:v>79.809577941894531</c:v>
                </c:pt>
                <c:pt idx="972">
                  <c:v>80.53997802734375</c:v>
                </c:pt>
                <c:pt idx="973">
                  <c:v>80.267303466796875</c:v>
                </c:pt>
                <c:pt idx="974">
                  <c:v>79.264198303222656</c:v>
                </c:pt>
                <c:pt idx="975">
                  <c:v>76.936630249023438</c:v>
                </c:pt>
                <c:pt idx="976">
                  <c:v>77.180091857910156</c:v>
                </c:pt>
                <c:pt idx="977">
                  <c:v>76.956100463867188</c:v>
                </c:pt>
                <c:pt idx="978">
                  <c:v>74.209754943847656</c:v>
                </c:pt>
                <c:pt idx="979">
                  <c:v>73.674125671386719</c:v>
                </c:pt>
                <c:pt idx="980">
                  <c:v>74.287666320800781</c:v>
                </c:pt>
                <c:pt idx="981">
                  <c:v>71.804275512695313</c:v>
                </c:pt>
                <c:pt idx="982">
                  <c:v>72.320426940917969</c:v>
                </c:pt>
                <c:pt idx="983">
                  <c:v>72.865798950195313</c:v>
                </c:pt>
                <c:pt idx="984">
                  <c:v>73.157966613769531</c:v>
                </c:pt>
                <c:pt idx="985">
                  <c:v>72.038002014160156</c:v>
                </c:pt>
                <c:pt idx="986">
                  <c:v>71.76531982421875</c:v>
                </c:pt>
                <c:pt idx="987">
                  <c:v>72.310684204101563</c:v>
                </c:pt>
                <c:pt idx="988">
                  <c:v>74.901214599609375</c:v>
                </c:pt>
                <c:pt idx="989">
                  <c:v>72.320426940917969</c:v>
                </c:pt>
                <c:pt idx="990">
                  <c:v>72.505462646484375</c:v>
                </c:pt>
                <c:pt idx="991">
                  <c:v>71.54132080078125</c:v>
                </c:pt>
                <c:pt idx="992">
                  <c:v>71.064125061035156</c:v>
                </c:pt>
                <c:pt idx="993">
                  <c:v>69.827285766601563</c:v>
                </c:pt>
                <c:pt idx="994">
                  <c:v>70.216835021972656</c:v>
                </c:pt>
                <c:pt idx="995">
                  <c:v>70.927780151367188</c:v>
                </c:pt>
                <c:pt idx="996">
                  <c:v>71.775054931640625</c:v>
                </c:pt>
                <c:pt idx="997">
                  <c:v>71.015426635742188</c:v>
                </c:pt>
                <c:pt idx="998">
                  <c:v>71.599754333496094</c:v>
                </c:pt>
                <c:pt idx="999">
                  <c:v>71.210205078125</c:v>
                </c:pt>
                <c:pt idx="1000">
                  <c:v>70.210174560546875</c:v>
                </c:pt>
                <c:pt idx="1001">
                  <c:v>70.596321105957031</c:v>
                </c:pt>
                <c:pt idx="1002">
                  <c:v>69.764610290527344</c:v>
                </c:pt>
                <c:pt idx="1003">
                  <c:v>69.754707336425781</c:v>
                </c:pt>
                <c:pt idx="1004">
                  <c:v>69.962638854980469</c:v>
                </c:pt>
                <c:pt idx="1005">
                  <c:v>69.5269775390625</c:v>
                </c:pt>
                <c:pt idx="1006">
                  <c:v>69.3487548828125</c:v>
                </c:pt>
                <c:pt idx="1007">
                  <c:v>68.566551208496094</c:v>
                </c:pt>
                <c:pt idx="1008">
                  <c:v>69.130928039550781</c:v>
                </c:pt>
                <c:pt idx="1009">
                  <c:v>68.041786193847656</c:v>
                </c:pt>
                <c:pt idx="1010">
                  <c:v>67.536819458007813</c:v>
                </c:pt>
                <c:pt idx="1011">
                  <c:v>67.804153442382813</c:v>
                </c:pt>
                <c:pt idx="1012">
                  <c:v>66.962539672851563</c:v>
                </c:pt>
                <c:pt idx="1013">
                  <c:v>67.536819458007813</c:v>
                </c:pt>
                <c:pt idx="1014">
                  <c:v>67.497207641601563</c:v>
                </c:pt>
                <c:pt idx="1015">
                  <c:v>66.586288452148438</c:v>
                </c:pt>
                <c:pt idx="1016">
                  <c:v>61.536624908447266</c:v>
                </c:pt>
                <c:pt idx="1017">
                  <c:v>63.833728790283203</c:v>
                </c:pt>
                <c:pt idx="1018">
                  <c:v>67.853660583496094</c:v>
                </c:pt>
                <c:pt idx="1019">
                  <c:v>66.833824157714844</c:v>
                </c:pt>
                <c:pt idx="1020">
                  <c:v>62.635669708251953</c:v>
                </c:pt>
                <c:pt idx="1021">
                  <c:v>61.526721954345703</c:v>
                </c:pt>
                <c:pt idx="1022">
                  <c:v>60.992050170898438</c:v>
                </c:pt>
                <c:pt idx="1023">
                  <c:v>60.695011138916016</c:v>
                </c:pt>
                <c:pt idx="1024">
                  <c:v>60.506889343261719</c:v>
                </c:pt>
                <c:pt idx="1025">
                  <c:v>60.259357452392578</c:v>
                </c:pt>
                <c:pt idx="1026">
                  <c:v>59.338535308837891</c:v>
                </c:pt>
                <c:pt idx="1027">
                  <c:v>59.992019653320313</c:v>
                </c:pt>
                <c:pt idx="1028">
                  <c:v>59.219718933105469</c:v>
                </c:pt>
                <c:pt idx="1029">
                  <c:v>59.170211791992188</c:v>
                </c:pt>
                <c:pt idx="1030">
                  <c:v>61.526721954345703</c:v>
                </c:pt>
                <c:pt idx="1031">
                  <c:v>62.279224395751953</c:v>
                </c:pt>
                <c:pt idx="1032">
                  <c:v>62.279224395751953</c:v>
                </c:pt>
                <c:pt idx="1033">
                  <c:v>61.873271942138672</c:v>
                </c:pt>
                <c:pt idx="1034">
                  <c:v>63.200046539306641</c:v>
                </c:pt>
                <c:pt idx="1035">
                  <c:v>62.972312927246094</c:v>
                </c:pt>
                <c:pt idx="1036">
                  <c:v>64.101058959960938</c:v>
                </c:pt>
                <c:pt idx="1037">
                  <c:v>62.784187316894531</c:v>
                </c:pt>
                <c:pt idx="1038">
                  <c:v>63.546588897705078</c:v>
                </c:pt>
                <c:pt idx="1039">
                  <c:v>62.338630676269531</c:v>
                </c:pt>
                <c:pt idx="1040">
                  <c:v>61.407909393310547</c:v>
                </c:pt>
                <c:pt idx="1041">
                  <c:v>61.378204345703125</c:v>
                </c:pt>
                <c:pt idx="1042">
                  <c:v>60.774223327636719</c:v>
                </c:pt>
                <c:pt idx="1043">
                  <c:v>61.259387969970703</c:v>
                </c:pt>
                <c:pt idx="1044">
                  <c:v>61.516822814941406</c:v>
                </c:pt>
                <c:pt idx="1045">
                  <c:v>62.803993225097656</c:v>
                </c:pt>
                <c:pt idx="1046">
                  <c:v>61.249488830566406</c:v>
                </c:pt>
                <c:pt idx="1047">
                  <c:v>60.912841796875</c:v>
                </c:pt>
                <c:pt idx="1048">
                  <c:v>60.982151031494141</c:v>
                </c:pt>
                <c:pt idx="1049">
                  <c:v>60.289058685302734</c:v>
                </c:pt>
                <c:pt idx="1050">
                  <c:v>61.506919860839844</c:v>
                </c:pt>
                <c:pt idx="1051">
                  <c:v>61.249488830566406</c:v>
                </c:pt>
                <c:pt idx="1052">
                  <c:v>60.833629608154297</c:v>
                </c:pt>
                <c:pt idx="1053">
                  <c:v>57.6256103515625</c:v>
                </c:pt>
                <c:pt idx="1054">
                  <c:v>54.853244781494141</c:v>
                </c:pt>
                <c:pt idx="1055">
                  <c:v>54.576004028320313</c:v>
                </c:pt>
                <c:pt idx="1056">
                  <c:v>54.061134338378906</c:v>
                </c:pt>
                <c:pt idx="1057">
                  <c:v>54.684917449951172</c:v>
                </c:pt>
                <c:pt idx="1058">
                  <c:v>55.467124938964844</c:v>
                </c:pt>
                <c:pt idx="1059">
                  <c:v>54.813636779785156</c:v>
                </c:pt>
                <c:pt idx="1060">
                  <c:v>54.684917449951172</c:v>
                </c:pt>
                <c:pt idx="1061">
                  <c:v>53.863113403320313</c:v>
                </c:pt>
                <c:pt idx="1062">
                  <c:v>54.467090606689453</c:v>
                </c:pt>
                <c:pt idx="1063">
                  <c:v>54.476993560791016</c:v>
                </c:pt>
                <c:pt idx="1064">
                  <c:v>54.486892700195313</c:v>
                </c:pt>
                <c:pt idx="1065">
                  <c:v>54.457191467285156</c:v>
                </c:pt>
                <c:pt idx="1066">
                  <c:v>54.457191467285156</c:v>
                </c:pt>
                <c:pt idx="1067">
                  <c:v>55.120574951171875</c:v>
                </c:pt>
                <c:pt idx="1068">
                  <c:v>55.566135406494141</c:v>
                </c:pt>
                <c:pt idx="1069">
                  <c:v>55.635444641113281</c:v>
                </c:pt>
                <c:pt idx="1070">
                  <c:v>55.803768157958984</c:v>
                </c:pt>
                <c:pt idx="1071">
                  <c:v>56.69488525390625</c:v>
                </c:pt>
                <c:pt idx="1072">
                  <c:v>57.417682647705078</c:v>
                </c:pt>
                <c:pt idx="1073">
                  <c:v>55.853275299072266</c:v>
                </c:pt>
                <c:pt idx="1074">
                  <c:v>55.516628265380859</c:v>
                </c:pt>
                <c:pt idx="1075">
                  <c:v>55.952285766601563</c:v>
                </c:pt>
                <c:pt idx="1076">
                  <c:v>54.833438873291016</c:v>
                </c:pt>
                <c:pt idx="1077">
                  <c:v>54.734424591064453</c:v>
                </c:pt>
                <c:pt idx="1078">
                  <c:v>56.090908050537109</c:v>
                </c:pt>
                <c:pt idx="1079">
                  <c:v>55.358207702636719</c:v>
                </c:pt>
                <c:pt idx="1080">
                  <c:v>53.566070556640625</c:v>
                </c:pt>
                <c:pt idx="1081">
                  <c:v>55.209686279296875</c:v>
                </c:pt>
                <c:pt idx="1082">
                  <c:v>53.85321044921875</c:v>
                </c:pt>
                <c:pt idx="1083">
                  <c:v>53.189823150634766</c:v>
                </c:pt>
                <c:pt idx="1084">
                  <c:v>52.397716522216797</c:v>
                </c:pt>
                <c:pt idx="1085">
                  <c:v>51.447193145751953</c:v>
                </c:pt>
                <c:pt idx="1086">
                  <c:v>52.684856414794922</c:v>
                </c:pt>
                <c:pt idx="1087">
                  <c:v>50.83331298828125</c:v>
                </c:pt>
                <c:pt idx="1088">
                  <c:v>50.971927642822266</c:v>
                </c:pt>
                <c:pt idx="1089">
                  <c:v>52.090778350830078</c:v>
                </c:pt>
                <c:pt idx="1090">
                  <c:v>52.506629943847656</c:v>
                </c:pt>
                <c:pt idx="1091">
                  <c:v>52.001667022705078</c:v>
                </c:pt>
                <c:pt idx="1092">
                  <c:v>52.397716522216797</c:v>
                </c:pt>
                <c:pt idx="1093">
                  <c:v>52.724460601806641</c:v>
                </c:pt>
                <c:pt idx="1094">
                  <c:v>51.724430084228516</c:v>
                </c:pt>
                <c:pt idx="1095">
                  <c:v>51.803638458251953</c:v>
                </c:pt>
                <c:pt idx="1096">
                  <c:v>52.595741271972656</c:v>
                </c:pt>
                <c:pt idx="1097">
                  <c:v>52.853179931640625</c:v>
                </c:pt>
                <c:pt idx="1098">
                  <c:v>52.338310241699219</c:v>
                </c:pt>
                <c:pt idx="1099">
                  <c:v>53.793804168701172</c:v>
                </c:pt>
                <c:pt idx="1100">
                  <c:v>53.665084838867188</c:v>
                </c:pt>
                <c:pt idx="1101">
                  <c:v>53.061103820800781</c:v>
                </c:pt>
                <c:pt idx="1102">
                  <c:v>51.882850646972656</c:v>
                </c:pt>
                <c:pt idx="1103">
                  <c:v>53.031402587890625</c:v>
                </c:pt>
                <c:pt idx="1104">
                  <c:v>53.467060089111328</c:v>
                </c:pt>
                <c:pt idx="1105">
                  <c:v>53.962123870849609</c:v>
                </c:pt>
                <c:pt idx="1106">
                  <c:v>52.674953460693359</c:v>
                </c:pt>
                <c:pt idx="1107">
                  <c:v>53.130413055419922</c:v>
                </c:pt>
                <c:pt idx="1108">
                  <c:v>52.813571929931641</c:v>
                </c:pt>
                <c:pt idx="1109">
                  <c:v>52.516532897949219</c:v>
                </c:pt>
                <c:pt idx="1110">
                  <c:v>54.615612030029297</c:v>
                </c:pt>
                <c:pt idx="1111">
                  <c:v>53.843311309814453</c:v>
                </c:pt>
                <c:pt idx="1112">
                  <c:v>53.833404541015625</c:v>
                </c:pt>
                <c:pt idx="1113">
                  <c:v>54.556201934814453</c:v>
                </c:pt>
                <c:pt idx="1114">
                  <c:v>54.368076324462891</c:v>
                </c:pt>
                <c:pt idx="1115">
                  <c:v>53.189823150634766</c:v>
                </c:pt>
                <c:pt idx="1116">
                  <c:v>50.318443298339844</c:v>
                </c:pt>
                <c:pt idx="1117">
                  <c:v>50.853115081787109</c:v>
                </c:pt>
                <c:pt idx="1118">
                  <c:v>49.763969421386719</c:v>
                </c:pt>
                <c:pt idx="1119">
                  <c:v>50.130317687988281</c:v>
                </c:pt>
                <c:pt idx="1120">
                  <c:v>48.892654418945313</c:v>
                </c:pt>
                <c:pt idx="1121">
                  <c:v>48.338180541992188</c:v>
                </c:pt>
                <c:pt idx="1122">
                  <c:v>47.833217620849609</c:v>
                </c:pt>
                <c:pt idx="1123">
                  <c:v>48.674827575683594</c:v>
                </c:pt>
                <c:pt idx="1124">
                  <c:v>49.952095031738281</c:v>
                </c:pt>
                <c:pt idx="1125">
                  <c:v>48.872852325439453</c:v>
                </c:pt>
                <c:pt idx="1126">
                  <c:v>49.783771514892578</c:v>
                </c:pt>
                <c:pt idx="1127">
                  <c:v>49.645153045654297</c:v>
                </c:pt>
                <c:pt idx="1128">
                  <c:v>49.011470794677734</c:v>
                </c:pt>
                <c:pt idx="1129">
                  <c:v>48.159957885742188</c:v>
                </c:pt>
                <c:pt idx="1130">
                  <c:v>47.357955932617188</c:v>
                </c:pt>
                <c:pt idx="1131">
                  <c:v>47.496570587158203</c:v>
                </c:pt>
                <c:pt idx="1132">
                  <c:v>47.120319366455078</c:v>
                </c:pt>
                <c:pt idx="1133">
                  <c:v>47.625286102294922</c:v>
                </c:pt>
                <c:pt idx="1134">
                  <c:v>47.100517272949219</c:v>
                </c:pt>
                <c:pt idx="1135">
                  <c:v>46.852985382080078</c:v>
                </c:pt>
                <c:pt idx="1136">
                  <c:v>46.862888336181641</c:v>
                </c:pt>
                <c:pt idx="1137">
                  <c:v>46.546043395996094</c:v>
                </c:pt>
                <c:pt idx="1138">
                  <c:v>45.120258331298828</c:v>
                </c:pt>
                <c:pt idx="1139">
                  <c:v>45.605422973632813</c:v>
                </c:pt>
                <c:pt idx="1140">
                  <c:v>44.585586547851563</c:v>
                </c:pt>
                <c:pt idx="1141">
                  <c:v>44.575687408447266</c:v>
                </c:pt>
                <c:pt idx="1142">
                  <c:v>44.545982360839844</c:v>
                </c:pt>
                <c:pt idx="1143">
                  <c:v>43.922199249267578</c:v>
                </c:pt>
                <c:pt idx="1144">
                  <c:v>45.417293548583984</c:v>
                </c:pt>
                <c:pt idx="1145">
                  <c:v>44.644992828369141</c:v>
                </c:pt>
                <c:pt idx="1146">
                  <c:v>45.298480987548828</c:v>
                </c:pt>
                <c:pt idx="1147">
                  <c:v>45.714332580566406</c:v>
                </c:pt>
                <c:pt idx="1148">
                  <c:v>46.130191802978516</c:v>
                </c:pt>
                <c:pt idx="1149">
                  <c:v>46.635154724121094</c:v>
                </c:pt>
                <c:pt idx="1150">
                  <c:v>45.367790222167969</c:v>
                </c:pt>
                <c:pt idx="1151">
                  <c:v>44.130126953125</c:v>
                </c:pt>
                <c:pt idx="1152">
                  <c:v>43.833087921142578</c:v>
                </c:pt>
                <c:pt idx="1153">
                  <c:v>44.684600830078125</c:v>
                </c:pt>
                <c:pt idx="1154">
                  <c:v>43.743976593017578</c:v>
                </c:pt>
                <c:pt idx="1155">
                  <c:v>42.823154449462891</c:v>
                </c:pt>
                <c:pt idx="1156">
                  <c:v>44.852920532226563</c:v>
                </c:pt>
                <c:pt idx="1157">
                  <c:v>44.347957611083984</c:v>
                </c:pt>
                <c:pt idx="1158">
                  <c:v>43.080585479736328</c:v>
                </c:pt>
                <c:pt idx="1159">
                  <c:v>43.050884246826172</c:v>
                </c:pt>
                <c:pt idx="1160">
                  <c:v>42.486507415771484</c:v>
                </c:pt>
                <c:pt idx="1161">
                  <c:v>42.684535980224609</c:v>
                </c:pt>
                <c:pt idx="1162">
                  <c:v>43.159797668457031</c:v>
                </c:pt>
                <c:pt idx="1163">
                  <c:v>45.447002410888672</c:v>
                </c:pt>
                <c:pt idx="1164">
                  <c:v>45.575714111328125</c:v>
                </c:pt>
                <c:pt idx="1165">
                  <c:v>45.031143188476563</c:v>
                </c:pt>
                <c:pt idx="1166">
                  <c:v>46.348018646240234</c:v>
                </c:pt>
                <c:pt idx="1167">
                  <c:v>43.476638793945313</c:v>
                </c:pt>
                <c:pt idx="1168">
                  <c:v>43.565750122070313</c:v>
                </c:pt>
                <c:pt idx="1169">
                  <c:v>43.605358123779297</c:v>
                </c:pt>
                <c:pt idx="1170">
                  <c:v>41.407264709472656</c:v>
                </c:pt>
                <c:pt idx="1171">
                  <c:v>40.506248474121094</c:v>
                </c:pt>
                <c:pt idx="1172">
                  <c:v>39.347797393798828</c:v>
                </c:pt>
                <c:pt idx="1173">
                  <c:v>40.318122863769531</c:v>
                </c:pt>
                <c:pt idx="1174">
                  <c:v>40.951808929443359</c:v>
                </c:pt>
                <c:pt idx="1175">
                  <c:v>40.486446380615234</c:v>
                </c:pt>
                <c:pt idx="1176">
                  <c:v>40.229011535644531</c:v>
                </c:pt>
                <c:pt idx="1177">
                  <c:v>41.337959289550781</c:v>
                </c:pt>
                <c:pt idx="1178">
                  <c:v>41.833023071289063</c:v>
                </c:pt>
                <c:pt idx="1179">
                  <c:v>43.169696807861328</c:v>
                </c:pt>
                <c:pt idx="1180">
                  <c:v>44.21923828125</c:v>
                </c:pt>
                <c:pt idx="1181">
                  <c:v>44.110321044921875</c:v>
                </c:pt>
                <c:pt idx="1182">
                  <c:v>43.842987060546875</c:v>
                </c:pt>
                <c:pt idx="1183">
                  <c:v>44.367759704589844</c:v>
                </c:pt>
                <c:pt idx="1184">
                  <c:v>43.763778686523438</c:v>
                </c:pt>
                <c:pt idx="1185">
                  <c:v>45.308380126953125</c:v>
                </c:pt>
                <c:pt idx="1186">
                  <c:v>45.486602783203125</c:v>
                </c:pt>
                <c:pt idx="1187">
                  <c:v>47.2391357421875</c:v>
                </c:pt>
                <c:pt idx="1188">
                  <c:v>48.34808349609375</c:v>
                </c:pt>
                <c:pt idx="1189">
                  <c:v>49.377819061279297</c:v>
                </c:pt>
                <c:pt idx="1190">
                  <c:v>49.219398498535156</c:v>
                </c:pt>
                <c:pt idx="1191">
                  <c:v>49.100582122802734</c:v>
                </c:pt>
                <c:pt idx="1192">
                  <c:v>48.97186279296875</c:v>
                </c:pt>
                <c:pt idx="1193">
                  <c:v>50.981834411621094</c:v>
                </c:pt>
                <c:pt idx="1194">
                  <c:v>50.328346252441406</c:v>
                </c:pt>
                <c:pt idx="1195">
                  <c:v>50.516468048095703</c:v>
                </c:pt>
                <c:pt idx="1196">
                  <c:v>50.645187377929688</c:v>
                </c:pt>
                <c:pt idx="1197">
                  <c:v>49.664955139160156</c:v>
                </c:pt>
                <c:pt idx="1198">
                  <c:v>49.199592590332031</c:v>
                </c:pt>
                <c:pt idx="1199">
                  <c:v>48.97186279296875</c:v>
                </c:pt>
                <c:pt idx="1200">
                  <c:v>46.664863586425781</c:v>
                </c:pt>
                <c:pt idx="1201">
                  <c:v>45.447002410888672</c:v>
                </c:pt>
                <c:pt idx="1202">
                  <c:v>44.536079406738281</c:v>
                </c:pt>
                <c:pt idx="1203">
                  <c:v>44.615291595458984</c:v>
                </c:pt>
                <c:pt idx="1204">
                  <c:v>44.248939514160156</c:v>
                </c:pt>
                <c:pt idx="1205">
                  <c:v>42.734043121337891</c:v>
                </c:pt>
                <c:pt idx="1206">
                  <c:v>41.892433166503906</c:v>
                </c:pt>
                <c:pt idx="1207">
                  <c:v>42.0904541015625</c:v>
                </c:pt>
                <c:pt idx="1208">
                  <c:v>41.605293273925781</c:v>
                </c:pt>
                <c:pt idx="1209">
                  <c:v>40.298320770263672</c:v>
                </c:pt>
                <c:pt idx="1210">
                  <c:v>39.664638519287109</c:v>
                </c:pt>
                <c:pt idx="1211">
                  <c:v>40.35772705078125</c:v>
                </c:pt>
                <c:pt idx="1212">
                  <c:v>40.615161895751953</c:v>
                </c:pt>
                <c:pt idx="1213">
                  <c:v>40.991413116455078</c:v>
                </c:pt>
                <c:pt idx="1214">
                  <c:v>41.496379852294922</c:v>
                </c:pt>
                <c:pt idx="1215">
                  <c:v>42.199371337890625</c:v>
                </c:pt>
                <c:pt idx="1216">
                  <c:v>43.050884246826172</c:v>
                </c:pt>
                <c:pt idx="1217">
                  <c:v>42.476608276367188</c:v>
                </c:pt>
                <c:pt idx="1218">
                  <c:v>42.704338073730469</c:v>
                </c:pt>
                <c:pt idx="1219">
                  <c:v>42.615226745605469</c:v>
                </c:pt>
                <c:pt idx="1220">
                  <c:v>42.476608276367188</c:v>
                </c:pt>
                <c:pt idx="1221">
                  <c:v>43.239006042480469</c:v>
                </c:pt>
                <c:pt idx="1222">
                  <c:v>43.100387573242188</c:v>
                </c:pt>
                <c:pt idx="1223">
                  <c:v>43.179599761962891</c:v>
                </c:pt>
                <c:pt idx="1224">
                  <c:v>43.219207763671875</c:v>
                </c:pt>
                <c:pt idx="1225">
                  <c:v>44.248939514160156</c:v>
                </c:pt>
                <c:pt idx="1226">
                  <c:v>45.367790222167969</c:v>
                </c:pt>
                <c:pt idx="1227">
                  <c:v>43.575653076171875</c:v>
                </c:pt>
                <c:pt idx="1228">
                  <c:v>41.803321838378906</c:v>
                </c:pt>
                <c:pt idx="1229">
                  <c:v>41.803321838378906</c:v>
                </c:pt>
                <c:pt idx="1230">
                  <c:v>44.258842468261719</c:v>
                </c:pt>
                <c:pt idx="1231">
                  <c:v>41.169635772705078</c:v>
                </c:pt>
                <c:pt idx="1232">
                  <c:v>40.922103881835938</c:v>
                </c:pt>
                <c:pt idx="1233">
                  <c:v>41.031017303466797</c:v>
                </c:pt>
                <c:pt idx="1234">
                  <c:v>40.634963989257813</c:v>
                </c:pt>
                <c:pt idx="1235">
                  <c:v>41.031017303466797</c:v>
                </c:pt>
                <c:pt idx="1236">
                  <c:v>42.130062103271484</c:v>
                </c:pt>
                <c:pt idx="1237">
                  <c:v>40.674571990966797</c:v>
                </c:pt>
                <c:pt idx="1238">
                  <c:v>42.040950775146484</c:v>
                </c:pt>
                <c:pt idx="1239">
                  <c:v>43.159797668457031</c:v>
                </c:pt>
                <c:pt idx="1240">
                  <c:v>45.140060424804688</c:v>
                </c:pt>
                <c:pt idx="1241">
                  <c:v>45.714332580566406</c:v>
                </c:pt>
                <c:pt idx="1242">
                  <c:v>43.377628326416016</c:v>
                </c:pt>
                <c:pt idx="1243">
                  <c:v>43.536048889160156</c:v>
                </c:pt>
                <c:pt idx="1244">
                  <c:v>42.684535980224609</c:v>
                </c:pt>
                <c:pt idx="1245">
                  <c:v>43.526145935058594</c:v>
                </c:pt>
                <c:pt idx="1246">
                  <c:v>44.744007110595703</c:v>
                </c:pt>
                <c:pt idx="1247">
                  <c:v>44.536079406738281</c:v>
                </c:pt>
                <c:pt idx="1248">
                  <c:v>43.773677825927734</c:v>
                </c:pt>
                <c:pt idx="1249">
                  <c:v>45.981670379638672</c:v>
                </c:pt>
                <c:pt idx="1250">
                  <c:v>45.654930114746094</c:v>
                </c:pt>
                <c:pt idx="1251">
                  <c:v>45.654930114746094</c:v>
                </c:pt>
                <c:pt idx="1252">
                  <c:v>46.050979614257813</c:v>
                </c:pt>
                <c:pt idx="1253">
                  <c:v>47.249038696289063</c:v>
                </c:pt>
                <c:pt idx="1254">
                  <c:v>48.070846557617188</c:v>
                </c:pt>
                <c:pt idx="1255">
                  <c:v>47.645088195800781</c:v>
                </c:pt>
                <c:pt idx="1256">
                  <c:v>46.862888336181641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C-41E7-917F-73EA39181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587113"/>
        <c:axId val="1617257665"/>
      </c:lineChart>
      <c:catAx>
        <c:axId val="875587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617257665"/>
        <c:crosses val="autoZero"/>
        <c:auto val="1"/>
        <c:lblAlgn val="ctr"/>
        <c:lblOffset val="100"/>
        <c:noMultiLvlLbl val="1"/>
      </c:catAx>
      <c:valAx>
        <c:axId val="1617257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ASUR.MX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755871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4</xdr:row>
      <xdr:rowOff>0</xdr:rowOff>
    </xdr:from>
    <xdr:ext cx="9191625" cy="57150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3</xdr:row>
      <xdr:rowOff>171450</xdr:rowOff>
    </xdr:from>
    <xdr:ext cx="8858250" cy="54768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3</xdr:row>
      <xdr:rowOff>161925</xdr:rowOff>
    </xdr:from>
    <xdr:ext cx="8477250" cy="523875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3</xdr:row>
      <xdr:rowOff>190500</xdr:rowOff>
    </xdr:from>
    <xdr:ext cx="8286750" cy="5124450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8420100" cy="52101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9C22A56-3468-432C-BB0A-1EE3937DAF2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BIMBOA" tableColumnId="2"/>
      <queryTableField id="3" name="GCARSOA1" tableColumnId="3"/>
      <queryTableField id="4" name="GMEXICOB" tableColumnId="4"/>
      <queryTableField id="5" name="KOFUBL" tableColumnId="5"/>
      <queryTableField id="6" name="ALSE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DE8DE-824F-48B3-A811-9D8A52FBF298}" name="adj_close" displayName="adj_close" ref="A1:F1258" tableType="queryTable" totalsRowShown="0">
  <autoFilter ref="A1:F1258" xr:uid="{4DDDE8DE-824F-48B3-A811-9D8A52FBF298}"/>
  <tableColumns count="6">
    <tableColumn id="1" xr3:uid="{44C9BADF-76E9-44F5-A39C-ACED1F3C5A5B}" uniqueName="1" name="Date" queryTableFieldId="1" dataDxfId="0"/>
    <tableColumn id="2" xr3:uid="{04A98475-E5A1-4A7B-9F02-02FCD4AC0B7A}" uniqueName="2" name="BIMBOA" queryTableFieldId="2"/>
    <tableColumn id="3" xr3:uid="{A854AE02-D4BF-4313-9511-1F1488B88607}" uniqueName="3" name="GCARSOA1" queryTableFieldId="3"/>
    <tableColumn id="4" xr3:uid="{013EAEBB-90F9-421F-B2F2-AB50BB5B4B6B}" uniqueName="4" name="GMEXICOB" queryTableFieldId="4"/>
    <tableColumn id="5" xr3:uid="{F5ACF8BE-94D4-4341-A758-4A20E35FE321}" uniqueName="5" name="KOFUBL" queryTableFieldId="5"/>
    <tableColumn id="6" xr3:uid="{2EC357A4-76A7-49B4-8CE7-F7FAC15EDE1B}" uniqueName="6" name="ALSE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bimboa.mx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tepresto.com/prestamos-personales?utm_source=googleads&amp;utm_medium=g&amp;utm_content=79605897483:626835688024&amp;utm_campaign=6944045184&amp;utm_term=kwd-14280251&amp;keyword=prestamos&amp;adposition=&amp;gad_source=1&amp;gbraid=0AAAAADcws_xJ-xHGQD9lS5VKXullXyWSy&amp;gclid=Cj0KCQiA88a5BhDPARIsAFj595iRg0Cm058UDves8XV4Z5H1MgPcfJWBM40iceRNkh_Mzv95fgJbtvkaApyT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FCE6-564A-409C-9E62-5EF31800BC81}">
  <dimension ref="A1:F1258"/>
  <sheetViews>
    <sheetView topLeftCell="A1195" workbookViewId="0">
      <selection activeCell="F2" sqref="F2:F1258"/>
    </sheetView>
  </sheetViews>
  <sheetFormatPr baseColWidth="10" defaultRowHeight="13.2" x14ac:dyDescent="0.25"/>
  <cols>
    <col min="1" max="1" width="10.109375" bestFit="1" customWidth="1"/>
    <col min="2" max="2" width="12" bestFit="1" customWidth="1"/>
    <col min="3" max="3" width="13.44140625" bestFit="1" customWidth="1"/>
    <col min="4" max="4" width="13.109375" bestFit="1" customWidth="1"/>
    <col min="5" max="6" width="12" bestFit="1" customWidth="1"/>
  </cols>
  <sheetData>
    <row r="1" spans="1:6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5">
      <c r="A2" s="72">
        <v>43973</v>
      </c>
      <c r="B2">
        <v>32.737140655517578</v>
      </c>
      <c r="C2">
        <v>44.877822875976563</v>
      </c>
      <c r="D2">
        <v>38.177249908447266</v>
      </c>
      <c r="E2">
        <v>74.587303161621094</v>
      </c>
      <c r="F2">
        <v>17.997325897216797</v>
      </c>
    </row>
    <row r="3" spans="1:6" x14ac:dyDescent="0.25">
      <c r="A3" s="72">
        <v>43976</v>
      </c>
      <c r="B3">
        <v>32.479221343994141</v>
      </c>
      <c r="C3">
        <v>44.397087097167969</v>
      </c>
      <c r="D3">
        <v>37.633049011230469</v>
      </c>
      <c r="E3">
        <v>74.693283081054688</v>
      </c>
      <c r="F3">
        <v>17.55908203125</v>
      </c>
    </row>
    <row r="4" spans="1:6" x14ac:dyDescent="0.25">
      <c r="A4" s="72">
        <v>43977</v>
      </c>
      <c r="B4">
        <v>33.004268646240234</v>
      </c>
      <c r="C4">
        <v>44.830692291259766</v>
      </c>
      <c r="D4">
        <v>37.335884094238281</v>
      </c>
      <c r="E4">
        <v>75.777565002441406</v>
      </c>
      <c r="F4">
        <v>18.474529266357422</v>
      </c>
    </row>
    <row r="5" spans="1:6" x14ac:dyDescent="0.25">
      <c r="A5" s="72">
        <v>43978</v>
      </c>
      <c r="B5">
        <v>33.188499450683594</v>
      </c>
      <c r="C5">
        <v>45.358558654785156</v>
      </c>
      <c r="D5">
        <v>37.716861724853516</v>
      </c>
      <c r="E5">
        <v>78.370063781738281</v>
      </c>
      <c r="F5">
        <v>18.659566879272461</v>
      </c>
    </row>
    <row r="6" spans="1:6" x14ac:dyDescent="0.25">
      <c r="A6" s="72">
        <v>43979</v>
      </c>
      <c r="B6">
        <v>32.359477996826172</v>
      </c>
      <c r="C6">
        <v>44.472499847412109</v>
      </c>
      <c r="D6">
        <v>37.434947967529297</v>
      </c>
      <c r="E6">
        <v>76.706962585449219</v>
      </c>
      <c r="F6">
        <v>18.416095733642578</v>
      </c>
    </row>
    <row r="7" spans="1:6" x14ac:dyDescent="0.25">
      <c r="A7" s="72">
        <v>43980</v>
      </c>
      <c r="B7">
        <v>31.935750961303711</v>
      </c>
      <c r="C7">
        <v>47.121246337890625</v>
      </c>
      <c r="D7">
        <v>36.177715301513672</v>
      </c>
      <c r="E7">
        <v>78.908126831054688</v>
      </c>
      <c r="F7">
        <v>18.260274887084961</v>
      </c>
    </row>
    <row r="8" spans="1:6" x14ac:dyDescent="0.25">
      <c r="A8" s="72">
        <v>43983</v>
      </c>
      <c r="B8">
        <v>33.520107269287109</v>
      </c>
      <c r="C8">
        <v>46.320026397705078</v>
      </c>
      <c r="D8">
        <v>37.975933074951172</v>
      </c>
      <c r="E8">
        <v>77.734161376953125</v>
      </c>
      <c r="F8">
        <v>18.669305801391602</v>
      </c>
    </row>
    <row r="9" spans="1:6" x14ac:dyDescent="0.25">
      <c r="A9" s="72">
        <v>43984</v>
      </c>
      <c r="B9">
        <v>34.118846893310547</v>
      </c>
      <c r="C9">
        <v>47.658535003662109</v>
      </c>
      <c r="D9">
        <v>39.019821166992188</v>
      </c>
      <c r="E9">
        <v>79.111946105957031</v>
      </c>
      <c r="F9">
        <v>19.360759735107422</v>
      </c>
    </row>
    <row r="10" spans="1:6" x14ac:dyDescent="0.25">
      <c r="A10" s="72">
        <v>43985</v>
      </c>
      <c r="B10">
        <v>33.676700592041016</v>
      </c>
      <c r="C10">
        <v>47.922466278076172</v>
      </c>
      <c r="D10">
        <v>38.699794769287109</v>
      </c>
      <c r="E10">
        <v>80.261444091796875</v>
      </c>
      <c r="F10">
        <v>20.393075942993164</v>
      </c>
    </row>
    <row r="11" spans="1:6" x14ac:dyDescent="0.25">
      <c r="A11" s="72">
        <v>43986</v>
      </c>
      <c r="B11">
        <v>33.031906127929688</v>
      </c>
      <c r="C11">
        <v>47.281490325927734</v>
      </c>
      <c r="D11">
        <v>38.501682281494141</v>
      </c>
      <c r="E11">
        <v>79.046714782714844</v>
      </c>
      <c r="F11">
        <v>21.181919097900391</v>
      </c>
    </row>
    <row r="12" spans="1:6" x14ac:dyDescent="0.25">
      <c r="A12" s="72">
        <v>43987</v>
      </c>
      <c r="B12">
        <v>32.488437652587891</v>
      </c>
      <c r="C12">
        <v>50.052768707275391</v>
      </c>
      <c r="D12">
        <v>40.147514343261719</v>
      </c>
      <c r="E12">
        <v>81.549537658691406</v>
      </c>
      <c r="F12">
        <v>23.295242309570313</v>
      </c>
    </row>
    <row r="13" spans="1:6" x14ac:dyDescent="0.25">
      <c r="A13" s="72">
        <v>43990</v>
      </c>
      <c r="B13">
        <v>33.400360107421875</v>
      </c>
      <c r="C13">
        <v>50.608913421630859</v>
      </c>
      <c r="D13">
        <v>40.741836547851563</v>
      </c>
      <c r="E13">
        <v>84.476303100585938</v>
      </c>
      <c r="F13">
        <v>24.639196395874023</v>
      </c>
    </row>
    <row r="14" spans="1:6" x14ac:dyDescent="0.25">
      <c r="A14" s="72">
        <v>43991</v>
      </c>
      <c r="B14">
        <v>32.755565643310547</v>
      </c>
      <c r="C14">
        <v>48.817947387695313</v>
      </c>
      <c r="D14">
        <v>40.284656524658203</v>
      </c>
      <c r="E14">
        <v>82.788719177246094</v>
      </c>
      <c r="F14">
        <v>24.561286926269531</v>
      </c>
    </row>
    <row r="15" spans="1:6" x14ac:dyDescent="0.25">
      <c r="A15" s="72">
        <v>43992</v>
      </c>
      <c r="B15">
        <v>32.543701171875</v>
      </c>
      <c r="C15">
        <v>47.630252838134766</v>
      </c>
      <c r="D15">
        <v>40.254188537597656</v>
      </c>
      <c r="E15">
        <v>79.910881042480469</v>
      </c>
      <c r="F15">
        <v>23.616621017456055</v>
      </c>
    </row>
    <row r="16" spans="1:6" x14ac:dyDescent="0.25">
      <c r="A16" s="72">
        <v>43993</v>
      </c>
      <c r="B16">
        <v>31.788372039794922</v>
      </c>
      <c r="C16">
        <v>43.906936645507813</v>
      </c>
      <c r="D16">
        <v>39.728431701660156</v>
      </c>
      <c r="E16">
        <v>78.149940490722656</v>
      </c>
      <c r="F16">
        <v>22.584308624267578</v>
      </c>
    </row>
    <row r="17" spans="1:6" x14ac:dyDescent="0.25">
      <c r="A17" s="72">
        <v>43994</v>
      </c>
      <c r="B17">
        <v>32.3226318359375</v>
      </c>
      <c r="C17">
        <v>45.481098175048828</v>
      </c>
      <c r="D17">
        <v>40.543731689453125</v>
      </c>
      <c r="E17">
        <v>80.481575012207031</v>
      </c>
      <c r="F17">
        <v>24.288600921630859</v>
      </c>
    </row>
    <row r="18" spans="1:6" x14ac:dyDescent="0.25">
      <c r="A18" s="72">
        <v>43997</v>
      </c>
      <c r="B18">
        <v>32.387107849121094</v>
      </c>
      <c r="C18">
        <v>45.547084808349609</v>
      </c>
      <c r="D18">
        <v>38.501682281494141</v>
      </c>
      <c r="E18">
        <v>79.250534057617188</v>
      </c>
      <c r="F18">
        <v>24.064607620239258</v>
      </c>
    </row>
    <row r="19" spans="1:6" x14ac:dyDescent="0.25">
      <c r="A19" s="72">
        <v>43998</v>
      </c>
      <c r="B19">
        <v>32.838466644287109</v>
      </c>
      <c r="C19">
        <v>44.858974456787109</v>
      </c>
      <c r="D19">
        <v>39.766529083251953</v>
      </c>
      <c r="E19">
        <v>81.98162841796875</v>
      </c>
      <c r="F19">
        <v>23.723749160766602</v>
      </c>
    </row>
    <row r="20" spans="1:6" x14ac:dyDescent="0.25">
      <c r="A20" s="72">
        <v>43999</v>
      </c>
      <c r="B20">
        <v>34.579414367675781</v>
      </c>
      <c r="C20">
        <v>44.500774383544922</v>
      </c>
      <c r="D20">
        <v>39.195060729980469</v>
      </c>
      <c r="E20">
        <v>81.614768981933594</v>
      </c>
      <c r="F20">
        <v>23.558191299438477</v>
      </c>
    </row>
    <row r="21" spans="1:6" x14ac:dyDescent="0.25">
      <c r="A21" s="72">
        <v>44000</v>
      </c>
      <c r="B21">
        <v>34.100425720214844</v>
      </c>
      <c r="C21">
        <v>43.906936645507813</v>
      </c>
      <c r="D21">
        <v>38.280712127685547</v>
      </c>
      <c r="E21">
        <v>84.949134826660156</v>
      </c>
      <c r="F21">
        <v>22.681697845458984</v>
      </c>
    </row>
    <row r="22" spans="1:6" x14ac:dyDescent="0.25">
      <c r="A22" s="72">
        <v>44001</v>
      </c>
      <c r="B22">
        <v>34.846542358398438</v>
      </c>
      <c r="C22">
        <v>45.433971405029297</v>
      </c>
      <c r="D22">
        <v>40.558967590332031</v>
      </c>
      <c r="E22">
        <v>86.652999877929688</v>
      </c>
      <c r="F22">
        <v>22.710910797119141</v>
      </c>
    </row>
    <row r="23" spans="1:6" x14ac:dyDescent="0.25">
      <c r="A23" s="72">
        <v>44004</v>
      </c>
      <c r="B23">
        <v>35.482120513916016</v>
      </c>
      <c r="C23">
        <v>45.056915283203125</v>
      </c>
      <c r="D23">
        <v>40.185604095458984</v>
      </c>
      <c r="E23">
        <v>84.949134826660156</v>
      </c>
      <c r="F23">
        <v>22.409008026123047</v>
      </c>
    </row>
    <row r="24" spans="1:6" x14ac:dyDescent="0.25">
      <c r="A24" s="72">
        <v>44005</v>
      </c>
      <c r="B24">
        <v>36.366413116455078</v>
      </c>
      <c r="C24">
        <v>44.717582702636719</v>
      </c>
      <c r="D24">
        <v>40.307525634765625</v>
      </c>
      <c r="E24">
        <v>85.3404541015625</v>
      </c>
      <c r="F24">
        <v>23.227069854736328</v>
      </c>
    </row>
    <row r="25" spans="1:6" x14ac:dyDescent="0.25">
      <c r="A25" s="72">
        <v>44006</v>
      </c>
      <c r="B25">
        <v>35.915058135986328</v>
      </c>
      <c r="C25">
        <v>43.878654479980469</v>
      </c>
      <c r="D25">
        <v>40.086559295654297</v>
      </c>
      <c r="E25">
        <v>83.19635009765625</v>
      </c>
      <c r="F25">
        <v>22.779083251953125</v>
      </c>
    </row>
    <row r="26" spans="1:6" x14ac:dyDescent="0.25">
      <c r="A26" s="72">
        <v>44007</v>
      </c>
      <c r="B26">
        <v>36.145343780517578</v>
      </c>
      <c r="C26">
        <v>43.190547943115234</v>
      </c>
      <c r="D26">
        <v>40.056083679199219</v>
      </c>
      <c r="E26">
        <v>82.707199096679688</v>
      </c>
      <c r="F26">
        <v>22.506399154663086</v>
      </c>
    </row>
    <row r="27" spans="1:6" x14ac:dyDescent="0.25">
      <c r="A27" s="72">
        <v>44008</v>
      </c>
      <c r="B27">
        <v>36.357204437255859</v>
      </c>
      <c r="C27">
        <v>41.908592224121094</v>
      </c>
      <c r="D27">
        <v>39.964641571044922</v>
      </c>
      <c r="E27">
        <v>81.247901916503906</v>
      </c>
      <c r="F27">
        <v>21.922069549560547</v>
      </c>
    </row>
    <row r="28" spans="1:6" x14ac:dyDescent="0.25">
      <c r="A28" s="72">
        <v>44011</v>
      </c>
      <c r="B28">
        <v>35.896636962890625</v>
      </c>
      <c r="C28">
        <v>42.493011474609375</v>
      </c>
      <c r="D28">
        <v>40.254188537597656</v>
      </c>
      <c r="E28">
        <v>82.266960144042969</v>
      </c>
      <c r="F28">
        <v>22.253189086914063</v>
      </c>
    </row>
    <row r="29" spans="1:6" x14ac:dyDescent="0.25">
      <c r="A29" s="72">
        <v>44012</v>
      </c>
      <c r="B29">
        <v>35.436065673828125</v>
      </c>
      <c r="C29">
        <v>42.247932434082031</v>
      </c>
      <c r="D29">
        <v>40.711357116699219</v>
      </c>
      <c r="E29">
        <v>82.030548095703125</v>
      </c>
      <c r="F29">
        <v>22.01945686340332</v>
      </c>
    </row>
    <row r="30" spans="1:6" x14ac:dyDescent="0.25">
      <c r="A30" s="72">
        <v>44013</v>
      </c>
      <c r="B30">
        <v>35.915058135986328</v>
      </c>
      <c r="C30">
        <v>42.954891204833984</v>
      </c>
      <c r="D30">
        <v>40.498016357421875</v>
      </c>
      <c r="E30">
        <v>81.728889465332031</v>
      </c>
      <c r="F30">
        <v>21.990240097045898</v>
      </c>
    </row>
    <row r="31" spans="1:6" x14ac:dyDescent="0.25">
      <c r="A31" s="72">
        <v>44014</v>
      </c>
      <c r="B31">
        <v>35.924270629882813</v>
      </c>
      <c r="C31">
        <v>43.473331451416016</v>
      </c>
      <c r="D31">
        <v>41.625705718994141</v>
      </c>
      <c r="E31">
        <v>80.717987060546875</v>
      </c>
      <c r="F31">
        <v>21.795463562011719</v>
      </c>
    </row>
    <row r="32" spans="1:6" x14ac:dyDescent="0.25">
      <c r="A32" s="72">
        <v>44015</v>
      </c>
      <c r="B32">
        <v>35.776885986328125</v>
      </c>
      <c r="C32">
        <v>43.8409423828125</v>
      </c>
      <c r="D32">
        <v>41.267589569091797</v>
      </c>
      <c r="E32">
        <v>79.527725219726563</v>
      </c>
      <c r="F32">
        <v>22.798563003540039</v>
      </c>
    </row>
    <row r="33" spans="1:6" x14ac:dyDescent="0.25">
      <c r="A33" s="72">
        <v>44018</v>
      </c>
      <c r="B33">
        <v>36.034801483154297</v>
      </c>
      <c r="C33">
        <v>43.737262725830078</v>
      </c>
      <c r="D33">
        <v>41.671424865722656</v>
      </c>
      <c r="E33">
        <v>81.639213562011719</v>
      </c>
      <c r="F33">
        <v>22.886211395263672</v>
      </c>
    </row>
    <row r="34" spans="1:6" x14ac:dyDescent="0.25">
      <c r="A34" s="72">
        <v>44019</v>
      </c>
      <c r="B34">
        <v>36.40325927734375</v>
      </c>
      <c r="C34">
        <v>44.491355895996094</v>
      </c>
      <c r="D34">
        <v>41.953350067138672</v>
      </c>
      <c r="E34">
        <v>81.7696533203125</v>
      </c>
      <c r="F34">
        <v>22.720651626586914</v>
      </c>
    </row>
    <row r="35" spans="1:6" x14ac:dyDescent="0.25">
      <c r="A35" s="72">
        <v>44020</v>
      </c>
      <c r="B35">
        <v>35.408428192138672</v>
      </c>
      <c r="C35">
        <v>42.766368865966797</v>
      </c>
      <c r="D35">
        <v>42.22003173828125</v>
      </c>
      <c r="E35">
        <v>79.617401123046875</v>
      </c>
      <c r="F35">
        <v>22.272666931152344</v>
      </c>
    </row>
    <row r="36" spans="1:6" x14ac:dyDescent="0.25">
      <c r="A36" s="72">
        <v>44021</v>
      </c>
      <c r="B36">
        <v>34.422821044921875</v>
      </c>
      <c r="C36">
        <v>41.333599090576172</v>
      </c>
      <c r="D36">
        <v>42.341941833496094</v>
      </c>
      <c r="E36">
        <v>78.125495910644531</v>
      </c>
      <c r="F36">
        <v>21.620166778564453</v>
      </c>
    </row>
    <row r="37" spans="1:6" x14ac:dyDescent="0.25">
      <c r="A37" s="72">
        <v>44022</v>
      </c>
      <c r="B37">
        <v>34.551780700683594</v>
      </c>
      <c r="C37">
        <v>41.031959533691406</v>
      </c>
      <c r="D37">
        <v>41.648571014404297</v>
      </c>
      <c r="E37">
        <v>79.43804931640625</v>
      </c>
      <c r="F37">
        <v>21.181919097900391</v>
      </c>
    </row>
    <row r="38" spans="1:6" x14ac:dyDescent="0.25">
      <c r="A38" s="72">
        <v>44025</v>
      </c>
      <c r="B38">
        <v>34.081996917724609</v>
      </c>
      <c r="C38">
        <v>40.438117980957031</v>
      </c>
      <c r="D38">
        <v>43.522983551025391</v>
      </c>
      <c r="E38">
        <v>78.207008361816406</v>
      </c>
      <c r="F38">
        <v>20.860538482666016</v>
      </c>
    </row>
    <row r="39" spans="1:6" x14ac:dyDescent="0.25">
      <c r="A39" s="72">
        <v>44026</v>
      </c>
      <c r="B39">
        <v>33.33587646484375</v>
      </c>
      <c r="C39">
        <v>39.193870544433594</v>
      </c>
      <c r="D39">
        <v>42.578151702880859</v>
      </c>
      <c r="E39">
        <v>75.98138427734375</v>
      </c>
      <c r="F39">
        <v>20.587850570678711</v>
      </c>
    </row>
    <row r="40" spans="1:6" x14ac:dyDescent="0.25">
      <c r="A40" s="72">
        <v>44027</v>
      </c>
      <c r="B40">
        <v>32.976634979248047</v>
      </c>
      <c r="C40">
        <v>39.523780822753906</v>
      </c>
      <c r="D40">
        <v>42.593391418457031</v>
      </c>
      <c r="E40">
        <v>75.679733276367188</v>
      </c>
      <c r="F40">
        <v>20.432029724121094</v>
      </c>
    </row>
    <row r="41" spans="1:6" x14ac:dyDescent="0.25">
      <c r="A41" s="72">
        <v>44028</v>
      </c>
      <c r="B41">
        <v>32.99505615234375</v>
      </c>
      <c r="C41">
        <v>40.786888122558594</v>
      </c>
      <c r="D41">
        <v>41.976211547851563</v>
      </c>
      <c r="E41">
        <v>75.280258178710938</v>
      </c>
      <c r="F41">
        <v>20.412551879882813</v>
      </c>
    </row>
    <row r="42" spans="1:6" x14ac:dyDescent="0.25">
      <c r="A42" s="72">
        <v>44029</v>
      </c>
      <c r="B42">
        <v>33.492469787597656</v>
      </c>
      <c r="C42">
        <v>39.938529968261719</v>
      </c>
      <c r="D42">
        <v>41.55712890625</v>
      </c>
      <c r="E42">
        <v>75.826484680175781</v>
      </c>
      <c r="F42">
        <v>20.49046516418457</v>
      </c>
    </row>
    <row r="43" spans="1:6" x14ac:dyDescent="0.25">
      <c r="A43" s="72">
        <v>44032</v>
      </c>
      <c r="B43">
        <v>33.363513946533203</v>
      </c>
      <c r="C43">
        <v>40.013942718505859</v>
      </c>
      <c r="D43">
        <v>41.709526062011719</v>
      </c>
      <c r="E43">
        <v>74.195991516113281</v>
      </c>
      <c r="F43">
        <v>20.470985412597656</v>
      </c>
    </row>
    <row r="44" spans="1:6" x14ac:dyDescent="0.25">
      <c r="A44" s="72">
        <v>44033</v>
      </c>
      <c r="B44">
        <v>33.870140075683594</v>
      </c>
      <c r="C44">
        <v>41.720069885253906</v>
      </c>
      <c r="D44">
        <v>41.389495849609375</v>
      </c>
      <c r="E44">
        <v>75.687881469726563</v>
      </c>
      <c r="F44">
        <v>20.714456558227539</v>
      </c>
    </row>
    <row r="45" spans="1:6" x14ac:dyDescent="0.25">
      <c r="A45" s="72">
        <v>44034</v>
      </c>
      <c r="B45">
        <v>34.422821044921875</v>
      </c>
      <c r="C45">
        <v>42.785224914550781</v>
      </c>
      <c r="D45">
        <v>43.492500305175781</v>
      </c>
      <c r="E45">
        <v>76.935226440429688</v>
      </c>
      <c r="F45">
        <v>22.05841064453125</v>
      </c>
    </row>
    <row r="46" spans="1:6" x14ac:dyDescent="0.25">
      <c r="A46" s="72">
        <v>44035</v>
      </c>
      <c r="B46">
        <v>34.800483703613281</v>
      </c>
      <c r="C46">
        <v>42.115966796875</v>
      </c>
      <c r="D46">
        <v>44.208744049072266</v>
      </c>
      <c r="E46">
        <v>75.451469421386719</v>
      </c>
      <c r="F46">
        <v>22.272666931152344</v>
      </c>
    </row>
    <row r="47" spans="1:6" x14ac:dyDescent="0.25">
      <c r="A47" s="72">
        <v>44036</v>
      </c>
      <c r="B47">
        <v>35.868999481201172</v>
      </c>
      <c r="C47">
        <v>42.106536865234375</v>
      </c>
      <c r="D47">
        <v>44.940223693847656</v>
      </c>
      <c r="E47">
        <v>75.785713195800781</v>
      </c>
      <c r="F47">
        <v>21.668859481811523</v>
      </c>
    </row>
    <row r="48" spans="1:6" x14ac:dyDescent="0.25">
      <c r="A48" s="72">
        <v>44039</v>
      </c>
      <c r="B48">
        <v>36.117706298828125</v>
      </c>
      <c r="C48">
        <v>41.493839263916016</v>
      </c>
      <c r="D48">
        <v>45.313583374023438</v>
      </c>
      <c r="E48">
        <v>75.696037292480469</v>
      </c>
      <c r="F48">
        <v>21.746770858764648</v>
      </c>
    </row>
    <row r="49" spans="1:6" x14ac:dyDescent="0.25">
      <c r="A49" s="72">
        <v>44040</v>
      </c>
      <c r="B49">
        <v>41.202365875244141</v>
      </c>
      <c r="C49">
        <v>41.597526550292969</v>
      </c>
      <c r="D49">
        <v>46.845115661621094</v>
      </c>
      <c r="E49">
        <v>76.136276245117188</v>
      </c>
      <c r="F49">
        <v>21.81494140625</v>
      </c>
    </row>
    <row r="50" spans="1:6" x14ac:dyDescent="0.25">
      <c r="A50" s="72">
        <v>44041</v>
      </c>
      <c r="B50">
        <v>38.807418823242188</v>
      </c>
      <c r="C50">
        <v>40.834011077880859</v>
      </c>
      <c r="D50">
        <v>45.526924133300781</v>
      </c>
      <c r="E50">
        <v>75.859092712402344</v>
      </c>
      <c r="F50">
        <v>22.038934707641602</v>
      </c>
    </row>
    <row r="51" spans="1:6" x14ac:dyDescent="0.25">
      <c r="A51" s="72">
        <v>44042</v>
      </c>
      <c r="B51">
        <v>37.702060699462891</v>
      </c>
      <c r="C51">
        <v>40.645488739013672</v>
      </c>
      <c r="D51">
        <v>43.218193054199219</v>
      </c>
      <c r="E51">
        <v>75.402557373046875</v>
      </c>
      <c r="F51">
        <v>21.698078155517578</v>
      </c>
    </row>
    <row r="52" spans="1:6" x14ac:dyDescent="0.25">
      <c r="A52" s="72">
        <v>44043</v>
      </c>
      <c r="B52">
        <v>36.928306579589844</v>
      </c>
      <c r="C52">
        <v>41.418434143066406</v>
      </c>
      <c r="D52">
        <v>42.829586029052734</v>
      </c>
      <c r="E52">
        <v>74.937858581542969</v>
      </c>
      <c r="F52">
        <v>21.094270706176758</v>
      </c>
    </row>
    <row r="53" spans="1:6" x14ac:dyDescent="0.25">
      <c r="A53" s="72">
        <v>44046</v>
      </c>
      <c r="B53">
        <v>38.033668518066406</v>
      </c>
      <c r="C53">
        <v>40.617210388183594</v>
      </c>
      <c r="D53">
        <v>43.439163208007813</v>
      </c>
      <c r="E53">
        <v>74.440559387207031</v>
      </c>
      <c r="F53">
        <v>20.266469955444336</v>
      </c>
    </row>
    <row r="54" spans="1:6" x14ac:dyDescent="0.25">
      <c r="A54" s="72">
        <v>44047</v>
      </c>
      <c r="B54">
        <v>37.886287689208984</v>
      </c>
      <c r="C54">
        <v>40.504096984863281</v>
      </c>
      <c r="D54">
        <v>44.178260803222656</v>
      </c>
      <c r="E54">
        <v>75.239494323730469</v>
      </c>
      <c r="F54">
        <v>19.876918792724609</v>
      </c>
    </row>
    <row r="55" spans="1:6" x14ac:dyDescent="0.25">
      <c r="A55" s="72">
        <v>44048</v>
      </c>
      <c r="B55">
        <v>38.438968658447266</v>
      </c>
      <c r="C55">
        <v>40.570087432861328</v>
      </c>
      <c r="D55">
        <v>46.951789855957031</v>
      </c>
      <c r="E55">
        <v>76.772171020507813</v>
      </c>
      <c r="F55">
        <v>20.412551879882813</v>
      </c>
    </row>
    <row r="56" spans="1:6" x14ac:dyDescent="0.25">
      <c r="A56" s="72">
        <v>44049</v>
      </c>
      <c r="B56">
        <v>37.499408721923828</v>
      </c>
      <c r="C56">
        <v>41.390155792236328</v>
      </c>
      <c r="D56">
        <v>47.073699951171875</v>
      </c>
      <c r="E56">
        <v>76.201499938964844</v>
      </c>
      <c r="F56">
        <v>19.847700119018555</v>
      </c>
    </row>
    <row r="57" spans="1:6" x14ac:dyDescent="0.25">
      <c r="A57" s="72">
        <v>44050</v>
      </c>
      <c r="B57">
        <v>36.882251739501953</v>
      </c>
      <c r="C57">
        <v>41.786056518554688</v>
      </c>
      <c r="D57">
        <v>45.229763031005859</v>
      </c>
      <c r="E57">
        <v>76.470535278320313</v>
      </c>
      <c r="F57">
        <v>19.701618194580078</v>
      </c>
    </row>
    <row r="58" spans="1:6" x14ac:dyDescent="0.25">
      <c r="A58" s="72">
        <v>44053</v>
      </c>
      <c r="B58">
        <v>38.273166656494141</v>
      </c>
      <c r="C58">
        <v>42.775794982910156</v>
      </c>
      <c r="D58">
        <v>45.008792877197266</v>
      </c>
      <c r="E58">
        <v>76.715095520019531</v>
      </c>
      <c r="F58">
        <v>19.351022720336914</v>
      </c>
    </row>
    <row r="59" spans="1:6" x14ac:dyDescent="0.25">
      <c r="A59" s="72">
        <v>44054</v>
      </c>
      <c r="B59">
        <v>38.337642669677734</v>
      </c>
      <c r="C59">
        <v>43.190547943115234</v>
      </c>
      <c r="D59">
        <v>44.627811431884766</v>
      </c>
      <c r="E59">
        <v>77.905357360839844</v>
      </c>
      <c r="F59">
        <v>20.509939193725586</v>
      </c>
    </row>
    <row r="60" spans="1:6" x14ac:dyDescent="0.25">
      <c r="A60" s="72">
        <v>44055</v>
      </c>
      <c r="B60">
        <v>38.042881011962891</v>
      </c>
      <c r="C60">
        <v>43.218826293945313</v>
      </c>
      <c r="D60">
        <v>44.422088623046875</v>
      </c>
      <c r="E60">
        <v>78.329299926757813</v>
      </c>
      <c r="F60">
        <v>20.470985412597656</v>
      </c>
    </row>
    <row r="61" spans="1:6" x14ac:dyDescent="0.25">
      <c r="A61" s="72">
        <v>44056</v>
      </c>
      <c r="B61">
        <v>38.042881011962891</v>
      </c>
      <c r="C61">
        <v>44.038894653320313</v>
      </c>
      <c r="D61">
        <v>44.818302154541016</v>
      </c>
      <c r="E61">
        <v>77.636344909667969</v>
      </c>
      <c r="F61">
        <v>20.558635711669922</v>
      </c>
    </row>
    <row r="62" spans="1:6" x14ac:dyDescent="0.25">
      <c r="A62" s="72">
        <v>44057</v>
      </c>
      <c r="B62">
        <v>38.181049346923828</v>
      </c>
      <c r="C62">
        <v>44.755279541015625</v>
      </c>
      <c r="D62">
        <v>45.145946502685547</v>
      </c>
      <c r="E62">
        <v>77.864608764648438</v>
      </c>
      <c r="F62">
        <v>20.57811164855957</v>
      </c>
    </row>
    <row r="63" spans="1:6" x14ac:dyDescent="0.25">
      <c r="A63" s="72">
        <v>44060</v>
      </c>
      <c r="B63">
        <v>40.152275085449219</v>
      </c>
      <c r="C63">
        <v>44.566764831542969</v>
      </c>
      <c r="D63">
        <v>44.78021240234375</v>
      </c>
      <c r="E63">
        <v>79.959800720214844</v>
      </c>
      <c r="F63">
        <v>20.928709030151367</v>
      </c>
    </row>
    <row r="64" spans="1:6" x14ac:dyDescent="0.25">
      <c r="A64" s="72">
        <v>44061</v>
      </c>
      <c r="B64">
        <v>41.294490814208984</v>
      </c>
      <c r="C64">
        <v>44.953231811523438</v>
      </c>
      <c r="D64">
        <v>44.955463409423828</v>
      </c>
      <c r="E64">
        <v>79.633705139160156</v>
      </c>
      <c r="F64">
        <v>21.600688934326172</v>
      </c>
    </row>
    <row r="65" spans="1:6" x14ac:dyDescent="0.25">
      <c r="A65" s="72">
        <v>44062</v>
      </c>
      <c r="B65">
        <v>41.322120666503906</v>
      </c>
      <c r="C65">
        <v>43.8409423828125</v>
      </c>
      <c r="D65">
        <v>46.631771087646484</v>
      </c>
      <c r="E65">
        <v>78.361907958984375</v>
      </c>
      <c r="F65">
        <v>22.165538787841797</v>
      </c>
    </row>
    <row r="66" spans="1:6" x14ac:dyDescent="0.25">
      <c r="A66" s="72">
        <v>44063</v>
      </c>
      <c r="B66">
        <v>40.207550048828125</v>
      </c>
      <c r="C66">
        <v>42.653255462646484</v>
      </c>
      <c r="D66">
        <v>45.580268859863281</v>
      </c>
      <c r="E66">
        <v>78.321144104003906</v>
      </c>
      <c r="F66">
        <v>21.756507873535156</v>
      </c>
    </row>
    <row r="67" spans="1:6" x14ac:dyDescent="0.25">
      <c r="A67" s="72">
        <v>44064</v>
      </c>
      <c r="B67">
        <v>39.571956634521484</v>
      </c>
      <c r="C67">
        <v>42.50244140625</v>
      </c>
      <c r="D67">
        <v>44.513523101806641</v>
      </c>
      <c r="E67">
        <v>77.187957763671875</v>
      </c>
      <c r="F67">
        <v>21.191658020019531</v>
      </c>
    </row>
    <row r="68" spans="1:6" x14ac:dyDescent="0.25">
      <c r="A68" s="72">
        <v>44067</v>
      </c>
      <c r="B68">
        <v>38.742942810058594</v>
      </c>
      <c r="C68">
        <v>42.229084014892578</v>
      </c>
      <c r="D68">
        <v>44.818302154541016</v>
      </c>
      <c r="E68">
        <v>78.109176635742188</v>
      </c>
      <c r="F68">
        <v>21.269567489624023</v>
      </c>
    </row>
    <row r="69" spans="1:6" x14ac:dyDescent="0.25">
      <c r="A69" s="72">
        <v>44068</v>
      </c>
      <c r="B69">
        <v>40.345718383789063</v>
      </c>
      <c r="C69">
        <v>42.738094329833984</v>
      </c>
      <c r="D69">
        <v>45.219993591308594</v>
      </c>
      <c r="E69">
        <v>78.076576232910156</v>
      </c>
      <c r="F69">
        <v>21.4156494140625</v>
      </c>
    </row>
    <row r="70" spans="1:6" x14ac:dyDescent="0.25">
      <c r="A70" s="72">
        <v>44069</v>
      </c>
      <c r="B70">
        <v>39.673290252685547</v>
      </c>
      <c r="C70">
        <v>42.059406280517578</v>
      </c>
      <c r="D70">
        <v>45.575321197509766</v>
      </c>
      <c r="E70">
        <v>76.837394714355469</v>
      </c>
      <c r="F70">
        <v>21.756507873535156</v>
      </c>
    </row>
    <row r="71" spans="1:6" x14ac:dyDescent="0.25">
      <c r="A71" s="72">
        <v>44070</v>
      </c>
      <c r="B71">
        <v>39.636440277099609</v>
      </c>
      <c r="C71">
        <v>42.464729309082031</v>
      </c>
      <c r="D71">
        <v>44.432075500488281</v>
      </c>
      <c r="E71">
        <v>77.913520812988281</v>
      </c>
      <c r="F71">
        <v>22.01945686340332</v>
      </c>
    </row>
    <row r="72" spans="1:6" x14ac:dyDescent="0.25">
      <c r="A72" s="72">
        <v>44071</v>
      </c>
      <c r="B72">
        <v>38.660041809082031</v>
      </c>
      <c r="C72">
        <v>43.708980560302734</v>
      </c>
      <c r="D72">
        <v>45.3822021484375</v>
      </c>
      <c r="E72">
        <v>77.351005554199219</v>
      </c>
      <c r="F72">
        <v>22.360313415527344</v>
      </c>
    </row>
    <row r="73" spans="1:6" x14ac:dyDescent="0.25">
      <c r="A73" s="72">
        <v>44074</v>
      </c>
      <c r="B73">
        <v>37.232280731201172</v>
      </c>
      <c r="C73">
        <v>40.730323791503906</v>
      </c>
      <c r="D73">
        <v>45.111854553222656</v>
      </c>
      <c r="E73">
        <v>74.840042114257813</v>
      </c>
      <c r="F73">
        <v>22.038934707641602</v>
      </c>
    </row>
    <row r="74" spans="1:6" x14ac:dyDescent="0.25">
      <c r="A74" s="72">
        <v>44075</v>
      </c>
      <c r="B74">
        <v>38.761367797851563</v>
      </c>
      <c r="C74">
        <v>41.569244384765625</v>
      </c>
      <c r="D74">
        <v>46.502277374267578</v>
      </c>
      <c r="E74">
        <v>75.744964599609375</v>
      </c>
      <c r="F74">
        <v>22.01945686340332</v>
      </c>
    </row>
    <row r="75" spans="1:6" x14ac:dyDescent="0.25">
      <c r="A75" s="72">
        <v>44076</v>
      </c>
      <c r="B75">
        <v>37.950767517089844</v>
      </c>
      <c r="C75">
        <v>40.834011077880859</v>
      </c>
      <c r="D75">
        <v>46.672214508056641</v>
      </c>
      <c r="E75">
        <v>74.6688232421875</v>
      </c>
      <c r="F75">
        <v>21.084529876708984</v>
      </c>
    </row>
    <row r="76" spans="1:6" x14ac:dyDescent="0.25">
      <c r="A76" s="72">
        <v>44077</v>
      </c>
      <c r="B76">
        <v>37.084896087646484</v>
      </c>
      <c r="C76">
        <v>40.15533447265625</v>
      </c>
      <c r="D76">
        <v>45.583042144775391</v>
      </c>
      <c r="E76">
        <v>73.079086303710938</v>
      </c>
      <c r="F76">
        <v>20.178821563720703</v>
      </c>
    </row>
    <row r="77" spans="1:6" x14ac:dyDescent="0.25">
      <c r="A77" s="72">
        <v>44078</v>
      </c>
      <c r="B77">
        <v>36.919094085693359</v>
      </c>
      <c r="C77">
        <v>40.570087432861328</v>
      </c>
      <c r="D77">
        <v>45.946109771728516</v>
      </c>
      <c r="E77">
        <v>72.157852172851563</v>
      </c>
      <c r="F77">
        <v>21.055315017700195</v>
      </c>
    </row>
    <row r="78" spans="1:6" x14ac:dyDescent="0.25">
      <c r="A78" s="72">
        <v>44081</v>
      </c>
      <c r="B78">
        <v>37.941558837890625</v>
      </c>
      <c r="C78">
        <v>41.06024169921875</v>
      </c>
      <c r="D78">
        <v>45.876583099365234</v>
      </c>
      <c r="E78">
        <v>72.467643737792969</v>
      </c>
      <c r="F78">
        <v>21.074790954589844</v>
      </c>
    </row>
    <row r="79" spans="1:6" x14ac:dyDescent="0.25">
      <c r="A79" s="72">
        <v>44082</v>
      </c>
      <c r="B79">
        <v>36.937511444091797</v>
      </c>
      <c r="C79">
        <v>40.202465057373047</v>
      </c>
      <c r="D79">
        <v>44.517051696777344</v>
      </c>
      <c r="E79">
        <v>70.364280700683594</v>
      </c>
      <c r="F79">
        <v>20.451507568359375</v>
      </c>
    </row>
    <row r="80" spans="1:6" x14ac:dyDescent="0.25">
      <c r="A80" s="72">
        <v>44083</v>
      </c>
      <c r="B80">
        <v>37.729690551757813</v>
      </c>
      <c r="C80">
        <v>40.230743408203125</v>
      </c>
      <c r="D80">
        <v>45.219993591308594</v>
      </c>
      <c r="E80">
        <v>70.396903991699219</v>
      </c>
      <c r="F80">
        <v>21.289047241210938</v>
      </c>
    </row>
    <row r="81" spans="1:6" x14ac:dyDescent="0.25">
      <c r="A81" s="72">
        <v>44084</v>
      </c>
      <c r="B81">
        <v>36.8546142578125</v>
      </c>
      <c r="C81">
        <v>40.061073303222656</v>
      </c>
      <c r="D81">
        <v>45.281784057617188</v>
      </c>
      <c r="E81">
        <v>70.405059814453125</v>
      </c>
      <c r="F81">
        <v>20.889755249023438</v>
      </c>
    </row>
    <row r="82" spans="1:6" x14ac:dyDescent="0.25">
      <c r="A82" s="72">
        <v>44085</v>
      </c>
      <c r="B82">
        <v>36.504589080810547</v>
      </c>
      <c r="C82">
        <v>40.334426879882813</v>
      </c>
      <c r="D82">
        <v>45.899749755859375</v>
      </c>
      <c r="E82">
        <v>70.364280700683594</v>
      </c>
      <c r="F82">
        <v>20.597589492797852</v>
      </c>
    </row>
    <row r="83" spans="1:6" x14ac:dyDescent="0.25">
      <c r="A83" s="72">
        <v>44088</v>
      </c>
      <c r="B83">
        <v>36.937511444091797</v>
      </c>
      <c r="C83">
        <v>41.343025207519531</v>
      </c>
      <c r="D83">
        <v>45.335845947265625</v>
      </c>
      <c r="E83">
        <v>70.62518310546875</v>
      </c>
      <c r="F83">
        <v>20.519680023193359</v>
      </c>
    </row>
    <row r="84" spans="1:6" x14ac:dyDescent="0.25">
      <c r="A84" s="72">
        <v>44089</v>
      </c>
      <c r="B84">
        <v>36.771713256835938</v>
      </c>
      <c r="C84">
        <v>41.786056518554688</v>
      </c>
      <c r="D84">
        <v>45.026870727539063</v>
      </c>
      <c r="E84">
        <v>70.323532104492188</v>
      </c>
      <c r="F84">
        <v>20.08143424987793</v>
      </c>
    </row>
    <row r="85" spans="1:6" x14ac:dyDescent="0.25">
      <c r="A85" s="72">
        <v>44091</v>
      </c>
      <c r="B85">
        <v>35.822944641113281</v>
      </c>
      <c r="C85">
        <v>42.295063018798828</v>
      </c>
      <c r="D85">
        <v>44.92645263671875</v>
      </c>
      <c r="E85">
        <v>70.429512023925781</v>
      </c>
      <c r="F85">
        <v>19.165985107421875</v>
      </c>
    </row>
    <row r="86" spans="1:6" x14ac:dyDescent="0.25">
      <c r="A86" s="72">
        <v>44092</v>
      </c>
      <c r="B86">
        <v>34.459667205810547</v>
      </c>
      <c r="C86">
        <v>40.994258880615234</v>
      </c>
      <c r="D86">
        <v>43.481948852539063</v>
      </c>
      <c r="E86">
        <v>71.95404052734375</v>
      </c>
      <c r="F86">
        <v>19.107551574707031</v>
      </c>
    </row>
    <row r="87" spans="1:6" x14ac:dyDescent="0.25">
      <c r="A87" s="72">
        <v>44095</v>
      </c>
      <c r="B87">
        <v>36.007167816162109</v>
      </c>
      <c r="C87">
        <v>40.852867126464844</v>
      </c>
      <c r="D87">
        <v>42.593612670898438</v>
      </c>
      <c r="E87">
        <v>72.720367431640625</v>
      </c>
      <c r="F87">
        <v>19.243894577026367</v>
      </c>
    </row>
    <row r="88" spans="1:6" x14ac:dyDescent="0.25">
      <c r="A88" s="72">
        <v>44096</v>
      </c>
      <c r="B88">
        <v>36.578273773193359</v>
      </c>
      <c r="C88">
        <v>42.115966796875</v>
      </c>
      <c r="D88">
        <v>43.196132659912109</v>
      </c>
      <c r="E88">
        <v>73.185066223144531</v>
      </c>
      <c r="F88">
        <v>19.117290496826172</v>
      </c>
    </row>
    <row r="89" spans="1:6" x14ac:dyDescent="0.25">
      <c r="A89" s="72">
        <v>44097</v>
      </c>
      <c r="B89">
        <v>36.605911254882813</v>
      </c>
      <c r="C89">
        <v>41.776626586914063</v>
      </c>
      <c r="D89">
        <v>41.998813629150391</v>
      </c>
      <c r="E89">
        <v>74.244888305664063</v>
      </c>
      <c r="F89">
        <v>19.195199966430664</v>
      </c>
    </row>
    <row r="90" spans="1:6" x14ac:dyDescent="0.25">
      <c r="A90" s="72">
        <v>44098</v>
      </c>
      <c r="B90">
        <v>36.274303436279297</v>
      </c>
      <c r="C90">
        <v>42.879486083984375</v>
      </c>
      <c r="D90">
        <v>42.500930786132813</v>
      </c>
      <c r="E90">
        <v>72.451347351074219</v>
      </c>
      <c r="F90">
        <v>19.779529571533203</v>
      </c>
    </row>
    <row r="91" spans="1:6" x14ac:dyDescent="0.25">
      <c r="A91" s="72">
        <v>44099</v>
      </c>
      <c r="B91">
        <v>36.495372772216797</v>
      </c>
      <c r="C91">
        <v>42.455310821533203</v>
      </c>
      <c r="D91">
        <v>42.516365051269531</v>
      </c>
      <c r="E91">
        <v>73.6416015625</v>
      </c>
      <c r="F91">
        <v>19.584754943847656</v>
      </c>
    </row>
    <row r="92" spans="1:6" x14ac:dyDescent="0.25">
      <c r="A92" s="72">
        <v>44102</v>
      </c>
      <c r="B92">
        <v>36.753292083740234</v>
      </c>
      <c r="C92">
        <v>43.030303955078125</v>
      </c>
      <c r="D92">
        <v>42.524089813232422</v>
      </c>
      <c r="E92">
        <v>73.772048950195313</v>
      </c>
      <c r="F92">
        <v>20.402812957763672</v>
      </c>
    </row>
    <row r="93" spans="1:6" x14ac:dyDescent="0.25">
      <c r="A93" s="72">
        <v>44103</v>
      </c>
      <c r="B93">
        <v>37.692848205566406</v>
      </c>
      <c r="C93">
        <v>43.567592620849609</v>
      </c>
      <c r="D93">
        <v>42.470024108886719</v>
      </c>
      <c r="E93">
        <v>72.532867431640625</v>
      </c>
      <c r="F93">
        <v>20.402812957763672</v>
      </c>
    </row>
    <row r="94" spans="1:6" x14ac:dyDescent="0.25">
      <c r="A94" s="72">
        <v>44104</v>
      </c>
      <c r="B94">
        <v>38.10736083984375</v>
      </c>
      <c r="C94">
        <v>42.822925567626953</v>
      </c>
      <c r="D94">
        <v>43.4510498046875</v>
      </c>
      <c r="E94">
        <v>73.527473449707031</v>
      </c>
      <c r="F94">
        <v>20.5294189453125</v>
      </c>
    </row>
    <row r="95" spans="1:6" x14ac:dyDescent="0.25">
      <c r="A95" s="72">
        <v>44105</v>
      </c>
      <c r="B95">
        <v>36.209819793701172</v>
      </c>
      <c r="C95">
        <v>41.390155792236328</v>
      </c>
      <c r="D95">
        <v>41.875221252441406</v>
      </c>
      <c r="E95">
        <v>71.905120849609375</v>
      </c>
      <c r="F95">
        <v>20.412551879882813</v>
      </c>
    </row>
    <row r="96" spans="1:6" x14ac:dyDescent="0.25">
      <c r="A96" s="72">
        <v>44106</v>
      </c>
      <c r="B96">
        <v>35.868999481201172</v>
      </c>
      <c r="C96">
        <v>41.757774353027344</v>
      </c>
      <c r="D96">
        <v>41.97564697265625</v>
      </c>
      <c r="E96">
        <v>72.867118835449219</v>
      </c>
      <c r="F96">
        <v>20.539157867431641</v>
      </c>
    </row>
    <row r="97" spans="1:6" x14ac:dyDescent="0.25">
      <c r="A97" s="72">
        <v>44109</v>
      </c>
      <c r="B97">
        <v>36.357204437255859</v>
      </c>
      <c r="C97">
        <v>42.794651031494141</v>
      </c>
      <c r="D97">
        <v>42.161037445068359</v>
      </c>
      <c r="E97">
        <v>73.1524658203125</v>
      </c>
      <c r="F97">
        <v>20.96766471862793</v>
      </c>
    </row>
    <row r="98" spans="1:6" x14ac:dyDescent="0.25">
      <c r="A98" s="72">
        <v>44110</v>
      </c>
      <c r="B98">
        <v>36.145343780517578</v>
      </c>
      <c r="C98">
        <v>43.039730072021484</v>
      </c>
      <c r="D98">
        <v>42.539539337158203</v>
      </c>
      <c r="E98">
        <v>73.01385498046875</v>
      </c>
      <c r="F98">
        <v>20.714456558227539</v>
      </c>
    </row>
    <row r="99" spans="1:6" x14ac:dyDescent="0.25">
      <c r="A99" s="72">
        <v>44111</v>
      </c>
      <c r="B99">
        <v>37.388874053955078</v>
      </c>
      <c r="C99">
        <v>42.662681579589844</v>
      </c>
      <c r="D99">
        <v>44.223514556884766</v>
      </c>
      <c r="E99">
        <v>73.584548950195313</v>
      </c>
      <c r="F99">
        <v>20.850797653198242</v>
      </c>
    </row>
    <row r="100" spans="1:6" x14ac:dyDescent="0.25">
      <c r="A100" s="72">
        <v>44112</v>
      </c>
      <c r="B100">
        <v>38.273166656494141</v>
      </c>
      <c r="C100">
        <v>44.274555206298828</v>
      </c>
      <c r="D100">
        <v>45.544418334960938</v>
      </c>
      <c r="E100">
        <v>73.845428466796875</v>
      </c>
      <c r="F100">
        <v>21.016359329223633</v>
      </c>
    </row>
    <row r="101" spans="1:6" x14ac:dyDescent="0.25">
      <c r="A101" s="72">
        <v>44113</v>
      </c>
      <c r="B101">
        <v>38.273166656494141</v>
      </c>
      <c r="C101">
        <v>44.274555206298828</v>
      </c>
      <c r="D101">
        <v>45.544418334960938</v>
      </c>
      <c r="E101">
        <v>73.845428466796875</v>
      </c>
      <c r="F101">
        <v>21.016359329223633</v>
      </c>
    </row>
    <row r="102" spans="1:6" x14ac:dyDescent="0.25">
      <c r="A102" s="72">
        <v>44116</v>
      </c>
      <c r="B102">
        <v>37.388874053955078</v>
      </c>
      <c r="C102">
        <v>44.906105041503906</v>
      </c>
      <c r="D102">
        <v>44.802848815917969</v>
      </c>
      <c r="E102">
        <v>73.959556579589844</v>
      </c>
      <c r="F102">
        <v>21.81494140625</v>
      </c>
    </row>
    <row r="103" spans="1:6" x14ac:dyDescent="0.25">
      <c r="A103" s="72">
        <v>44117</v>
      </c>
      <c r="B103">
        <v>37.527046203613281</v>
      </c>
      <c r="C103">
        <v>43.492179870605469</v>
      </c>
      <c r="D103">
        <v>45.498081207275391</v>
      </c>
      <c r="E103">
        <v>72.435043334960938</v>
      </c>
      <c r="F103">
        <v>22.116844177246094</v>
      </c>
    </row>
    <row r="104" spans="1:6" x14ac:dyDescent="0.25">
      <c r="A104" s="72">
        <v>44118</v>
      </c>
      <c r="B104">
        <v>38.088939666748047</v>
      </c>
      <c r="C104">
        <v>43.595870971679688</v>
      </c>
      <c r="D104">
        <v>45.243152618408203</v>
      </c>
      <c r="E104">
        <v>72.043724060058594</v>
      </c>
      <c r="F104">
        <v>21.931808471679688</v>
      </c>
    </row>
    <row r="105" spans="1:6" x14ac:dyDescent="0.25">
      <c r="A105" s="72">
        <v>44119</v>
      </c>
      <c r="B105">
        <v>37.996822357177734</v>
      </c>
      <c r="C105">
        <v>42.653255462646484</v>
      </c>
      <c r="D105">
        <v>45.243152618408203</v>
      </c>
      <c r="E105">
        <v>70.89422607421875</v>
      </c>
      <c r="F105">
        <v>21.795463562011719</v>
      </c>
    </row>
    <row r="106" spans="1:6" x14ac:dyDescent="0.25">
      <c r="A106" s="72">
        <v>44120</v>
      </c>
      <c r="B106">
        <v>37.941558837890625</v>
      </c>
      <c r="C106">
        <v>41.550395965576172</v>
      </c>
      <c r="D106">
        <v>45.343585968017578</v>
      </c>
      <c r="E106">
        <v>70.62518310546875</v>
      </c>
      <c r="F106">
        <v>21.464344024658203</v>
      </c>
    </row>
    <row r="107" spans="1:6" x14ac:dyDescent="0.25">
      <c r="A107" s="72">
        <v>44123</v>
      </c>
      <c r="B107">
        <v>37.941558837890625</v>
      </c>
      <c r="C107">
        <v>41.550395965576172</v>
      </c>
      <c r="D107">
        <v>45.343585968017578</v>
      </c>
      <c r="E107">
        <v>70.62518310546875</v>
      </c>
      <c r="F107">
        <v>21.464344024658203</v>
      </c>
    </row>
    <row r="108" spans="1:6" x14ac:dyDescent="0.25">
      <c r="A108" s="72">
        <v>44124</v>
      </c>
      <c r="B108">
        <v>38.134994506835938</v>
      </c>
      <c r="C108">
        <v>39.985664367675781</v>
      </c>
      <c r="D108">
        <v>46.417308807373047</v>
      </c>
      <c r="E108">
        <v>70.959434509277344</v>
      </c>
      <c r="F108">
        <v>20.5294189453125</v>
      </c>
    </row>
    <row r="109" spans="1:6" x14ac:dyDescent="0.25">
      <c r="A109" s="72">
        <v>44125</v>
      </c>
      <c r="B109">
        <v>38.982433319091797</v>
      </c>
      <c r="C109">
        <v>40.570087432861328</v>
      </c>
      <c r="D109">
        <v>47.730495452880859</v>
      </c>
      <c r="E109">
        <v>71.733924865722656</v>
      </c>
      <c r="F109">
        <v>20.928709030151367</v>
      </c>
    </row>
    <row r="110" spans="1:6" x14ac:dyDescent="0.25">
      <c r="A110" s="72">
        <v>44126</v>
      </c>
      <c r="B110">
        <v>38.052093505859375</v>
      </c>
      <c r="C110">
        <v>39.721725463867188</v>
      </c>
      <c r="D110">
        <v>47.800018310546875</v>
      </c>
      <c r="E110">
        <v>71.513801574707031</v>
      </c>
      <c r="F110">
        <v>20.928709030151367</v>
      </c>
    </row>
    <row r="111" spans="1:6" x14ac:dyDescent="0.25">
      <c r="A111" s="72">
        <v>44127</v>
      </c>
      <c r="B111">
        <v>38.033668518066406</v>
      </c>
      <c r="C111">
        <v>40.117630004882813</v>
      </c>
      <c r="D111">
        <v>48.63427734375</v>
      </c>
      <c r="E111">
        <v>71.15509033203125</v>
      </c>
      <c r="F111">
        <v>20.948186874389648</v>
      </c>
    </row>
    <row r="112" spans="1:6" x14ac:dyDescent="0.25">
      <c r="A112" s="72">
        <v>44130</v>
      </c>
      <c r="B112">
        <v>39.056129455566406</v>
      </c>
      <c r="C112">
        <v>40.108200073242188</v>
      </c>
      <c r="D112">
        <v>47.313365936279297</v>
      </c>
      <c r="E112">
        <v>70.347999572753906</v>
      </c>
      <c r="F112">
        <v>20.938449859619141</v>
      </c>
    </row>
    <row r="113" spans="1:6" x14ac:dyDescent="0.25">
      <c r="A113" s="72">
        <v>44131</v>
      </c>
      <c r="B113">
        <v>40.032535552978516</v>
      </c>
      <c r="C113">
        <v>39.844268798828125</v>
      </c>
      <c r="D113">
        <v>48.425704956054688</v>
      </c>
      <c r="E113">
        <v>69.63873291015625</v>
      </c>
      <c r="F113">
        <v>20.646284103393555</v>
      </c>
    </row>
    <row r="114" spans="1:6" x14ac:dyDescent="0.25">
      <c r="A114" s="72">
        <v>44132</v>
      </c>
      <c r="B114">
        <v>39.406154632568359</v>
      </c>
      <c r="C114">
        <v>38.26068115234375</v>
      </c>
      <c r="D114">
        <v>47.274749755859375</v>
      </c>
      <c r="E114">
        <v>67.519065856933594</v>
      </c>
      <c r="F114">
        <v>19.185462951660156</v>
      </c>
    </row>
    <row r="115" spans="1:6" x14ac:dyDescent="0.25">
      <c r="A115" s="72">
        <v>44133</v>
      </c>
      <c r="B115">
        <v>37.444145202636719</v>
      </c>
      <c r="C115">
        <v>37.138973236083984</v>
      </c>
      <c r="D115">
        <v>46.803531646728516</v>
      </c>
      <c r="E115">
        <v>64.923797607421875</v>
      </c>
      <c r="F115">
        <v>19.127029418945313</v>
      </c>
    </row>
    <row r="116" spans="1:6" x14ac:dyDescent="0.25">
      <c r="A116" s="72">
        <v>44134</v>
      </c>
      <c r="B116">
        <v>37.757331848144531</v>
      </c>
      <c r="C116">
        <v>37.025852203369141</v>
      </c>
      <c r="D116">
        <v>46.540897369384766</v>
      </c>
      <c r="E116">
        <v>67.460273742675781</v>
      </c>
      <c r="F116">
        <v>17.773334503173828</v>
      </c>
    </row>
    <row r="117" spans="1:6" x14ac:dyDescent="0.25">
      <c r="A117" s="72">
        <v>44138</v>
      </c>
      <c r="B117">
        <v>38.374485015869141</v>
      </c>
      <c r="C117">
        <v>36.903316497802734</v>
      </c>
      <c r="D117">
        <v>47.645519256591797</v>
      </c>
      <c r="E117">
        <v>68.955291748046875</v>
      </c>
      <c r="F117">
        <v>18.474529266357422</v>
      </c>
    </row>
    <row r="118" spans="1:6" x14ac:dyDescent="0.25">
      <c r="A118" s="72">
        <v>44139</v>
      </c>
      <c r="B118">
        <v>38.733730316162109</v>
      </c>
      <c r="C118">
        <v>37.996749877929688</v>
      </c>
      <c r="D118">
        <v>47.205219268798828</v>
      </c>
      <c r="E118">
        <v>69.778388977050781</v>
      </c>
      <c r="F118">
        <v>19.010164260864258</v>
      </c>
    </row>
    <row r="119" spans="1:6" x14ac:dyDescent="0.25">
      <c r="A119" s="72">
        <v>44140</v>
      </c>
      <c r="B119">
        <v>39.0008544921875</v>
      </c>
      <c r="C119">
        <v>39.269275665283203</v>
      </c>
      <c r="D119">
        <v>47.923603057861328</v>
      </c>
      <c r="E119">
        <v>72.130088806152344</v>
      </c>
      <c r="F119">
        <v>18.873819351196289</v>
      </c>
    </row>
    <row r="120" spans="1:6" x14ac:dyDescent="0.25">
      <c r="A120" s="72">
        <v>44141</v>
      </c>
      <c r="B120">
        <v>38.494232177734375</v>
      </c>
      <c r="C120">
        <v>38.741409301757813</v>
      </c>
      <c r="D120">
        <v>48.217144012451172</v>
      </c>
      <c r="E120">
        <v>72.05450439453125</v>
      </c>
      <c r="F120">
        <v>19.039379119873047</v>
      </c>
    </row>
    <row r="121" spans="1:6" x14ac:dyDescent="0.25">
      <c r="A121" s="72">
        <v>44144</v>
      </c>
      <c r="B121">
        <v>37.923133850097656</v>
      </c>
      <c r="C121">
        <v>40.315578460693359</v>
      </c>
      <c r="D121">
        <v>48.997333526611328</v>
      </c>
      <c r="E121">
        <v>72.986793518066406</v>
      </c>
      <c r="F121">
        <v>21.026098251342773</v>
      </c>
    </row>
    <row r="122" spans="1:6" x14ac:dyDescent="0.25">
      <c r="A122" s="72">
        <v>44145</v>
      </c>
      <c r="B122">
        <v>39.553539276123047</v>
      </c>
      <c r="C122">
        <v>40.805732727050781</v>
      </c>
      <c r="D122">
        <v>49.723453521728516</v>
      </c>
      <c r="E122">
        <v>74.112236022949219</v>
      </c>
      <c r="F122">
        <v>21.104007720947266</v>
      </c>
    </row>
    <row r="123" spans="1:6" x14ac:dyDescent="0.25">
      <c r="A123" s="72">
        <v>44146</v>
      </c>
      <c r="B123">
        <v>39.627227783203125</v>
      </c>
      <c r="C123">
        <v>42.125392913818359</v>
      </c>
      <c r="D123">
        <v>49.429904937744141</v>
      </c>
      <c r="E123">
        <v>77.2198486328125</v>
      </c>
      <c r="F123">
        <v>20.597589492797852</v>
      </c>
    </row>
    <row r="124" spans="1:6" x14ac:dyDescent="0.25">
      <c r="A124" s="72">
        <v>44147</v>
      </c>
      <c r="B124">
        <v>40.281234741210938</v>
      </c>
      <c r="C124">
        <v>42.002857208251953</v>
      </c>
      <c r="D124">
        <v>49.453079223632813</v>
      </c>
      <c r="E124">
        <v>75.632453918457031</v>
      </c>
      <c r="F124">
        <v>20.188560485839844</v>
      </c>
    </row>
    <row r="125" spans="1:6" x14ac:dyDescent="0.25">
      <c r="A125" s="72">
        <v>44148</v>
      </c>
      <c r="B125">
        <v>40.060165405273438</v>
      </c>
      <c r="C125">
        <v>42.577846527099609</v>
      </c>
      <c r="D125">
        <v>50.35687255859375</v>
      </c>
      <c r="E125">
        <v>77.186264038085938</v>
      </c>
      <c r="F125">
        <v>20.393075942993164</v>
      </c>
    </row>
    <row r="126" spans="1:6" x14ac:dyDescent="0.25">
      <c r="A126" s="72">
        <v>44152</v>
      </c>
      <c r="B126">
        <v>41.533985137939453</v>
      </c>
      <c r="C126">
        <v>44.057746887207031</v>
      </c>
      <c r="D126">
        <v>51.894069671630859</v>
      </c>
      <c r="E126">
        <v>77.429817199707031</v>
      </c>
      <c r="F126">
        <v>21.513038635253906</v>
      </c>
    </row>
    <row r="127" spans="1:6" x14ac:dyDescent="0.25">
      <c r="A127" s="72">
        <v>44153</v>
      </c>
      <c r="B127">
        <v>41.230007171630859</v>
      </c>
      <c r="C127">
        <v>44.378242492675781</v>
      </c>
      <c r="D127">
        <v>51.878631591796875</v>
      </c>
      <c r="E127">
        <v>77.379425048828125</v>
      </c>
      <c r="F127">
        <v>22.214231491088867</v>
      </c>
    </row>
    <row r="128" spans="1:6" x14ac:dyDescent="0.25">
      <c r="A128" s="72">
        <v>44154</v>
      </c>
      <c r="B128">
        <v>39.746978759765625</v>
      </c>
      <c r="C128">
        <v>43.803249359130859</v>
      </c>
      <c r="D128">
        <v>50.858951568603516</v>
      </c>
      <c r="E128">
        <v>77.463417053222656</v>
      </c>
      <c r="F128">
        <v>22.954383850097656</v>
      </c>
    </row>
    <row r="129" spans="1:6" x14ac:dyDescent="0.25">
      <c r="A129" s="72">
        <v>44155</v>
      </c>
      <c r="B129">
        <v>38.604770660400391</v>
      </c>
      <c r="C129">
        <v>43.991764068603516</v>
      </c>
      <c r="D129">
        <v>51.291545867919922</v>
      </c>
      <c r="E129">
        <v>77.539016723632813</v>
      </c>
      <c r="F129">
        <v>23.519233703613281</v>
      </c>
    </row>
    <row r="130" spans="1:6" x14ac:dyDescent="0.25">
      <c r="A130" s="72">
        <v>44158</v>
      </c>
      <c r="B130">
        <v>39.360103607177734</v>
      </c>
      <c r="C130">
        <v>42.898334503173828</v>
      </c>
      <c r="D130">
        <v>52.434795379638672</v>
      </c>
      <c r="E130">
        <v>76.564735412597656</v>
      </c>
      <c r="F130">
        <v>23.70427131652832</v>
      </c>
    </row>
    <row r="131" spans="1:6" x14ac:dyDescent="0.25">
      <c r="A131" s="72">
        <v>44159</v>
      </c>
      <c r="B131">
        <v>39.433795928955078</v>
      </c>
      <c r="C131">
        <v>43.511035919189453</v>
      </c>
      <c r="D131">
        <v>53.863849639892578</v>
      </c>
      <c r="E131">
        <v>77.043472290039063</v>
      </c>
      <c r="F131">
        <v>24.814496994018555</v>
      </c>
    </row>
    <row r="132" spans="1:6" x14ac:dyDescent="0.25">
      <c r="A132" s="72">
        <v>44160</v>
      </c>
      <c r="B132">
        <v>39.148239135742188</v>
      </c>
      <c r="C132">
        <v>44.595039367675781</v>
      </c>
      <c r="D132">
        <v>55.729068756103516</v>
      </c>
      <c r="E132">
        <v>77.093864440917969</v>
      </c>
      <c r="F132">
        <v>25.807855606079102</v>
      </c>
    </row>
    <row r="133" spans="1:6" x14ac:dyDescent="0.25">
      <c r="A133" s="72">
        <v>44161</v>
      </c>
      <c r="B133">
        <v>39.608810424804688</v>
      </c>
      <c r="C133">
        <v>43.708980560302734</v>
      </c>
      <c r="D133">
        <v>57.703987121582031</v>
      </c>
      <c r="E133">
        <v>77.093864440917969</v>
      </c>
      <c r="F133">
        <v>26.596698760986328</v>
      </c>
    </row>
    <row r="134" spans="1:6" x14ac:dyDescent="0.25">
      <c r="A134" s="72">
        <v>44162</v>
      </c>
      <c r="B134">
        <v>39.728553771972656</v>
      </c>
      <c r="C134">
        <v>44.067176818847656</v>
      </c>
      <c r="D134">
        <v>55.893638610839844</v>
      </c>
      <c r="E134">
        <v>74.112236022949219</v>
      </c>
      <c r="F134">
        <v>26.810953140258789</v>
      </c>
    </row>
    <row r="135" spans="1:6" x14ac:dyDescent="0.25">
      <c r="A135" s="72">
        <v>44165</v>
      </c>
      <c r="B135">
        <v>39.387737274169922</v>
      </c>
      <c r="C135">
        <v>43.265960693359375</v>
      </c>
      <c r="D135">
        <v>57.476711273193359</v>
      </c>
      <c r="E135">
        <v>76.480735778808594</v>
      </c>
      <c r="F135">
        <v>27.02520751953125</v>
      </c>
    </row>
    <row r="136" spans="1:6" x14ac:dyDescent="0.25">
      <c r="A136" s="72">
        <v>44166</v>
      </c>
      <c r="B136">
        <v>39.424579620361328</v>
      </c>
      <c r="C136">
        <v>45.9901123046875</v>
      </c>
      <c r="D136">
        <v>58.785499572753906</v>
      </c>
      <c r="E136">
        <v>77.135856628417969</v>
      </c>
      <c r="F136">
        <v>26.986249923706055</v>
      </c>
    </row>
    <row r="137" spans="1:6" x14ac:dyDescent="0.25">
      <c r="A137" s="72">
        <v>44167</v>
      </c>
      <c r="B137">
        <v>40.364143371582031</v>
      </c>
      <c r="C137">
        <v>45.745021820068359</v>
      </c>
      <c r="D137">
        <v>61.740070343017578</v>
      </c>
      <c r="E137">
        <v>78.849258422851563</v>
      </c>
      <c r="F137">
        <v>27.015468597412109</v>
      </c>
    </row>
    <row r="138" spans="1:6" x14ac:dyDescent="0.25">
      <c r="A138" s="72">
        <v>44168</v>
      </c>
      <c r="B138">
        <v>40.032535552978516</v>
      </c>
      <c r="C138">
        <v>46.338874816894531</v>
      </c>
      <c r="D138">
        <v>63.581741333007813</v>
      </c>
      <c r="E138">
        <v>77.530601501464844</v>
      </c>
      <c r="F138">
        <v>27.697185516357422</v>
      </c>
    </row>
    <row r="139" spans="1:6" x14ac:dyDescent="0.25">
      <c r="A139" s="72">
        <v>44169</v>
      </c>
      <c r="B139">
        <v>40.050949096679688</v>
      </c>
      <c r="C139">
        <v>46.329444885253906</v>
      </c>
      <c r="D139">
        <v>62.915611267089844</v>
      </c>
      <c r="E139">
        <v>78.042945861816406</v>
      </c>
      <c r="F139">
        <v>27.86274528503418</v>
      </c>
    </row>
    <row r="140" spans="1:6" x14ac:dyDescent="0.25">
      <c r="A140" s="72">
        <v>44172</v>
      </c>
      <c r="B140">
        <v>39.525905609130859</v>
      </c>
      <c r="C140">
        <v>45.236019134521484</v>
      </c>
      <c r="D140">
        <v>61.591152191162109</v>
      </c>
      <c r="E140">
        <v>77.161064147949219</v>
      </c>
      <c r="F140">
        <v>27.843267440795898</v>
      </c>
    </row>
    <row r="141" spans="1:6" x14ac:dyDescent="0.25">
      <c r="A141" s="72">
        <v>44173</v>
      </c>
      <c r="B141">
        <v>39.553539276123047</v>
      </c>
      <c r="C141">
        <v>47.894191741943359</v>
      </c>
      <c r="D141">
        <v>61.410911560058594</v>
      </c>
      <c r="E141">
        <v>76.388359069824219</v>
      </c>
      <c r="F141">
        <v>27.989349365234375</v>
      </c>
    </row>
    <row r="142" spans="1:6" x14ac:dyDescent="0.25">
      <c r="A142" s="72">
        <v>44174</v>
      </c>
      <c r="B142">
        <v>39.185092926025391</v>
      </c>
      <c r="C142">
        <v>47.837631225585938</v>
      </c>
      <c r="D142">
        <v>60.204006195068359</v>
      </c>
      <c r="E142">
        <v>76.337959289550781</v>
      </c>
      <c r="F142">
        <v>27.775096893310547</v>
      </c>
    </row>
    <row r="143" spans="1:6" x14ac:dyDescent="0.25">
      <c r="A143" s="72">
        <v>44175</v>
      </c>
      <c r="B143">
        <v>38.724521636962891</v>
      </c>
      <c r="C143">
        <v>48.384353637695313</v>
      </c>
      <c r="D143">
        <v>61.26983642578125</v>
      </c>
      <c r="E143">
        <v>77.597808837890625</v>
      </c>
      <c r="F143">
        <v>27.687446594238281</v>
      </c>
    </row>
    <row r="144" spans="1:6" x14ac:dyDescent="0.25">
      <c r="A144" s="72">
        <v>44176</v>
      </c>
      <c r="B144">
        <v>38.724521636962891</v>
      </c>
      <c r="C144">
        <v>48.063858032226563</v>
      </c>
      <c r="D144">
        <v>61.497119903564453</v>
      </c>
      <c r="E144">
        <v>77.387832641601563</v>
      </c>
      <c r="F144">
        <v>26.343488693237305</v>
      </c>
    </row>
    <row r="145" spans="1:6" x14ac:dyDescent="0.25">
      <c r="A145" s="72">
        <v>44179</v>
      </c>
      <c r="B145">
        <v>39.535118103027344</v>
      </c>
      <c r="C145">
        <v>48.46917724609375</v>
      </c>
      <c r="D145">
        <v>60.948505401611328</v>
      </c>
      <c r="E145">
        <v>77.194656372070313</v>
      </c>
      <c r="F145">
        <v>26.450616836547852</v>
      </c>
    </row>
    <row r="146" spans="1:6" x14ac:dyDescent="0.25">
      <c r="A146" s="72">
        <v>44180</v>
      </c>
      <c r="B146">
        <v>39.470630645751953</v>
      </c>
      <c r="C146">
        <v>49.223274230957031</v>
      </c>
      <c r="D146">
        <v>63.542583465576172</v>
      </c>
      <c r="E146">
        <v>76.447151184082031</v>
      </c>
      <c r="F146">
        <v>26.187667846679688</v>
      </c>
    </row>
    <row r="147" spans="1:6" x14ac:dyDescent="0.25">
      <c r="A147" s="72">
        <v>44181</v>
      </c>
      <c r="B147">
        <v>39.654865264892578</v>
      </c>
      <c r="C147">
        <v>50.278999328613281</v>
      </c>
      <c r="D147">
        <v>62.978305816650391</v>
      </c>
      <c r="E147">
        <v>76.312767028808594</v>
      </c>
      <c r="F147">
        <v>25.5838623046875</v>
      </c>
    </row>
    <row r="148" spans="1:6" x14ac:dyDescent="0.25">
      <c r="A148" s="72">
        <v>44182</v>
      </c>
      <c r="B148">
        <v>39.968055725097656</v>
      </c>
      <c r="C148">
        <v>53.710109710693359</v>
      </c>
      <c r="D148">
        <v>64.631919860839844</v>
      </c>
      <c r="E148">
        <v>77.287040710449219</v>
      </c>
      <c r="F148">
        <v>26.070804595947266</v>
      </c>
    </row>
    <row r="149" spans="1:6" x14ac:dyDescent="0.25">
      <c r="A149" s="72">
        <v>44183</v>
      </c>
      <c r="B149">
        <v>39.636440277099609</v>
      </c>
      <c r="C149">
        <v>52.569553375244141</v>
      </c>
      <c r="D149">
        <v>65.384262084960938</v>
      </c>
      <c r="E149">
        <v>77.396224975585938</v>
      </c>
      <c r="F149">
        <v>24.960578918457031</v>
      </c>
    </row>
    <row r="150" spans="1:6" x14ac:dyDescent="0.25">
      <c r="A150" s="72">
        <v>44186</v>
      </c>
      <c r="B150">
        <v>38.660041809082031</v>
      </c>
      <c r="C150">
        <v>52.531845092773438</v>
      </c>
      <c r="D150">
        <v>65.713424682617188</v>
      </c>
      <c r="E150">
        <v>76.002006530761719</v>
      </c>
      <c r="F150">
        <v>25.135875701904297</v>
      </c>
    </row>
    <row r="151" spans="1:6" x14ac:dyDescent="0.25">
      <c r="A151" s="72">
        <v>44187</v>
      </c>
      <c r="B151">
        <v>38.816627502441406</v>
      </c>
      <c r="C151">
        <v>50.005641937255859</v>
      </c>
      <c r="D151">
        <v>62.98614501953125</v>
      </c>
      <c r="E151">
        <v>75.178909301757813</v>
      </c>
      <c r="F151">
        <v>24.707370758056641</v>
      </c>
    </row>
    <row r="152" spans="1:6" x14ac:dyDescent="0.25">
      <c r="A152" s="72">
        <v>44188</v>
      </c>
      <c r="B152">
        <v>39.839096069335938</v>
      </c>
      <c r="C152">
        <v>54.219123840332031</v>
      </c>
      <c r="D152">
        <v>65.376426696777344</v>
      </c>
      <c r="E152">
        <v>75.993598937988281</v>
      </c>
      <c r="F152">
        <v>25.165094375610352</v>
      </c>
    </row>
    <row r="153" spans="1:6" x14ac:dyDescent="0.25">
      <c r="A153" s="72">
        <v>44189</v>
      </c>
      <c r="B153">
        <v>39.23114013671875</v>
      </c>
      <c r="C153">
        <v>56.820735931396484</v>
      </c>
      <c r="D153">
        <v>64.467330932617188</v>
      </c>
      <c r="E153">
        <v>75.514869689941406</v>
      </c>
      <c r="F153">
        <v>25.301437377929688</v>
      </c>
    </row>
    <row r="154" spans="1:6" x14ac:dyDescent="0.25">
      <c r="A154" s="72">
        <v>44193</v>
      </c>
      <c r="B154">
        <v>39.673290252685547</v>
      </c>
      <c r="C154">
        <v>58.649406433105469</v>
      </c>
      <c r="D154">
        <v>66.724395751953125</v>
      </c>
      <c r="E154">
        <v>77.24505615234375</v>
      </c>
      <c r="F154">
        <v>25.057966232299805</v>
      </c>
    </row>
    <row r="155" spans="1:6" x14ac:dyDescent="0.25">
      <c r="A155" s="72">
        <v>44194</v>
      </c>
      <c r="B155">
        <v>40.2628173828125</v>
      </c>
      <c r="C155">
        <v>61.731754302978516</v>
      </c>
      <c r="D155">
        <v>67.89996337890625</v>
      </c>
      <c r="E155">
        <v>78.059745788574219</v>
      </c>
      <c r="F155">
        <v>25.330652236938477</v>
      </c>
    </row>
    <row r="156" spans="1:6" x14ac:dyDescent="0.25">
      <c r="A156" s="72">
        <v>44195</v>
      </c>
      <c r="B156">
        <v>39.80224609375</v>
      </c>
      <c r="C156">
        <v>62.872310638427734</v>
      </c>
      <c r="D156">
        <v>67.633514404296875</v>
      </c>
      <c r="E156">
        <v>78.000953674316406</v>
      </c>
      <c r="F156">
        <v>25.34039306640625</v>
      </c>
    </row>
    <row r="157" spans="1:6" x14ac:dyDescent="0.25">
      <c r="A157" s="72">
        <v>44196</v>
      </c>
      <c r="B157">
        <v>39.829879760742188</v>
      </c>
      <c r="C157">
        <v>62.570671081542969</v>
      </c>
      <c r="D157">
        <v>65.925025939941406</v>
      </c>
      <c r="E157">
        <v>76.858695983886719</v>
      </c>
      <c r="F157">
        <v>25.213787078857422</v>
      </c>
    </row>
    <row r="158" spans="1:6" x14ac:dyDescent="0.25">
      <c r="A158" s="72">
        <v>44200</v>
      </c>
      <c r="B158">
        <v>39.470630645751953</v>
      </c>
      <c r="C158">
        <v>61.599781036376953</v>
      </c>
      <c r="D158">
        <v>69.522224426269531</v>
      </c>
      <c r="E158">
        <v>76.463951110839844</v>
      </c>
      <c r="F158">
        <v>25.642295837402344</v>
      </c>
    </row>
    <row r="159" spans="1:6" x14ac:dyDescent="0.25">
      <c r="A159" s="72">
        <v>44201</v>
      </c>
      <c r="B159">
        <v>39.654865264892578</v>
      </c>
      <c r="C159">
        <v>62.193634033203125</v>
      </c>
      <c r="D159">
        <v>71.207183837890625</v>
      </c>
      <c r="E159">
        <v>77.177848815917969</v>
      </c>
      <c r="F159">
        <v>25.515691757202148</v>
      </c>
    </row>
    <row r="160" spans="1:6" x14ac:dyDescent="0.25">
      <c r="A160" s="72">
        <v>44202</v>
      </c>
      <c r="B160">
        <v>39.535118103027344</v>
      </c>
      <c r="C160">
        <v>63.032562255859375</v>
      </c>
      <c r="D160">
        <v>71.740097045898438</v>
      </c>
      <c r="E160">
        <v>77.312248229980469</v>
      </c>
      <c r="F160">
        <v>25.866287231445313</v>
      </c>
    </row>
    <row r="161" spans="1:6" x14ac:dyDescent="0.25">
      <c r="A161" s="72">
        <v>44203</v>
      </c>
      <c r="B161">
        <v>40.087799072265625</v>
      </c>
      <c r="C161">
        <v>63.720668792724609</v>
      </c>
      <c r="D161">
        <v>72.578659057617188</v>
      </c>
      <c r="E161">
        <v>78.521690368652344</v>
      </c>
      <c r="F161">
        <v>26.03184700012207</v>
      </c>
    </row>
    <row r="162" spans="1:6" x14ac:dyDescent="0.25">
      <c r="A162" s="72">
        <v>44204</v>
      </c>
      <c r="B162">
        <v>39.940418243408203</v>
      </c>
      <c r="C162">
        <v>65.323104858398438</v>
      </c>
      <c r="D162">
        <v>76.199356079101563</v>
      </c>
      <c r="E162">
        <v>78.731643676757813</v>
      </c>
      <c r="F162">
        <v>26.158452987670898</v>
      </c>
    </row>
    <row r="163" spans="1:6" x14ac:dyDescent="0.25">
      <c r="A163" s="72">
        <v>44207</v>
      </c>
      <c r="B163">
        <v>40.225967407226563</v>
      </c>
      <c r="C163">
        <v>64.088279724121094</v>
      </c>
      <c r="D163">
        <v>73.088066101074219</v>
      </c>
      <c r="E163">
        <v>78.101737976074219</v>
      </c>
      <c r="F163">
        <v>25.466997146606445</v>
      </c>
    </row>
    <row r="164" spans="1:6" x14ac:dyDescent="0.25">
      <c r="A164" s="72">
        <v>44208</v>
      </c>
      <c r="B164">
        <v>39.719345092773438</v>
      </c>
      <c r="C164">
        <v>63.060832977294922</v>
      </c>
      <c r="D164">
        <v>72.484611511230469</v>
      </c>
      <c r="E164">
        <v>77.790977478027344</v>
      </c>
      <c r="F164">
        <v>24.882667541503906</v>
      </c>
    </row>
    <row r="165" spans="1:6" x14ac:dyDescent="0.25">
      <c r="A165" s="72">
        <v>44209</v>
      </c>
      <c r="B165">
        <v>39.931198120117188</v>
      </c>
      <c r="C165">
        <v>60.798568725585938</v>
      </c>
      <c r="D165">
        <v>71.332565307617188</v>
      </c>
      <c r="E165">
        <v>77.933753967285156</v>
      </c>
      <c r="F165">
        <v>23.645839691162109</v>
      </c>
    </row>
    <row r="166" spans="1:6" x14ac:dyDescent="0.25">
      <c r="A166" s="72">
        <v>44210</v>
      </c>
      <c r="B166">
        <v>39.304828643798828</v>
      </c>
      <c r="C166">
        <v>61.43011474609375</v>
      </c>
      <c r="D166">
        <v>71.324745178222656</v>
      </c>
      <c r="E166">
        <v>78.194122314453125</v>
      </c>
      <c r="F166">
        <v>23.577665328979492</v>
      </c>
    </row>
    <row r="167" spans="1:6" x14ac:dyDescent="0.25">
      <c r="A167" s="72">
        <v>44211</v>
      </c>
      <c r="B167">
        <v>39.212722778320313</v>
      </c>
      <c r="C167">
        <v>61.929702758789063</v>
      </c>
      <c r="D167">
        <v>69.122535705566406</v>
      </c>
      <c r="E167">
        <v>77.858169555664063</v>
      </c>
      <c r="F167">
        <v>23.636100769042969</v>
      </c>
    </row>
    <row r="168" spans="1:6" x14ac:dyDescent="0.25">
      <c r="A168" s="72">
        <v>44214</v>
      </c>
      <c r="B168">
        <v>39.820667266845703</v>
      </c>
      <c r="C168">
        <v>61.392410278320313</v>
      </c>
      <c r="D168">
        <v>71.622535705566406</v>
      </c>
      <c r="E168">
        <v>77.077064514160156</v>
      </c>
      <c r="F168">
        <v>23.938003540039063</v>
      </c>
    </row>
    <row r="169" spans="1:6" x14ac:dyDescent="0.25">
      <c r="A169" s="72">
        <v>44215</v>
      </c>
      <c r="B169">
        <v>39.240352630615234</v>
      </c>
      <c r="C169">
        <v>61.326423645019531</v>
      </c>
      <c r="D169">
        <v>69.85137939453125</v>
      </c>
      <c r="E169">
        <v>77.387832641601563</v>
      </c>
      <c r="F169">
        <v>23.25628662109375</v>
      </c>
    </row>
    <row r="170" spans="1:6" x14ac:dyDescent="0.25">
      <c r="A170" s="72">
        <v>44216</v>
      </c>
      <c r="B170">
        <v>39.590385437011719</v>
      </c>
      <c r="C170">
        <v>59.931365966796875</v>
      </c>
      <c r="D170">
        <v>70.219711303710938</v>
      </c>
      <c r="E170">
        <v>76.589927673339844</v>
      </c>
      <c r="F170">
        <v>23.217330932617188</v>
      </c>
    </row>
    <row r="171" spans="1:6" x14ac:dyDescent="0.25">
      <c r="A171" s="72">
        <v>44217</v>
      </c>
      <c r="B171">
        <v>39.194297790527344</v>
      </c>
      <c r="C171">
        <v>58.988746643066406</v>
      </c>
      <c r="D171">
        <v>70.760467529296875</v>
      </c>
      <c r="E171">
        <v>76.841896057128906</v>
      </c>
      <c r="F171">
        <v>23.042032241821289</v>
      </c>
    </row>
    <row r="172" spans="1:6" x14ac:dyDescent="0.25">
      <c r="A172" s="72">
        <v>44218</v>
      </c>
      <c r="B172">
        <v>38.835056304931641</v>
      </c>
      <c r="C172">
        <v>57.659660339355469</v>
      </c>
      <c r="D172">
        <v>70.697769165039063</v>
      </c>
      <c r="E172">
        <v>77.648193359375</v>
      </c>
      <c r="F172">
        <v>22.447963714599609</v>
      </c>
    </row>
    <row r="173" spans="1:6" x14ac:dyDescent="0.25">
      <c r="A173" s="72">
        <v>44221</v>
      </c>
      <c r="B173">
        <v>38.917953491210938</v>
      </c>
      <c r="C173">
        <v>57.697364807128906</v>
      </c>
      <c r="D173">
        <v>72.31219482421875</v>
      </c>
      <c r="E173">
        <v>77.093864440917969</v>
      </c>
      <c r="F173">
        <v>22.379793167114258</v>
      </c>
    </row>
    <row r="174" spans="1:6" x14ac:dyDescent="0.25">
      <c r="A174" s="72">
        <v>44222</v>
      </c>
      <c r="B174">
        <v>38.669246673583984</v>
      </c>
      <c r="C174">
        <v>56.471973419189453</v>
      </c>
      <c r="D174">
        <v>71.207183837890625</v>
      </c>
      <c r="E174">
        <v>78.303329467773438</v>
      </c>
      <c r="F174">
        <v>22.185016632080078</v>
      </c>
    </row>
    <row r="175" spans="1:6" x14ac:dyDescent="0.25">
      <c r="A175" s="72">
        <v>44223</v>
      </c>
      <c r="B175">
        <v>37.287548065185547</v>
      </c>
      <c r="C175">
        <v>54.303955078125</v>
      </c>
      <c r="D175">
        <v>71.1209716796875</v>
      </c>
      <c r="E175">
        <v>75.867630004882813</v>
      </c>
      <c r="F175">
        <v>21.980501174926758</v>
      </c>
    </row>
    <row r="176" spans="1:6" x14ac:dyDescent="0.25">
      <c r="A176" s="72">
        <v>44224</v>
      </c>
      <c r="B176">
        <v>36.965156555175781</v>
      </c>
      <c r="C176">
        <v>52.267913818359375</v>
      </c>
      <c r="D176">
        <v>71.222862243652344</v>
      </c>
      <c r="E176">
        <v>76.12799072265625</v>
      </c>
      <c r="F176">
        <v>22.331098556518555</v>
      </c>
    </row>
    <row r="177" spans="1:6" x14ac:dyDescent="0.25">
      <c r="A177" s="72">
        <v>44225</v>
      </c>
      <c r="B177">
        <v>35.482120513916016</v>
      </c>
      <c r="C177">
        <v>48.629425048828125</v>
      </c>
      <c r="D177">
        <v>68.840408325195313</v>
      </c>
      <c r="E177">
        <v>74.683357238769531</v>
      </c>
      <c r="F177">
        <v>22.506399154663086</v>
      </c>
    </row>
    <row r="178" spans="1:6" x14ac:dyDescent="0.25">
      <c r="A178" s="72">
        <v>44229</v>
      </c>
      <c r="B178">
        <v>36.900676727294922</v>
      </c>
      <c r="C178">
        <v>49.298683166503906</v>
      </c>
      <c r="D178">
        <v>71.661727905273438</v>
      </c>
      <c r="E178">
        <v>76.161582946777344</v>
      </c>
      <c r="F178">
        <v>23.090724945068359</v>
      </c>
    </row>
    <row r="179" spans="1:6" x14ac:dyDescent="0.25">
      <c r="A179" s="72">
        <v>44230</v>
      </c>
      <c r="B179">
        <v>36.983577728271484</v>
      </c>
      <c r="C179">
        <v>49.336383819580078</v>
      </c>
      <c r="D179">
        <v>71.434455871582031</v>
      </c>
      <c r="E179">
        <v>75.800422668457031</v>
      </c>
      <c r="F179">
        <v>23.25628662109375</v>
      </c>
    </row>
    <row r="180" spans="1:6" x14ac:dyDescent="0.25">
      <c r="A180" s="72">
        <v>44231</v>
      </c>
      <c r="B180">
        <v>36.836193084716797</v>
      </c>
      <c r="C180">
        <v>51.05194091796875</v>
      </c>
      <c r="D180">
        <v>68.887428283691406</v>
      </c>
      <c r="E180">
        <v>74.985733032226563</v>
      </c>
      <c r="F180">
        <v>23.412107467651367</v>
      </c>
    </row>
    <row r="181" spans="1:6" x14ac:dyDescent="0.25">
      <c r="A181" s="72">
        <v>44232</v>
      </c>
      <c r="B181">
        <v>36.430892944335938</v>
      </c>
      <c r="C181">
        <v>50.646617889404297</v>
      </c>
      <c r="D181">
        <v>68.550430297851563</v>
      </c>
      <c r="E181">
        <v>75.842430114746094</v>
      </c>
      <c r="F181">
        <v>23.149160385131836</v>
      </c>
    </row>
    <row r="182" spans="1:6" x14ac:dyDescent="0.25">
      <c r="A182" s="72">
        <v>44235</v>
      </c>
      <c r="B182">
        <v>36.375629425048828</v>
      </c>
      <c r="C182">
        <v>48.865077972412109</v>
      </c>
      <c r="D182">
        <v>70.525367736816406</v>
      </c>
      <c r="E182">
        <v>75.044525146484375</v>
      </c>
      <c r="F182">
        <v>22.769344329833984</v>
      </c>
    </row>
    <row r="183" spans="1:6" x14ac:dyDescent="0.25">
      <c r="A183" s="72">
        <v>44236</v>
      </c>
      <c r="B183">
        <v>36.569065093994141</v>
      </c>
      <c r="C183">
        <v>50.363838195800781</v>
      </c>
      <c r="D183">
        <v>73.009696960449219</v>
      </c>
      <c r="E183">
        <v>75.867630004882813</v>
      </c>
      <c r="F183">
        <v>22.954383850097656</v>
      </c>
    </row>
    <row r="184" spans="1:6" x14ac:dyDescent="0.25">
      <c r="A184" s="72">
        <v>44237</v>
      </c>
      <c r="B184">
        <v>36.532218933105469</v>
      </c>
      <c r="C184">
        <v>51.070793151855469</v>
      </c>
      <c r="D184">
        <v>72.061416625976563</v>
      </c>
      <c r="E184">
        <v>75.666046142578125</v>
      </c>
      <c r="F184">
        <v>23.343935012817383</v>
      </c>
    </row>
    <row r="185" spans="1:6" x14ac:dyDescent="0.25">
      <c r="A185" s="72">
        <v>44238</v>
      </c>
      <c r="B185">
        <v>36.108489990234375</v>
      </c>
      <c r="C185">
        <v>49.194995880126953</v>
      </c>
      <c r="D185">
        <v>70.509689331054688</v>
      </c>
      <c r="E185">
        <v>74.322212219238281</v>
      </c>
      <c r="F185">
        <v>23.295242309570313</v>
      </c>
    </row>
    <row r="186" spans="1:6" x14ac:dyDescent="0.25">
      <c r="A186" s="72">
        <v>44239</v>
      </c>
      <c r="B186">
        <v>36.071651458740234</v>
      </c>
      <c r="C186">
        <v>49.440078735351563</v>
      </c>
      <c r="D186">
        <v>69.114700317382813</v>
      </c>
      <c r="E186">
        <v>75.178909301757813</v>
      </c>
      <c r="F186">
        <v>23.70427131652832</v>
      </c>
    </row>
    <row r="187" spans="1:6" x14ac:dyDescent="0.25">
      <c r="A187" s="72">
        <v>44242</v>
      </c>
      <c r="B187">
        <v>36.025596618652344</v>
      </c>
      <c r="C187">
        <v>50.090476989746094</v>
      </c>
      <c r="D187">
        <v>70.094337463378906</v>
      </c>
      <c r="E187">
        <v>73.961067199707031</v>
      </c>
      <c r="F187">
        <v>23.947742462158203</v>
      </c>
    </row>
    <row r="188" spans="1:6" x14ac:dyDescent="0.25">
      <c r="A188" s="72">
        <v>44243</v>
      </c>
      <c r="B188">
        <v>35.915058135986328</v>
      </c>
      <c r="C188">
        <v>49.920806884765625</v>
      </c>
      <c r="D188">
        <v>72.570823669433594</v>
      </c>
      <c r="E188">
        <v>76.497550964355469</v>
      </c>
      <c r="F188">
        <v>24.132780075073242</v>
      </c>
    </row>
    <row r="189" spans="1:6" x14ac:dyDescent="0.25">
      <c r="A189" s="72">
        <v>44244</v>
      </c>
      <c r="B189">
        <v>35.795310974121094</v>
      </c>
      <c r="C189">
        <v>51.004814147949219</v>
      </c>
      <c r="D189">
        <v>75.462677001953125</v>
      </c>
      <c r="E189">
        <v>77.11065673828125</v>
      </c>
      <c r="F189">
        <v>24.230165481567383</v>
      </c>
    </row>
    <row r="190" spans="1:6" x14ac:dyDescent="0.25">
      <c r="A190" s="72">
        <v>44245</v>
      </c>
      <c r="B190">
        <v>35.307106018066406</v>
      </c>
      <c r="C190">
        <v>49.194995880126953</v>
      </c>
      <c r="D190">
        <v>76.787139892578125</v>
      </c>
      <c r="E190">
        <v>78.202529907226563</v>
      </c>
      <c r="F190">
        <v>23.879570007324219</v>
      </c>
    </row>
    <row r="191" spans="1:6" x14ac:dyDescent="0.25">
      <c r="A191" s="72">
        <v>44246</v>
      </c>
      <c r="B191">
        <v>35.334739685058594</v>
      </c>
      <c r="C191">
        <v>48.374916076660156</v>
      </c>
      <c r="D191">
        <v>79.88275146484375</v>
      </c>
      <c r="E191">
        <v>77.648193359375</v>
      </c>
      <c r="F191">
        <v>24.10356330871582</v>
      </c>
    </row>
    <row r="192" spans="1:6" x14ac:dyDescent="0.25">
      <c r="A192" s="72">
        <v>44249</v>
      </c>
      <c r="B192">
        <v>34.174114227294922</v>
      </c>
      <c r="C192">
        <v>46.423709869384766</v>
      </c>
      <c r="D192">
        <v>86.183723449707031</v>
      </c>
      <c r="E192">
        <v>76.94268798828125</v>
      </c>
      <c r="F192">
        <v>24.181472778320313</v>
      </c>
    </row>
    <row r="193" spans="1:6" x14ac:dyDescent="0.25">
      <c r="A193" s="72">
        <v>44250</v>
      </c>
      <c r="B193">
        <v>35.03076171875</v>
      </c>
      <c r="C193">
        <v>47.941318511962891</v>
      </c>
      <c r="D193">
        <v>84.86712646484375</v>
      </c>
      <c r="E193">
        <v>75.556846618652344</v>
      </c>
      <c r="F193">
        <v>24.181472778320313</v>
      </c>
    </row>
    <row r="194" spans="1:6" x14ac:dyDescent="0.25">
      <c r="A194" s="72">
        <v>44251</v>
      </c>
      <c r="B194">
        <v>35.795310974121094</v>
      </c>
      <c r="C194">
        <v>47.34747314453125</v>
      </c>
      <c r="D194">
        <v>82.678825378417969</v>
      </c>
      <c r="E194">
        <v>75.951606750488281</v>
      </c>
      <c r="F194">
        <v>24.025651931762695</v>
      </c>
    </row>
    <row r="195" spans="1:6" x14ac:dyDescent="0.25">
      <c r="A195" s="72">
        <v>44252</v>
      </c>
      <c r="B195">
        <v>35.122882843017578</v>
      </c>
      <c r="C195">
        <v>46.404857635498047</v>
      </c>
      <c r="D195">
        <v>79.087203979492188</v>
      </c>
      <c r="E195">
        <v>74.716957092285156</v>
      </c>
      <c r="F195">
        <v>23.684793472290039</v>
      </c>
    </row>
    <row r="196" spans="1:6" x14ac:dyDescent="0.25">
      <c r="A196" s="72">
        <v>44253</v>
      </c>
      <c r="B196">
        <v>36.200611114501953</v>
      </c>
      <c r="C196">
        <v>48.865077972412109</v>
      </c>
      <c r="D196">
        <v>78.754203796386719</v>
      </c>
      <c r="E196">
        <v>73.734283447265625</v>
      </c>
      <c r="F196">
        <v>24.775541305541992</v>
      </c>
    </row>
    <row r="197" spans="1:6" x14ac:dyDescent="0.25">
      <c r="A197" s="72">
        <v>44256</v>
      </c>
      <c r="B197">
        <v>36.569065093994141</v>
      </c>
      <c r="C197">
        <v>49.053600311279297</v>
      </c>
      <c r="D197">
        <v>78.801773071289063</v>
      </c>
      <c r="E197">
        <v>74.767356872558594</v>
      </c>
      <c r="F197">
        <v>26.460355758666992</v>
      </c>
    </row>
    <row r="198" spans="1:6" x14ac:dyDescent="0.25">
      <c r="A198" s="72">
        <v>44257</v>
      </c>
      <c r="B198">
        <v>37.388874053955078</v>
      </c>
      <c r="C198">
        <v>49.62860107421875</v>
      </c>
      <c r="D198">
        <v>83.860191345214844</v>
      </c>
      <c r="E198">
        <v>76.421951293945313</v>
      </c>
      <c r="F198">
        <v>26.733041763305664</v>
      </c>
    </row>
    <row r="199" spans="1:6" x14ac:dyDescent="0.25">
      <c r="A199" s="72">
        <v>44258</v>
      </c>
      <c r="B199">
        <v>37.573101043701172</v>
      </c>
      <c r="C199">
        <v>50.203590393066406</v>
      </c>
      <c r="D199">
        <v>82.42510986328125</v>
      </c>
      <c r="E199">
        <v>78.084945678710938</v>
      </c>
      <c r="F199">
        <v>25.876028060913086</v>
      </c>
    </row>
    <row r="200" spans="1:6" x14ac:dyDescent="0.25">
      <c r="A200" s="72">
        <v>44259</v>
      </c>
      <c r="B200">
        <v>37.41650390625</v>
      </c>
      <c r="C200">
        <v>51.278167724609375</v>
      </c>
      <c r="D200">
        <v>79.721488952636719</v>
      </c>
      <c r="E200">
        <v>80.780998229980469</v>
      </c>
      <c r="F200">
        <v>25.866287231445313</v>
      </c>
    </row>
    <row r="201" spans="1:6" x14ac:dyDescent="0.25">
      <c r="A201" s="72">
        <v>44260</v>
      </c>
      <c r="B201">
        <v>38.208683013916016</v>
      </c>
      <c r="C201">
        <v>50.674896240234375</v>
      </c>
      <c r="D201">
        <v>79.443977355957031</v>
      </c>
      <c r="E201">
        <v>82.847145080566406</v>
      </c>
      <c r="F201">
        <v>26.275318145751953</v>
      </c>
    </row>
    <row r="202" spans="1:6" x14ac:dyDescent="0.25">
      <c r="A202" s="72">
        <v>44263</v>
      </c>
      <c r="B202">
        <v>38.512660980224609</v>
      </c>
      <c r="C202">
        <v>51.13677978515625</v>
      </c>
      <c r="D202">
        <v>83.225906372070313</v>
      </c>
      <c r="E202">
        <v>84.787300109863281</v>
      </c>
      <c r="F202">
        <v>26.187667846679688</v>
      </c>
    </row>
    <row r="203" spans="1:6" x14ac:dyDescent="0.25">
      <c r="A203" s="72">
        <v>44264</v>
      </c>
      <c r="B203">
        <v>39.028491973876953</v>
      </c>
      <c r="C203">
        <v>51.664649963378906</v>
      </c>
      <c r="D203">
        <v>83.72540283203125</v>
      </c>
      <c r="E203">
        <v>83.989395141601563</v>
      </c>
      <c r="F203">
        <v>26.470094680786133</v>
      </c>
    </row>
    <row r="204" spans="1:6" x14ac:dyDescent="0.25">
      <c r="A204" s="72">
        <v>44265</v>
      </c>
      <c r="B204">
        <v>39.378524780273438</v>
      </c>
      <c r="C204">
        <v>53.201099395751953</v>
      </c>
      <c r="D204">
        <v>84.058395385742188</v>
      </c>
      <c r="E204">
        <v>82.847145080566406</v>
      </c>
      <c r="F204">
        <v>27.015468597412109</v>
      </c>
    </row>
    <row r="205" spans="1:6" x14ac:dyDescent="0.25">
      <c r="A205" s="72">
        <v>44266</v>
      </c>
      <c r="B205">
        <v>39.80224609375</v>
      </c>
      <c r="C205">
        <v>52.088817596435547</v>
      </c>
      <c r="D205">
        <v>84.573753356933594</v>
      </c>
      <c r="E205">
        <v>82.914337158203125</v>
      </c>
      <c r="F205">
        <v>27.443975448608398</v>
      </c>
    </row>
    <row r="206" spans="1:6" x14ac:dyDescent="0.25">
      <c r="A206" s="72">
        <v>44267</v>
      </c>
      <c r="B206">
        <v>39.636440277099609</v>
      </c>
      <c r="C206">
        <v>51.919151306152344</v>
      </c>
      <c r="D206">
        <v>85.430030822753906</v>
      </c>
      <c r="E206">
        <v>82.712760925292969</v>
      </c>
      <c r="F206">
        <v>27.814050674438477</v>
      </c>
    </row>
    <row r="207" spans="1:6" x14ac:dyDescent="0.25">
      <c r="A207" s="72">
        <v>44271</v>
      </c>
      <c r="B207">
        <v>40.447040557861328</v>
      </c>
      <c r="C207">
        <v>52.890037536621094</v>
      </c>
      <c r="D207">
        <v>82.8453369140625</v>
      </c>
      <c r="E207">
        <v>83.7374267578125</v>
      </c>
      <c r="F207">
        <v>28.291252136230469</v>
      </c>
    </row>
    <row r="208" spans="1:6" x14ac:dyDescent="0.25">
      <c r="A208" s="72">
        <v>44272</v>
      </c>
      <c r="B208">
        <v>40.179908752441406</v>
      </c>
      <c r="C208">
        <v>53.465034484863281</v>
      </c>
      <c r="D208">
        <v>82.662979125976563</v>
      </c>
      <c r="E208">
        <v>83.720634460449219</v>
      </c>
      <c r="F208">
        <v>28.51524543762207</v>
      </c>
    </row>
    <row r="209" spans="1:6" x14ac:dyDescent="0.25">
      <c r="A209" s="72">
        <v>44273</v>
      </c>
      <c r="B209">
        <v>40.143074035644531</v>
      </c>
      <c r="C209">
        <v>53.229381561279297</v>
      </c>
      <c r="D209">
        <v>82.250679016113281</v>
      </c>
      <c r="E209">
        <v>82.763153076171875</v>
      </c>
      <c r="F209">
        <v>29.245656967163086</v>
      </c>
    </row>
    <row r="210" spans="1:6" x14ac:dyDescent="0.25">
      <c r="A210" s="72">
        <v>44274</v>
      </c>
      <c r="B210">
        <v>39.535118103027344</v>
      </c>
      <c r="C210">
        <v>50.552356719970703</v>
      </c>
      <c r="D210">
        <v>80.97418212890625</v>
      </c>
      <c r="E210">
        <v>80.604629516601563</v>
      </c>
      <c r="F210">
        <v>29.99554443359375</v>
      </c>
    </row>
    <row r="211" spans="1:6" x14ac:dyDescent="0.25">
      <c r="A211" s="72">
        <v>44277</v>
      </c>
      <c r="B211">
        <v>38.807418823242188</v>
      </c>
      <c r="C211">
        <v>51.457267761230469</v>
      </c>
      <c r="D211">
        <v>80.720497131347656</v>
      </c>
      <c r="E211">
        <v>81.570503234863281</v>
      </c>
      <c r="F211">
        <v>30.005281448364258</v>
      </c>
    </row>
    <row r="212" spans="1:6" x14ac:dyDescent="0.25">
      <c r="A212" s="72">
        <v>44278</v>
      </c>
      <c r="B212">
        <v>39.175872802734375</v>
      </c>
      <c r="C212">
        <v>50.919975280761719</v>
      </c>
      <c r="D212">
        <v>80.633270263671875</v>
      </c>
      <c r="E212">
        <v>81.814071655273438</v>
      </c>
      <c r="F212">
        <v>29.888418197631836</v>
      </c>
    </row>
    <row r="213" spans="1:6" x14ac:dyDescent="0.25">
      <c r="A213" s="72">
        <v>44279</v>
      </c>
      <c r="B213">
        <v>39.848300933837891</v>
      </c>
      <c r="C213">
        <v>50.901126861572266</v>
      </c>
      <c r="D213">
        <v>79.30126953125</v>
      </c>
      <c r="E213">
        <v>81.536903381347656</v>
      </c>
      <c r="F213">
        <v>30.005281448364258</v>
      </c>
    </row>
    <row r="214" spans="1:6" x14ac:dyDescent="0.25">
      <c r="A214" s="72">
        <v>44280</v>
      </c>
      <c r="B214">
        <v>39.719345092773438</v>
      </c>
      <c r="C214">
        <v>51.636367797851563</v>
      </c>
      <c r="D214">
        <v>79.745254516601563</v>
      </c>
      <c r="E214">
        <v>80.806198120117188</v>
      </c>
      <c r="F214">
        <v>30.404573440551758</v>
      </c>
    </row>
    <row r="215" spans="1:6" x14ac:dyDescent="0.25">
      <c r="A215" s="72">
        <v>44281</v>
      </c>
      <c r="B215">
        <v>39.341678619384766</v>
      </c>
      <c r="C215">
        <v>52.522418975830078</v>
      </c>
      <c r="D215">
        <v>81.188270568847656</v>
      </c>
      <c r="E215">
        <v>79.731124877929688</v>
      </c>
      <c r="F215">
        <v>30.628568649291992</v>
      </c>
    </row>
    <row r="216" spans="1:6" x14ac:dyDescent="0.25">
      <c r="A216" s="72">
        <v>44284</v>
      </c>
      <c r="B216">
        <v>40.732593536376953</v>
      </c>
      <c r="C216">
        <v>54.765838623046875</v>
      </c>
      <c r="D216">
        <v>82.329986572265625</v>
      </c>
      <c r="E216">
        <v>80.193077087402344</v>
      </c>
      <c r="F216">
        <v>31.144723892211914</v>
      </c>
    </row>
    <row r="217" spans="1:6" x14ac:dyDescent="0.25">
      <c r="A217" s="72">
        <v>44285</v>
      </c>
      <c r="B217">
        <v>39.507484436035156</v>
      </c>
      <c r="C217">
        <v>54.115432739257813</v>
      </c>
      <c r="D217">
        <v>82.448890686035156</v>
      </c>
      <c r="E217">
        <v>80.251869201660156</v>
      </c>
      <c r="F217">
        <v>30.122150421142578</v>
      </c>
    </row>
    <row r="218" spans="1:6" x14ac:dyDescent="0.25">
      <c r="A218" s="72">
        <v>44286</v>
      </c>
      <c r="B218">
        <v>39.516700744628906</v>
      </c>
      <c r="C218">
        <v>52.673240661621094</v>
      </c>
      <c r="D218">
        <v>85.200111389160156</v>
      </c>
      <c r="E218">
        <v>79.294387817382813</v>
      </c>
      <c r="F218">
        <v>29.489128112792969</v>
      </c>
    </row>
    <row r="219" spans="1:6" x14ac:dyDescent="0.25">
      <c r="A219" s="72">
        <v>44291</v>
      </c>
      <c r="B219">
        <v>39.654865264892578</v>
      </c>
      <c r="C219">
        <v>54.464199066162109</v>
      </c>
      <c r="D219">
        <v>84.565834045410156</v>
      </c>
      <c r="E219">
        <v>79.185203552246094</v>
      </c>
      <c r="F219">
        <v>30.716217041015625</v>
      </c>
    </row>
    <row r="220" spans="1:6" x14ac:dyDescent="0.25">
      <c r="A220" s="72">
        <v>44292</v>
      </c>
      <c r="B220">
        <v>39.221931457519531</v>
      </c>
      <c r="C220">
        <v>55.548210144042969</v>
      </c>
      <c r="D220">
        <v>83.788848876953125</v>
      </c>
      <c r="E220">
        <v>79.462364196777344</v>
      </c>
      <c r="F220">
        <v>30.316925048828125</v>
      </c>
    </row>
    <row r="221" spans="1:6" x14ac:dyDescent="0.25">
      <c r="A221" s="72">
        <v>44293</v>
      </c>
      <c r="B221">
        <v>39.092971801757813</v>
      </c>
      <c r="C221">
        <v>56.198616027832031</v>
      </c>
      <c r="D221">
        <v>83.479606628417969</v>
      </c>
      <c r="E221">
        <v>79.369964599609375</v>
      </c>
      <c r="F221">
        <v>29.567037582397461</v>
      </c>
    </row>
    <row r="222" spans="1:6" x14ac:dyDescent="0.25">
      <c r="A222" s="72">
        <v>44294</v>
      </c>
      <c r="B222">
        <v>38.816627502441406</v>
      </c>
      <c r="C222">
        <v>55.981807708740234</v>
      </c>
      <c r="D222">
        <v>81.806694030761719</v>
      </c>
      <c r="E222">
        <v>80.957374572753906</v>
      </c>
      <c r="F222">
        <v>29.791030883789063</v>
      </c>
    </row>
    <row r="223" spans="1:6" x14ac:dyDescent="0.25">
      <c r="A223" s="72">
        <v>44295</v>
      </c>
      <c r="B223">
        <v>38.770572662353516</v>
      </c>
      <c r="C223">
        <v>54.096588134765625</v>
      </c>
      <c r="D223">
        <v>80.530197143554688</v>
      </c>
      <c r="E223">
        <v>81.394126892089844</v>
      </c>
      <c r="F223">
        <v>30.034500122070313</v>
      </c>
    </row>
    <row r="224" spans="1:6" x14ac:dyDescent="0.25">
      <c r="A224" s="72">
        <v>44298</v>
      </c>
      <c r="B224">
        <v>38.613983154296875</v>
      </c>
      <c r="C224">
        <v>56.010086059570313</v>
      </c>
      <c r="D224">
        <v>80.062416076660156</v>
      </c>
      <c r="E224">
        <v>80.906990051269531</v>
      </c>
      <c r="F224">
        <v>29.907894134521484</v>
      </c>
    </row>
    <row r="225" spans="1:6" x14ac:dyDescent="0.25">
      <c r="A225" s="72">
        <v>44299</v>
      </c>
      <c r="B225">
        <v>38.319217681884766</v>
      </c>
      <c r="C225">
        <v>56.066646575927734</v>
      </c>
      <c r="D225">
        <v>80.133766174316406</v>
      </c>
      <c r="E225">
        <v>80.957374572753906</v>
      </c>
      <c r="F225">
        <v>31.544017791748047</v>
      </c>
    </row>
    <row r="226" spans="1:6" x14ac:dyDescent="0.25">
      <c r="A226" s="72">
        <v>44300</v>
      </c>
      <c r="B226">
        <v>38.567924499511719</v>
      </c>
      <c r="C226">
        <v>56.651065826416016</v>
      </c>
      <c r="D226">
        <v>80.982124328613281</v>
      </c>
      <c r="E226">
        <v>80.50384521484375</v>
      </c>
      <c r="F226">
        <v>33.141181945800781</v>
      </c>
    </row>
    <row r="227" spans="1:6" x14ac:dyDescent="0.25">
      <c r="A227" s="72">
        <v>44301</v>
      </c>
      <c r="B227">
        <v>38.577136993408203</v>
      </c>
      <c r="C227">
        <v>57.065814971923828</v>
      </c>
      <c r="D227">
        <v>83.392402648925781</v>
      </c>
      <c r="E227">
        <v>80.461837768554688</v>
      </c>
      <c r="F227">
        <v>33.102226257324219</v>
      </c>
    </row>
    <row r="228" spans="1:6" x14ac:dyDescent="0.25">
      <c r="A228" s="72">
        <v>44302</v>
      </c>
      <c r="B228">
        <v>38.392910003662109</v>
      </c>
      <c r="C228">
        <v>57.640819549560547</v>
      </c>
      <c r="D228">
        <v>82.195198059082031</v>
      </c>
      <c r="E228">
        <v>79.08441162109375</v>
      </c>
      <c r="F228">
        <v>33.482040405273438</v>
      </c>
    </row>
    <row r="229" spans="1:6" x14ac:dyDescent="0.25">
      <c r="A229" s="72">
        <v>44305</v>
      </c>
      <c r="B229">
        <v>37.803386688232422</v>
      </c>
      <c r="C229">
        <v>55.020339965820313</v>
      </c>
      <c r="D229">
        <v>81.172401428222656</v>
      </c>
      <c r="E229">
        <v>79.798324584960938</v>
      </c>
      <c r="F229">
        <v>33.686557769775391</v>
      </c>
    </row>
    <row r="230" spans="1:6" x14ac:dyDescent="0.25">
      <c r="A230" s="72">
        <v>44306</v>
      </c>
      <c r="B230">
        <v>38.503444671630859</v>
      </c>
      <c r="C230">
        <v>55.161731719970703</v>
      </c>
      <c r="D230">
        <v>81.101058959960938</v>
      </c>
      <c r="E230">
        <v>80.50384521484375</v>
      </c>
      <c r="F230">
        <v>33.706031799316406</v>
      </c>
    </row>
    <row r="231" spans="1:6" x14ac:dyDescent="0.25">
      <c r="A231" s="72">
        <v>44307</v>
      </c>
      <c r="B231">
        <v>38.899532318115234</v>
      </c>
      <c r="C231">
        <v>57.282619476318359</v>
      </c>
      <c r="D231">
        <v>82.734321594238281</v>
      </c>
      <c r="E231">
        <v>82.066047668457031</v>
      </c>
      <c r="F231">
        <v>34.864948272705078</v>
      </c>
    </row>
    <row r="232" spans="1:6" x14ac:dyDescent="0.25">
      <c r="A232" s="72">
        <v>44308</v>
      </c>
      <c r="B232">
        <v>39.258777618408203</v>
      </c>
      <c r="C232">
        <v>57.772777557373047</v>
      </c>
      <c r="D232">
        <v>81.108993530273438</v>
      </c>
      <c r="E232">
        <v>82.368392944335938</v>
      </c>
      <c r="F232">
        <v>35.556404113769531</v>
      </c>
    </row>
    <row r="233" spans="1:6" x14ac:dyDescent="0.25">
      <c r="A233" s="72">
        <v>44309</v>
      </c>
      <c r="B233">
        <v>38.724521636962891</v>
      </c>
      <c r="C233">
        <v>58.573997497558594</v>
      </c>
      <c r="D233">
        <v>80.720497131347656</v>
      </c>
      <c r="E233">
        <v>83.040321350097656</v>
      </c>
      <c r="F233">
        <v>34.825996398925781</v>
      </c>
    </row>
    <row r="234" spans="1:6" x14ac:dyDescent="0.25">
      <c r="A234" s="72">
        <v>44312</v>
      </c>
      <c r="B234">
        <v>38.383697509765625</v>
      </c>
      <c r="C234">
        <v>56.292877197265625</v>
      </c>
      <c r="D234">
        <v>80.958335876464844</v>
      </c>
      <c r="E234">
        <v>82.38519287109375</v>
      </c>
      <c r="F234">
        <v>34.582527160644531</v>
      </c>
    </row>
    <row r="235" spans="1:6" x14ac:dyDescent="0.25">
      <c r="A235" s="72">
        <v>44313</v>
      </c>
      <c r="B235">
        <v>37.711273193359375</v>
      </c>
      <c r="C235">
        <v>56.915000915527344</v>
      </c>
      <c r="D235">
        <v>79.840408325195313</v>
      </c>
      <c r="E235">
        <v>81.44451904296875</v>
      </c>
      <c r="F235">
        <v>33.238571166992188</v>
      </c>
    </row>
    <row r="236" spans="1:6" x14ac:dyDescent="0.25">
      <c r="A236" s="72">
        <v>44314</v>
      </c>
      <c r="B236">
        <v>38.024456024169922</v>
      </c>
      <c r="C236">
        <v>56.358856201171875</v>
      </c>
      <c r="D236">
        <v>77.342918395996094</v>
      </c>
      <c r="E236">
        <v>81.251335144042969</v>
      </c>
      <c r="F236">
        <v>33.871589660644531</v>
      </c>
    </row>
    <row r="237" spans="1:6" x14ac:dyDescent="0.25">
      <c r="A237" s="72">
        <v>44315</v>
      </c>
      <c r="B237">
        <v>38.531078338623047</v>
      </c>
      <c r="C237">
        <v>56.179752349853516</v>
      </c>
      <c r="D237">
        <v>75.138786315917969</v>
      </c>
      <c r="E237">
        <v>82.057640075683594</v>
      </c>
      <c r="F237">
        <v>33.287261962890625</v>
      </c>
    </row>
    <row r="238" spans="1:6" x14ac:dyDescent="0.25">
      <c r="A238" s="72">
        <v>44316</v>
      </c>
      <c r="B238">
        <v>37.342819213867188</v>
      </c>
      <c r="C238">
        <v>54.435916900634766</v>
      </c>
      <c r="D238">
        <v>72.601661682128906</v>
      </c>
      <c r="E238">
        <v>82.027366638183594</v>
      </c>
      <c r="F238">
        <v>32.089389801025391</v>
      </c>
    </row>
    <row r="239" spans="1:6" x14ac:dyDescent="0.25">
      <c r="A239" s="72">
        <v>44319</v>
      </c>
      <c r="B239">
        <v>37.8770751953125</v>
      </c>
      <c r="C239">
        <v>55.190013885498047</v>
      </c>
      <c r="D239">
        <v>72.09423828125</v>
      </c>
      <c r="E239">
        <v>82.183059692382813</v>
      </c>
      <c r="F239">
        <v>32.469203948974609</v>
      </c>
    </row>
    <row r="240" spans="1:6" x14ac:dyDescent="0.25">
      <c r="A240" s="72">
        <v>44320</v>
      </c>
      <c r="B240">
        <v>37.959976196289063</v>
      </c>
      <c r="C240">
        <v>55.453952789306641</v>
      </c>
      <c r="D240">
        <v>71.158653259277344</v>
      </c>
      <c r="E240">
        <v>82.087921142578125</v>
      </c>
      <c r="F240">
        <v>31.544017791748047</v>
      </c>
    </row>
    <row r="241" spans="1:6" x14ac:dyDescent="0.25">
      <c r="A241" s="72">
        <v>44321</v>
      </c>
      <c r="B241">
        <v>37.702060699462891</v>
      </c>
      <c r="C241">
        <v>55.642471313476563</v>
      </c>
      <c r="D241">
        <v>74.147712707519531</v>
      </c>
      <c r="E241">
        <v>81.811111450195313</v>
      </c>
      <c r="F241">
        <v>32.07965087890625</v>
      </c>
    </row>
    <row r="242" spans="1:6" x14ac:dyDescent="0.25">
      <c r="A242" s="72">
        <v>44322</v>
      </c>
      <c r="B242">
        <v>37.794174194335938</v>
      </c>
      <c r="C242">
        <v>55.039199829101563</v>
      </c>
      <c r="D242">
        <v>76.605545043945313</v>
      </c>
      <c r="E242">
        <v>82.978851318359375</v>
      </c>
      <c r="F242">
        <v>31.904350280761719</v>
      </c>
    </row>
    <row r="243" spans="1:6" x14ac:dyDescent="0.25">
      <c r="A243" s="72">
        <v>44323</v>
      </c>
      <c r="B243">
        <v>37.858650207519531</v>
      </c>
      <c r="C243">
        <v>54.398216247558594</v>
      </c>
      <c r="D243">
        <v>79.451919555664063</v>
      </c>
      <c r="E243">
        <v>81.20562744140625</v>
      </c>
      <c r="F243">
        <v>31.39793586730957</v>
      </c>
    </row>
    <row r="244" spans="1:6" x14ac:dyDescent="0.25">
      <c r="A244" s="72">
        <v>44326</v>
      </c>
      <c r="B244">
        <v>37.444145202636719</v>
      </c>
      <c r="C244">
        <v>55.717880249023438</v>
      </c>
      <c r="D244">
        <v>86.365615844726563</v>
      </c>
      <c r="E244">
        <v>83.714103698730469</v>
      </c>
      <c r="F244">
        <v>31.505060195922852</v>
      </c>
    </row>
    <row r="245" spans="1:6" x14ac:dyDescent="0.25">
      <c r="A245" s="72">
        <v>44327</v>
      </c>
      <c r="B245">
        <v>37.315181732177734</v>
      </c>
      <c r="C245">
        <v>55.133457183837891</v>
      </c>
      <c r="D245">
        <v>87.055389404296875</v>
      </c>
      <c r="E245">
        <v>83.549751281738281</v>
      </c>
      <c r="F245">
        <v>31.076553344726563</v>
      </c>
    </row>
    <row r="246" spans="1:6" x14ac:dyDescent="0.25">
      <c r="A246" s="72">
        <v>44328</v>
      </c>
      <c r="B246">
        <v>37.305973052978516</v>
      </c>
      <c r="C246">
        <v>54.417072296142578</v>
      </c>
      <c r="D246">
        <v>82.908767700195313</v>
      </c>
      <c r="E246">
        <v>81.707305908203125</v>
      </c>
      <c r="F246">
        <v>30.988903045654297</v>
      </c>
    </row>
    <row r="247" spans="1:6" x14ac:dyDescent="0.25">
      <c r="A247" s="72">
        <v>44329</v>
      </c>
      <c r="B247">
        <v>37.570415496826172</v>
      </c>
      <c r="C247">
        <v>54.577316284179688</v>
      </c>
      <c r="D247">
        <v>82.147628784179688</v>
      </c>
      <c r="E247">
        <v>82.831802368164063</v>
      </c>
      <c r="F247">
        <v>31.134984970092773</v>
      </c>
    </row>
    <row r="248" spans="1:6" x14ac:dyDescent="0.25">
      <c r="A248" s="72">
        <v>44330</v>
      </c>
      <c r="B248">
        <v>36.843185424804688</v>
      </c>
      <c r="C248">
        <v>54.351085662841797</v>
      </c>
      <c r="D248">
        <v>79.745254516601563</v>
      </c>
      <c r="E248">
        <v>84.008201599121094</v>
      </c>
      <c r="F248">
        <v>31.290807723999023</v>
      </c>
    </row>
    <row r="249" spans="1:6" x14ac:dyDescent="0.25">
      <c r="A249" s="72">
        <v>44333</v>
      </c>
      <c r="B249">
        <v>37.30596923828125</v>
      </c>
      <c r="C249">
        <v>54.84124755859375</v>
      </c>
      <c r="D249">
        <v>79.54705810546875</v>
      </c>
      <c r="E249">
        <v>83.653556823730469</v>
      </c>
      <c r="F249">
        <v>31.388195037841797</v>
      </c>
    </row>
    <row r="250" spans="1:6" x14ac:dyDescent="0.25">
      <c r="A250" s="72">
        <v>44334</v>
      </c>
      <c r="B250">
        <v>37.683753967285156</v>
      </c>
      <c r="C250">
        <v>54.869525909423828</v>
      </c>
      <c r="D250">
        <v>80.506401062011719</v>
      </c>
      <c r="E250">
        <v>85.080787658691406</v>
      </c>
      <c r="F250">
        <v>32.225730895996094</v>
      </c>
    </row>
    <row r="251" spans="1:6" x14ac:dyDescent="0.25">
      <c r="A251" s="72">
        <v>44335</v>
      </c>
      <c r="B251">
        <v>37.806533813476563</v>
      </c>
      <c r="C251">
        <v>54.944938659667969</v>
      </c>
      <c r="D251">
        <v>77.660064697265625</v>
      </c>
      <c r="E251">
        <v>84.786689758300781</v>
      </c>
      <c r="F251">
        <v>31.748529434204102</v>
      </c>
    </row>
    <row r="252" spans="1:6" x14ac:dyDescent="0.25">
      <c r="A252" s="72">
        <v>44336</v>
      </c>
      <c r="B252">
        <v>38.524318695068359</v>
      </c>
      <c r="C252">
        <v>54.812969207763672</v>
      </c>
      <c r="D252">
        <v>75.154647827148438</v>
      </c>
      <c r="E252">
        <v>84.933746337890625</v>
      </c>
      <c r="F252">
        <v>31.544017791748047</v>
      </c>
    </row>
    <row r="253" spans="1:6" x14ac:dyDescent="0.25">
      <c r="A253" s="72">
        <v>44337</v>
      </c>
      <c r="B253">
        <v>37.797088623046875</v>
      </c>
      <c r="C253">
        <v>53.832649230957031</v>
      </c>
      <c r="D253">
        <v>75.9395751953125</v>
      </c>
      <c r="E253">
        <v>84.838592529296875</v>
      </c>
      <c r="F253">
        <v>30.706478118896484</v>
      </c>
    </row>
    <row r="254" spans="1:6" x14ac:dyDescent="0.25">
      <c r="A254" s="72">
        <v>44340</v>
      </c>
      <c r="B254">
        <v>38.25042724609375</v>
      </c>
      <c r="C254">
        <v>53.710109710693359</v>
      </c>
      <c r="D254">
        <v>74.567955017089844</v>
      </c>
      <c r="E254">
        <v>84.094703674316406</v>
      </c>
      <c r="F254">
        <v>31.076553344726563</v>
      </c>
    </row>
    <row r="255" spans="1:6" x14ac:dyDescent="0.25">
      <c r="A255" s="72">
        <v>44341</v>
      </c>
      <c r="B255">
        <v>38.958766937255859</v>
      </c>
      <c r="C255">
        <v>52.484718322753906</v>
      </c>
      <c r="D255">
        <v>73.319084167480469</v>
      </c>
      <c r="E255">
        <v>83.039413452148438</v>
      </c>
      <c r="F255">
        <v>30.842823028564453</v>
      </c>
    </row>
    <row r="256" spans="1:6" x14ac:dyDescent="0.25">
      <c r="A256" s="72">
        <v>44342</v>
      </c>
      <c r="B256">
        <v>40.186557769775391</v>
      </c>
      <c r="C256">
        <v>53.097415924072266</v>
      </c>
      <c r="D256">
        <v>73.842803955078125</v>
      </c>
      <c r="E256">
        <v>83.471908569335938</v>
      </c>
      <c r="F256">
        <v>30.784389495849609</v>
      </c>
    </row>
    <row r="257" spans="1:6" x14ac:dyDescent="0.25">
      <c r="A257" s="72">
        <v>44343</v>
      </c>
      <c r="B257">
        <v>40.838233947753906</v>
      </c>
      <c r="C257">
        <v>55.001491546630859</v>
      </c>
      <c r="D257">
        <v>74.809646606445313</v>
      </c>
      <c r="E257">
        <v>83.05670166015625</v>
      </c>
      <c r="F257">
        <v>31.164201736450195</v>
      </c>
    </row>
    <row r="258" spans="1:6" x14ac:dyDescent="0.25">
      <c r="A258" s="72">
        <v>44344</v>
      </c>
      <c r="B258">
        <v>40.885456085205078</v>
      </c>
      <c r="C258">
        <v>56.519100189208984</v>
      </c>
      <c r="D258">
        <v>77.01727294921875</v>
      </c>
      <c r="E258">
        <v>84.3282470703125</v>
      </c>
      <c r="F258">
        <v>32.167301177978516</v>
      </c>
    </row>
    <row r="259" spans="1:6" x14ac:dyDescent="0.25">
      <c r="A259" s="72">
        <v>44347</v>
      </c>
      <c r="B259">
        <v>41.414348602294922</v>
      </c>
      <c r="C259">
        <v>56.820735931396484</v>
      </c>
      <c r="D259">
        <v>78.26611328125</v>
      </c>
      <c r="E259">
        <v>85.781425476074219</v>
      </c>
      <c r="F259">
        <v>32.537376403808594</v>
      </c>
    </row>
    <row r="260" spans="1:6" x14ac:dyDescent="0.25">
      <c r="A260" s="72">
        <v>44348</v>
      </c>
      <c r="B260">
        <v>41.140460968017578</v>
      </c>
      <c r="C260">
        <v>59.309234619140625</v>
      </c>
      <c r="D260">
        <v>78.040512084960938</v>
      </c>
      <c r="E260">
        <v>85.8765869140625</v>
      </c>
      <c r="F260">
        <v>33.170398712158203</v>
      </c>
    </row>
    <row r="261" spans="1:6" x14ac:dyDescent="0.25">
      <c r="A261" s="72">
        <v>44349</v>
      </c>
      <c r="B261">
        <v>41.263236999511719</v>
      </c>
      <c r="C261">
        <v>61.194461822509766</v>
      </c>
      <c r="D261">
        <v>78.967079162597656</v>
      </c>
      <c r="E261">
        <v>84.587745666503906</v>
      </c>
      <c r="F261">
        <v>33.482040405273438</v>
      </c>
    </row>
    <row r="262" spans="1:6" x14ac:dyDescent="0.25">
      <c r="A262" s="72">
        <v>44350</v>
      </c>
      <c r="B262">
        <v>41.744911193847656</v>
      </c>
      <c r="C262">
        <v>59.290386199951172</v>
      </c>
      <c r="D262">
        <v>78.701187133789063</v>
      </c>
      <c r="E262">
        <v>85.392196655273438</v>
      </c>
      <c r="F262">
        <v>32.615287780761719</v>
      </c>
    </row>
    <row r="263" spans="1:6" x14ac:dyDescent="0.25">
      <c r="A263" s="72">
        <v>44351</v>
      </c>
      <c r="B263">
        <v>41.319904327392578</v>
      </c>
      <c r="C263">
        <v>60.440372467041016</v>
      </c>
      <c r="D263">
        <v>80.320671081542969</v>
      </c>
      <c r="E263">
        <v>85.668998718261719</v>
      </c>
      <c r="F263">
        <v>32.157562255859375</v>
      </c>
    </row>
    <row r="264" spans="1:6" x14ac:dyDescent="0.25">
      <c r="A264" s="72">
        <v>44354</v>
      </c>
      <c r="B264">
        <v>41.801578521728516</v>
      </c>
      <c r="C264">
        <v>61.486675262451172</v>
      </c>
      <c r="D264">
        <v>74.833816528320313</v>
      </c>
      <c r="E264">
        <v>86.992431640625</v>
      </c>
      <c r="F264">
        <v>34.416965484619141</v>
      </c>
    </row>
    <row r="265" spans="1:6" x14ac:dyDescent="0.25">
      <c r="A265" s="72">
        <v>44355</v>
      </c>
      <c r="B265">
        <v>42.755481719970703</v>
      </c>
      <c r="C265">
        <v>62.910015106201172</v>
      </c>
      <c r="D265">
        <v>73.270744323730469</v>
      </c>
      <c r="E265">
        <v>86.706977844238281</v>
      </c>
      <c r="F265">
        <v>34.280624389648438</v>
      </c>
    </row>
    <row r="266" spans="1:6" x14ac:dyDescent="0.25">
      <c r="A266" s="72">
        <v>44356</v>
      </c>
      <c r="B266">
        <v>42.736583709716797</v>
      </c>
      <c r="C266">
        <v>61.279300689697266</v>
      </c>
      <c r="D266">
        <v>74.261772155761719</v>
      </c>
      <c r="E266">
        <v>87.347068786621094</v>
      </c>
      <c r="F266">
        <v>35.127899169921875</v>
      </c>
    </row>
    <row r="267" spans="1:6" x14ac:dyDescent="0.25">
      <c r="A267" s="72">
        <v>44357</v>
      </c>
      <c r="B267">
        <v>42.254913330078125</v>
      </c>
      <c r="C267">
        <v>61.486675262451172</v>
      </c>
      <c r="D267">
        <v>73.850868225097656</v>
      </c>
      <c r="E267">
        <v>87.416267395019531</v>
      </c>
      <c r="F267">
        <v>37.319133758544922</v>
      </c>
    </row>
    <row r="268" spans="1:6" x14ac:dyDescent="0.25">
      <c r="A268" s="72">
        <v>44358</v>
      </c>
      <c r="B268">
        <v>42.028247833251953</v>
      </c>
      <c r="C268">
        <v>61.722328186035156</v>
      </c>
      <c r="D268">
        <v>75.212486267089844</v>
      </c>
      <c r="E268">
        <v>88.333168029785156</v>
      </c>
      <c r="F268">
        <v>37.065925598144531</v>
      </c>
    </row>
    <row r="269" spans="1:6" x14ac:dyDescent="0.25">
      <c r="A269" s="72">
        <v>44361</v>
      </c>
      <c r="B269">
        <v>42.151027679443359</v>
      </c>
      <c r="C269">
        <v>61.694049835205078</v>
      </c>
      <c r="D269">
        <v>74.874099731445313</v>
      </c>
      <c r="E269">
        <v>88.307220458984375</v>
      </c>
      <c r="F269">
        <v>36.695846557617188</v>
      </c>
    </row>
    <row r="270" spans="1:6" x14ac:dyDescent="0.25">
      <c r="A270" s="72">
        <v>44362</v>
      </c>
      <c r="B270">
        <v>42.321029663085938</v>
      </c>
      <c r="C270">
        <v>62.137077331542969</v>
      </c>
      <c r="D270">
        <v>73.649421691894531</v>
      </c>
      <c r="E270">
        <v>89.466323852539063</v>
      </c>
      <c r="F270">
        <v>35.468753814697266</v>
      </c>
    </row>
    <row r="271" spans="1:6" x14ac:dyDescent="0.25">
      <c r="A271" s="72">
        <v>44363</v>
      </c>
      <c r="B271">
        <v>42.387138366699219</v>
      </c>
      <c r="C271">
        <v>60.82684326171875</v>
      </c>
      <c r="D271">
        <v>71.175926208496094</v>
      </c>
      <c r="E271">
        <v>91.412544250488281</v>
      </c>
      <c r="F271">
        <v>35.546669006347656</v>
      </c>
    </row>
    <row r="272" spans="1:6" x14ac:dyDescent="0.25">
      <c r="A272" s="72">
        <v>44364</v>
      </c>
      <c r="B272">
        <v>41.574905395507813</v>
      </c>
      <c r="C272">
        <v>60.892826080322266</v>
      </c>
      <c r="D272">
        <v>69.806221008300781</v>
      </c>
      <c r="E272">
        <v>91.144401550292969</v>
      </c>
      <c r="F272">
        <v>36.053089141845703</v>
      </c>
    </row>
    <row r="273" spans="1:6" x14ac:dyDescent="0.25">
      <c r="A273" s="72">
        <v>44365</v>
      </c>
      <c r="B273">
        <v>41.716575622558594</v>
      </c>
      <c r="C273">
        <v>61.203887939453125</v>
      </c>
      <c r="D273">
        <v>72.392532348632813</v>
      </c>
      <c r="E273">
        <v>91.334693908691406</v>
      </c>
      <c r="F273">
        <v>35.877788543701172</v>
      </c>
    </row>
    <row r="274" spans="1:6" x14ac:dyDescent="0.25">
      <c r="A274" s="72">
        <v>44368</v>
      </c>
      <c r="B274">
        <v>41.376571655273438</v>
      </c>
      <c r="C274">
        <v>61.241600036621094</v>
      </c>
      <c r="D274">
        <v>70.861701965332031</v>
      </c>
      <c r="E274">
        <v>91.438491821289063</v>
      </c>
      <c r="F274">
        <v>35.741447448730469</v>
      </c>
    </row>
    <row r="275" spans="1:6" x14ac:dyDescent="0.25">
      <c r="A275" s="72">
        <v>44369</v>
      </c>
      <c r="B275">
        <v>41.404903411865234</v>
      </c>
      <c r="C275">
        <v>59.196125030517578</v>
      </c>
      <c r="D275">
        <v>73.254646301269531</v>
      </c>
      <c r="E275">
        <v>90.61676025390625</v>
      </c>
      <c r="F275">
        <v>35.322673797607422</v>
      </c>
    </row>
    <row r="276" spans="1:6" x14ac:dyDescent="0.25">
      <c r="A276" s="72">
        <v>44370</v>
      </c>
      <c r="B276">
        <v>41.008232116699219</v>
      </c>
      <c r="C276">
        <v>58.847358703613281</v>
      </c>
      <c r="D276">
        <v>73.866966247558594</v>
      </c>
      <c r="E276">
        <v>89.526870727539063</v>
      </c>
      <c r="F276">
        <v>35.517452239990234</v>
      </c>
    </row>
    <row r="277" spans="1:6" x14ac:dyDescent="0.25">
      <c r="A277" s="72">
        <v>44371</v>
      </c>
      <c r="B277">
        <v>41.499351501464844</v>
      </c>
      <c r="C277">
        <v>59.249435424804688</v>
      </c>
      <c r="D277">
        <v>74.020057678222656</v>
      </c>
      <c r="E277">
        <v>89.120307922363281</v>
      </c>
      <c r="F277">
        <v>35.653797149658203</v>
      </c>
    </row>
    <row r="278" spans="1:6" x14ac:dyDescent="0.25">
      <c r="A278" s="72">
        <v>44372</v>
      </c>
      <c r="B278">
        <v>41.395462036132813</v>
      </c>
      <c r="C278">
        <v>59.68023681640625</v>
      </c>
      <c r="D278">
        <v>74.157035827636719</v>
      </c>
      <c r="E278">
        <v>89.301963806152344</v>
      </c>
      <c r="F278">
        <v>35.166854858398438</v>
      </c>
    </row>
    <row r="279" spans="1:6" x14ac:dyDescent="0.25">
      <c r="A279" s="72">
        <v>44375</v>
      </c>
      <c r="B279">
        <v>41.225460052490234</v>
      </c>
      <c r="C279">
        <v>60.790740966796875</v>
      </c>
      <c r="D279">
        <v>74.374565124511719</v>
      </c>
      <c r="E279">
        <v>89.007865905761719</v>
      </c>
      <c r="F279">
        <v>34.845474243164063</v>
      </c>
    </row>
    <row r="280" spans="1:6" x14ac:dyDescent="0.25">
      <c r="A280" s="72">
        <v>44376</v>
      </c>
      <c r="B280">
        <v>41.234905242919922</v>
      </c>
      <c r="C280">
        <v>59.766399383544922</v>
      </c>
      <c r="D280">
        <v>75.6072998046875</v>
      </c>
      <c r="E280">
        <v>89.509559631347656</v>
      </c>
      <c r="F280">
        <v>34.796779632568359</v>
      </c>
    </row>
    <row r="281" spans="1:6" x14ac:dyDescent="0.25">
      <c r="A281" s="72">
        <v>44377</v>
      </c>
      <c r="B281">
        <v>41.452125549316406</v>
      </c>
      <c r="C281">
        <v>59.632369995117188</v>
      </c>
      <c r="D281">
        <v>75.542839050292969</v>
      </c>
      <c r="E281">
        <v>91.230903625488281</v>
      </c>
      <c r="F281">
        <v>34.543571472167969</v>
      </c>
    </row>
    <row r="282" spans="1:6" x14ac:dyDescent="0.25">
      <c r="A282" s="72">
        <v>44378</v>
      </c>
      <c r="B282">
        <v>41.338794708251953</v>
      </c>
      <c r="C282">
        <v>60.580135345458984</v>
      </c>
      <c r="D282">
        <v>75.6959228515625</v>
      </c>
      <c r="E282">
        <v>91.533653259277344</v>
      </c>
      <c r="F282">
        <v>34.154018402099609</v>
      </c>
    </row>
    <row r="283" spans="1:6" x14ac:dyDescent="0.25">
      <c r="A283" s="72">
        <v>44379</v>
      </c>
      <c r="B283">
        <v>40.970455169677734</v>
      </c>
      <c r="C283">
        <v>61.614055633544922</v>
      </c>
      <c r="D283">
        <v>76.380783081054688</v>
      </c>
      <c r="E283">
        <v>90.789741516113281</v>
      </c>
      <c r="F283">
        <v>35.127899169921875</v>
      </c>
    </row>
    <row r="284" spans="1:6" x14ac:dyDescent="0.25">
      <c r="A284" s="72">
        <v>44382</v>
      </c>
      <c r="B284">
        <v>41.376571655273438</v>
      </c>
      <c r="C284">
        <v>61.968269348144531</v>
      </c>
      <c r="D284">
        <v>76.606361389160156</v>
      </c>
      <c r="E284">
        <v>90.192901611328125</v>
      </c>
      <c r="F284">
        <v>36.462116241455078</v>
      </c>
    </row>
    <row r="285" spans="1:6" x14ac:dyDescent="0.25">
      <c r="A285" s="72">
        <v>44383</v>
      </c>
      <c r="B285">
        <v>41.216011047363281</v>
      </c>
      <c r="C285">
        <v>61.365142822265625</v>
      </c>
      <c r="D285">
        <v>75.615341186523438</v>
      </c>
      <c r="E285">
        <v>91.057891845703125</v>
      </c>
      <c r="F285">
        <v>36.880886077880859</v>
      </c>
    </row>
    <row r="286" spans="1:6" x14ac:dyDescent="0.25">
      <c r="A286" s="72">
        <v>44384</v>
      </c>
      <c r="B286">
        <v>42.679920196533203</v>
      </c>
      <c r="C286">
        <v>60.790740966796875</v>
      </c>
      <c r="D286">
        <v>75.518669128417969</v>
      </c>
      <c r="E286">
        <v>90.876251220703125</v>
      </c>
      <c r="F286">
        <v>35.945957183837891</v>
      </c>
    </row>
    <row r="287" spans="1:6" x14ac:dyDescent="0.25">
      <c r="A287" s="72">
        <v>44385</v>
      </c>
      <c r="B287">
        <v>41.896022796630859</v>
      </c>
      <c r="C287">
        <v>59.823833465576172</v>
      </c>
      <c r="D287">
        <v>74.293998718261719</v>
      </c>
      <c r="E287">
        <v>90.296699523925781</v>
      </c>
      <c r="F287">
        <v>35.926479339599609</v>
      </c>
    </row>
    <row r="288" spans="1:6" x14ac:dyDescent="0.25">
      <c r="A288" s="72">
        <v>44386</v>
      </c>
      <c r="B288">
        <v>42.623256683349609</v>
      </c>
      <c r="C288">
        <v>60.178047180175781</v>
      </c>
      <c r="D288">
        <v>73.907257080078125</v>
      </c>
      <c r="E288">
        <v>90.141006469726563</v>
      </c>
      <c r="F288">
        <v>36.062824249267578</v>
      </c>
    </row>
    <row r="289" spans="1:6" x14ac:dyDescent="0.25">
      <c r="A289" s="72">
        <v>44389</v>
      </c>
      <c r="B289">
        <v>42.141578674316406</v>
      </c>
      <c r="C289">
        <v>59.096263885498047</v>
      </c>
      <c r="D289">
        <v>73.834747314453125</v>
      </c>
      <c r="E289">
        <v>90.807052612304688</v>
      </c>
      <c r="F289">
        <v>35.984916687011719</v>
      </c>
    </row>
    <row r="290" spans="1:6" x14ac:dyDescent="0.25">
      <c r="A290" s="72">
        <v>44390</v>
      </c>
      <c r="B290">
        <v>41.782688140869141</v>
      </c>
      <c r="C290">
        <v>56.875247955322266</v>
      </c>
      <c r="D290">
        <v>72.988754272460938</v>
      </c>
      <c r="E290">
        <v>90.296699523925781</v>
      </c>
      <c r="F290">
        <v>35.1181640625</v>
      </c>
    </row>
    <row r="291" spans="1:6" x14ac:dyDescent="0.25">
      <c r="A291" s="72">
        <v>44391</v>
      </c>
      <c r="B291">
        <v>41.197124481201172</v>
      </c>
      <c r="C291">
        <v>58.732479095458984</v>
      </c>
      <c r="D291">
        <v>71.296768188476563</v>
      </c>
      <c r="E291">
        <v>90.080459594726563</v>
      </c>
      <c r="F291">
        <v>35.254505157470703</v>
      </c>
    </row>
    <row r="292" spans="1:6" x14ac:dyDescent="0.25">
      <c r="A292" s="72">
        <v>44392</v>
      </c>
      <c r="B292">
        <v>42.632698059082031</v>
      </c>
      <c r="C292">
        <v>60.111034393310547</v>
      </c>
      <c r="D292">
        <v>76.388816833496094</v>
      </c>
      <c r="E292">
        <v>91.429847717285156</v>
      </c>
      <c r="F292">
        <v>35.332412719726563</v>
      </c>
    </row>
    <row r="293" spans="1:6" x14ac:dyDescent="0.25">
      <c r="A293" s="72">
        <v>44393</v>
      </c>
      <c r="B293">
        <v>42.377689361572266</v>
      </c>
      <c r="C293">
        <v>60.838611602783203</v>
      </c>
      <c r="D293">
        <v>74.65655517578125</v>
      </c>
      <c r="E293">
        <v>91.767196655273438</v>
      </c>
      <c r="F293">
        <v>35.342155456542969</v>
      </c>
    </row>
    <row r="294" spans="1:6" x14ac:dyDescent="0.25">
      <c r="A294" s="72">
        <v>44396</v>
      </c>
      <c r="B294">
        <v>42.349361419677734</v>
      </c>
      <c r="C294">
        <v>58.675037384033203</v>
      </c>
      <c r="D294">
        <v>72.916244506835938</v>
      </c>
      <c r="E294">
        <v>91.222244262695313</v>
      </c>
      <c r="F294">
        <v>34.446182250976563</v>
      </c>
    </row>
    <row r="295" spans="1:6" x14ac:dyDescent="0.25">
      <c r="A295" s="72">
        <v>44397</v>
      </c>
      <c r="B295">
        <v>41.310462951660156</v>
      </c>
      <c r="C295">
        <v>60.857757568359375</v>
      </c>
      <c r="D295">
        <v>72.851776123046875</v>
      </c>
      <c r="E295">
        <v>91.014656066894531</v>
      </c>
      <c r="F295">
        <v>35.936222076416016</v>
      </c>
    </row>
    <row r="296" spans="1:6" x14ac:dyDescent="0.25">
      <c r="A296" s="72">
        <v>44398</v>
      </c>
      <c r="B296">
        <v>41.952690124511719</v>
      </c>
      <c r="C296">
        <v>58.895221710205078</v>
      </c>
      <c r="D296">
        <v>74.721015930175781</v>
      </c>
      <c r="E296">
        <v>91.758552551269531</v>
      </c>
      <c r="F296">
        <v>36.949058532714844</v>
      </c>
    </row>
    <row r="297" spans="1:6" x14ac:dyDescent="0.25">
      <c r="A297" s="72">
        <v>44399</v>
      </c>
      <c r="B297">
        <v>42.302139282226563</v>
      </c>
      <c r="C297">
        <v>59.431331634521484</v>
      </c>
      <c r="D297">
        <v>75.905410766601563</v>
      </c>
      <c r="E297">
        <v>91.741241455078125</v>
      </c>
      <c r="F297">
        <v>38.351448059082031</v>
      </c>
    </row>
    <row r="298" spans="1:6" x14ac:dyDescent="0.25">
      <c r="A298" s="72">
        <v>44400</v>
      </c>
      <c r="B298">
        <v>42.302139282226563</v>
      </c>
      <c r="C298">
        <v>60.302505493164063</v>
      </c>
      <c r="D298">
        <v>76.437171936035156</v>
      </c>
      <c r="E298">
        <v>91.4471435546875</v>
      </c>
      <c r="F298">
        <v>38.536483764648438</v>
      </c>
    </row>
    <row r="299" spans="1:6" x14ac:dyDescent="0.25">
      <c r="A299" s="72">
        <v>44403</v>
      </c>
      <c r="B299">
        <v>42.821590423583984</v>
      </c>
      <c r="C299">
        <v>61.001361846923828</v>
      </c>
      <c r="D299">
        <v>78.024391174316406</v>
      </c>
      <c r="E299">
        <v>92.900337219238281</v>
      </c>
      <c r="F299">
        <v>39.130550384521484</v>
      </c>
    </row>
    <row r="300" spans="1:6" x14ac:dyDescent="0.25">
      <c r="A300" s="72">
        <v>44404</v>
      </c>
      <c r="B300">
        <v>43.133255004882813</v>
      </c>
      <c r="C300">
        <v>62.293758392333984</v>
      </c>
      <c r="D300">
        <v>79.25714111328125</v>
      </c>
      <c r="E300">
        <v>94.664932250976563</v>
      </c>
      <c r="F300">
        <v>38.614398956298828</v>
      </c>
    </row>
    <row r="301" spans="1:6" x14ac:dyDescent="0.25">
      <c r="A301" s="72">
        <v>44405</v>
      </c>
      <c r="B301">
        <v>42.557140350341797</v>
      </c>
      <c r="C301">
        <v>61.853389739990234</v>
      </c>
      <c r="D301">
        <v>77.637657165527344</v>
      </c>
      <c r="E301">
        <v>95.625076293945313</v>
      </c>
      <c r="F301">
        <v>38.137191772460938</v>
      </c>
    </row>
    <row r="302" spans="1:6" x14ac:dyDescent="0.25">
      <c r="A302" s="72">
        <v>44406</v>
      </c>
      <c r="B302">
        <v>44.143825531005859</v>
      </c>
      <c r="C302">
        <v>60.972633361816406</v>
      </c>
      <c r="D302">
        <v>78.193603515625</v>
      </c>
      <c r="E302">
        <v>96.965812683105469</v>
      </c>
      <c r="F302">
        <v>39.919399261474609</v>
      </c>
    </row>
    <row r="303" spans="1:6" x14ac:dyDescent="0.25">
      <c r="A303" s="72">
        <v>44407</v>
      </c>
      <c r="B303">
        <v>43.331592559814453</v>
      </c>
      <c r="C303">
        <v>62.274612426757813</v>
      </c>
      <c r="D303">
        <v>73.488296508789063</v>
      </c>
      <c r="E303">
        <v>97.614547729492188</v>
      </c>
      <c r="F303">
        <v>39.315589904785156</v>
      </c>
    </row>
    <row r="304" spans="1:6" x14ac:dyDescent="0.25">
      <c r="A304" s="72">
        <v>44410</v>
      </c>
      <c r="B304">
        <v>45.059947967529297</v>
      </c>
      <c r="C304">
        <v>61.336421966552734</v>
      </c>
      <c r="D304">
        <v>73.528572082519531</v>
      </c>
      <c r="E304">
        <v>97.4588623046875</v>
      </c>
      <c r="F304">
        <v>39.101337432861328</v>
      </c>
    </row>
    <row r="305" spans="1:6" x14ac:dyDescent="0.25">
      <c r="A305" s="72">
        <v>44411</v>
      </c>
      <c r="B305">
        <v>45.6455078125</v>
      </c>
      <c r="C305">
        <v>63.011756896972656</v>
      </c>
      <c r="D305">
        <v>75.011077880859375</v>
      </c>
      <c r="E305">
        <v>98.185447692871094</v>
      </c>
      <c r="F305">
        <v>38.81890869140625</v>
      </c>
    </row>
    <row r="306" spans="1:6" x14ac:dyDescent="0.25">
      <c r="A306" s="72">
        <v>44412</v>
      </c>
      <c r="B306">
        <v>46.042179107666016</v>
      </c>
      <c r="C306">
        <v>62.973464965820313</v>
      </c>
      <c r="D306">
        <v>75.9617919921875</v>
      </c>
      <c r="E306">
        <v>98.012451171875</v>
      </c>
      <c r="F306">
        <v>37.991107940673828</v>
      </c>
    </row>
    <row r="307" spans="1:6" x14ac:dyDescent="0.25">
      <c r="A307" s="72">
        <v>44413</v>
      </c>
      <c r="B307">
        <v>45.711624145507813</v>
      </c>
      <c r="C307">
        <v>64.189277648925781</v>
      </c>
      <c r="D307">
        <v>76.566070556640625</v>
      </c>
      <c r="E307">
        <v>97.770256042480469</v>
      </c>
      <c r="F307">
        <v>37.903457641601563</v>
      </c>
    </row>
    <row r="308" spans="1:6" x14ac:dyDescent="0.25">
      <c r="A308" s="72">
        <v>44414</v>
      </c>
      <c r="B308">
        <v>46.278293609619141</v>
      </c>
      <c r="C308">
        <v>63.576587677001953</v>
      </c>
      <c r="D308">
        <v>76.380783081054688</v>
      </c>
      <c r="E308">
        <v>99.110992431640625</v>
      </c>
      <c r="F308">
        <v>37.611293792724609</v>
      </c>
    </row>
    <row r="309" spans="1:6" x14ac:dyDescent="0.25">
      <c r="A309" s="72">
        <v>44417</v>
      </c>
      <c r="B309">
        <v>46.693851470947266</v>
      </c>
      <c r="C309">
        <v>63.739345550537109</v>
      </c>
      <c r="D309">
        <v>75.534767150878906</v>
      </c>
      <c r="E309">
        <v>99.2493896484375</v>
      </c>
      <c r="F309">
        <v>36.695846557617188</v>
      </c>
    </row>
    <row r="310" spans="1:6" x14ac:dyDescent="0.25">
      <c r="A310" s="72">
        <v>44418</v>
      </c>
      <c r="B310">
        <v>46.429405212402344</v>
      </c>
      <c r="C310">
        <v>63.346828460693359</v>
      </c>
      <c r="D310">
        <v>75.5750732421875</v>
      </c>
      <c r="E310">
        <v>99.041793823242188</v>
      </c>
      <c r="F310">
        <v>37.659988403320313</v>
      </c>
    </row>
    <row r="311" spans="1:6" x14ac:dyDescent="0.25">
      <c r="A311" s="72">
        <v>44419</v>
      </c>
      <c r="B311">
        <v>46.929962158203125</v>
      </c>
      <c r="C311">
        <v>62.561805725097656</v>
      </c>
      <c r="D311">
        <v>77.001152038574219</v>
      </c>
      <c r="E311">
        <v>98.150856018066406</v>
      </c>
      <c r="F311">
        <v>38.059284210205078</v>
      </c>
    </row>
    <row r="312" spans="1:6" x14ac:dyDescent="0.25">
      <c r="A312" s="72">
        <v>44420</v>
      </c>
      <c r="B312">
        <v>46.231071472167969</v>
      </c>
      <c r="C312">
        <v>62.389492034912109</v>
      </c>
      <c r="D312">
        <v>74.527641296386719</v>
      </c>
      <c r="E312">
        <v>99.180198669433594</v>
      </c>
      <c r="F312">
        <v>38.1761474609375</v>
      </c>
    </row>
    <row r="313" spans="1:6" x14ac:dyDescent="0.25">
      <c r="A313" s="72">
        <v>44421</v>
      </c>
      <c r="B313">
        <v>46.174404144287109</v>
      </c>
      <c r="C313">
        <v>61.547042846679688</v>
      </c>
      <c r="D313">
        <v>75.123878479003906</v>
      </c>
      <c r="E313">
        <v>100.988037109375</v>
      </c>
      <c r="F313">
        <v>37.815814971923828</v>
      </c>
    </row>
    <row r="314" spans="1:6" x14ac:dyDescent="0.25">
      <c r="A314" s="72">
        <v>44424</v>
      </c>
      <c r="B314">
        <v>46.873294830322266</v>
      </c>
      <c r="C314">
        <v>62.284183502197266</v>
      </c>
      <c r="D314">
        <v>74.229545593261719</v>
      </c>
      <c r="E314">
        <v>101.27348327636719</v>
      </c>
      <c r="F314">
        <v>37.796337127685547</v>
      </c>
    </row>
    <row r="315" spans="1:6" x14ac:dyDescent="0.25">
      <c r="A315" s="72">
        <v>44425</v>
      </c>
      <c r="B315">
        <v>48.573318481445313</v>
      </c>
      <c r="C315">
        <v>61.269412994384766</v>
      </c>
      <c r="D315">
        <v>72.980697631835938</v>
      </c>
      <c r="E315">
        <v>101.07453155517578</v>
      </c>
      <c r="F315">
        <v>36.890625</v>
      </c>
    </row>
    <row r="316" spans="1:6" x14ac:dyDescent="0.25">
      <c r="A316" s="72">
        <v>44426</v>
      </c>
      <c r="B316">
        <v>48.157760620117188</v>
      </c>
      <c r="C316">
        <v>62.466079711914063</v>
      </c>
      <c r="D316">
        <v>73.294937133789063</v>
      </c>
      <c r="E316">
        <v>100.83232879638672</v>
      </c>
      <c r="F316">
        <v>37.065925598144531</v>
      </c>
    </row>
    <row r="317" spans="1:6" x14ac:dyDescent="0.25">
      <c r="A317" s="72">
        <v>44427</v>
      </c>
      <c r="B317">
        <v>47.043300628662109</v>
      </c>
      <c r="C317">
        <v>61.585330963134766</v>
      </c>
      <c r="D317">
        <v>69.620918273925781</v>
      </c>
      <c r="E317">
        <v>99.52618408203125</v>
      </c>
      <c r="F317">
        <v>36.910102844238281</v>
      </c>
    </row>
    <row r="318" spans="1:6" x14ac:dyDescent="0.25">
      <c r="A318" s="72">
        <v>44428</v>
      </c>
      <c r="B318">
        <v>47.052742004394531</v>
      </c>
      <c r="C318">
        <v>60.867336273193359</v>
      </c>
      <c r="D318">
        <v>70.668327331542969</v>
      </c>
      <c r="E318">
        <v>100.57283020019531</v>
      </c>
      <c r="F318">
        <v>37.416519165039063</v>
      </c>
    </row>
    <row r="319" spans="1:6" x14ac:dyDescent="0.25">
      <c r="A319" s="72">
        <v>44431</v>
      </c>
      <c r="B319">
        <v>47.156635284423828</v>
      </c>
      <c r="C319">
        <v>60.963066101074219</v>
      </c>
      <c r="D319">
        <v>71.353164672851563</v>
      </c>
      <c r="E319">
        <v>101.49837493896484</v>
      </c>
      <c r="F319">
        <v>38.624134063720703</v>
      </c>
    </row>
    <row r="320" spans="1:6" x14ac:dyDescent="0.25">
      <c r="A320" s="72">
        <v>44432</v>
      </c>
      <c r="B320">
        <v>46.561630249023438</v>
      </c>
      <c r="C320">
        <v>61.374717712402344</v>
      </c>
      <c r="D320">
        <v>71.071189880371094</v>
      </c>
      <c r="E320">
        <v>100.96208190917969</v>
      </c>
      <c r="F320">
        <v>38.507266998291016</v>
      </c>
    </row>
    <row r="321" spans="1:6" x14ac:dyDescent="0.25">
      <c r="A321" s="72">
        <v>44433</v>
      </c>
      <c r="B321">
        <v>46.306625366210938</v>
      </c>
      <c r="C321">
        <v>61.815090179443359</v>
      </c>
      <c r="D321">
        <v>72.835662841796875</v>
      </c>
      <c r="E321">
        <v>100.82366943359375</v>
      </c>
      <c r="F321">
        <v>38.370925903320313</v>
      </c>
    </row>
    <row r="322" spans="1:6" x14ac:dyDescent="0.25">
      <c r="A322" s="72">
        <v>44434</v>
      </c>
      <c r="B322">
        <v>46.920520782470703</v>
      </c>
      <c r="C322">
        <v>61.317283630371094</v>
      </c>
      <c r="D322">
        <v>73.197189331054688</v>
      </c>
      <c r="E322">
        <v>100.25279235839844</v>
      </c>
      <c r="F322">
        <v>38.039806365966797</v>
      </c>
    </row>
    <row r="323" spans="1:6" x14ac:dyDescent="0.25">
      <c r="A323" s="72">
        <v>44435</v>
      </c>
      <c r="B323">
        <v>46.939411163330078</v>
      </c>
      <c r="C323">
        <v>61.757652282714844</v>
      </c>
      <c r="D323">
        <v>74.183097839355469</v>
      </c>
      <c r="E323">
        <v>99.275344848632813</v>
      </c>
      <c r="F323">
        <v>38.614398956298828</v>
      </c>
    </row>
    <row r="324" spans="1:6" x14ac:dyDescent="0.25">
      <c r="A324" s="72">
        <v>44438</v>
      </c>
      <c r="B324">
        <v>47.052742004394531</v>
      </c>
      <c r="C324">
        <v>62.092720031738281</v>
      </c>
      <c r="D324">
        <v>76.196044921875</v>
      </c>
      <c r="E324">
        <v>99.439689636230469</v>
      </c>
      <c r="F324">
        <v>38.702045440673828</v>
      </c>
    </row>
    <row r="325" spans="1:6" x14ac:dyDescent="0.25">
      <c r="A325" s="72">
        <v>44439</v>
      </c>
      <c r="B325">
        <v>47.997200012207031</v>
      </c>
      <c r="C325">
        <v>65.357223510742188</v>
      </c>
      <c r="D325">
        <v>76.861557006835938</v>
      </c>
      <c r="E325">
        <v>100.57283020019531</v>
      </c>
      <c r="F325">
        <v>38.234580993652344</v>
      </c>
    </row>
    <row r="326" spans="1:6" x14ac:dyDescent="0.25">
      <c r="A326" s="72">
        <v>44440</v>
      </c>
      <c r="B326">
        <v>47.836643218994141</v>
      </c>
      <c r="C326">
        <v>62.571388244628906</v>
      </c>
      <c r="D326">
        <v>74.42138671875</v>
      </c>
      <c r="E326">
        <v>98.72174072265625</v>
      </c>
      <c r="F326">
        <v>39.111072540283203</v>
      </c>
    </row>
    <row r="327" spans="1:6" x14ac:dyDescent="0.25">
      <c r="A327" s="72">
        <v>44441</v>
      </c>
      <c r="B327">
        <v>47.572193145751953</v>
      </c>
      <c r="C327">
        <v>61.594905853271484</v>
      </c>
      <c r="D327">
        <v>74.150253295898438</v>
      </c>
      <c r="E327">
        <v>99.353202819824219</v>
      </c>
      <c r="F327">
        <v>40.912754058837891</v>
      </c>
    </row>
    <row r="328" spans="1:6" x14ac:dyDescent="0.25">
      <c r="A328" s="72">
        <v>44442</v>
      </c>
      <c r="B328">
        <v>46.665523529052734</v>
      </c>
      <c r="C328">
        <v>62.523513793945313</v>
      </c>
      <c r="D328">
        <v>74.906112670898438</v>
      </c>
      <c r="E328">
        <v>98.254646301269531</v>
      </c>
      <c r="F328">
        <v>39.890174865722656</v>
      </c>
    </row>
    <row r="329" spans="1:6" x14ac:dyDescent="0.25">
      <c r="A329" s="72">
        <v>44445</v>
      </c>
      <c r="B329">
        <v>47.194416046142578</v>
      </c>
      <c r="C329">
        <v>64.945571899414063</v>
      </c>
      <c r="D329">
        <v>74.634979248046875</v>
      </c>
      <c r="E329">
        <v>99.2493896484375</v>
      </c>
      <c r="F329">
        <v>40.864059448242188</v>
      </c>
    </row>
    <row r="330" spans="1:6" x14ac:dyDescent="0.25">
      <c r="A330" s="72">
        <v>44446</v>
      </c>
      <c r="B330">
        <v>46.703300476074219</v>
      </c>
      <c r="C330">
        <v>64.916847229003906</v>
      </c>
      <c r="D330">
        <v>72.400222778320313</v>
      </c>
      <c r="E330">
        <v>98.254646301269531</v>
      </c>
      <c r="F330">
        <v>40.610851287841797</v>
      </c>
    </row>
    <row r="331" spans="1:6" x14ac:dyDescent="0.25">
      <c r="A331" s="72">
        <v>44447</v>
      </c>
      <c r="B331">
        <v>47.005519866943359</v>
      </c>
      <c r="C331">
        <v>64.993446350097656</v>
      </c>
      <c r="D331">
        <v>71.529304504394531</v>
      </c>
      <c r="E331">
        <v>97.839447021484375</v>
      </c>
      <c r="F331">
        <v>40.416072845458984</v>
      </c>
    </row>
    <row r="332" spans="1:6" x14ac:dyDescent="0.25">
      <c r="A332" s="72">
        <v>44448</v>
      </c>
      <c r="B332">
        <v>47.298305511474609</v>
      </c>
      <c r="C332">
        <v>64.620079040527344</v>
      </c>
      <c r="D332">
        <v>70.568023681640625</v>
      </c>
      <c r="E332">
        <v>97.623199462890625</v>
      </c>
      <c r="F332">
        <v>39.890174865722656</v>
      </c>
    </row>
    <row r="333" spans="1:6" x14ac:dyDescent="0.25">
      <c r="A333" s="72">
        <v>44449</v>
      </c>
      <c r="B333">
        <v>47.515525817871094</v>
      </c>
      <c r="C333">
        <v>65.156196594238281</v>
      </c>
      <c r="D333">
        <v>72.079780578613281</v>
      </c>
      <c r="E333">
        <v>97.709693908691406</v>
      </c>
      <c r="F333">
        <v>39.062381744384766</v>
      </c>
    </row>
    <row r="334" spans="1:6" x14ac:dyDescent="0.25">
      <c r="A334" s="72">
        <v>44452</v>
      </c>
      <c r="B334">
        <v>48.488319396972656</v>
      </c>
      <c r="C334">
        <v>64.342460632324219</v>
      </c>
      <c r="D334">
        <v>70.863807678222656</v>
      </c>
      <c r="E334">
        <v>97.752952575683594</v>
      </c>
      <c r="F334">
        <v>39.393501281738281</v>
      </c>
    </row>
    <row r="335" spans="1:6" x14ac:dyDescent="0.25">
      <c r="A335" s="72">
        <v>44453</v>
      </c>
      <c r="B335">
        <v>52.228355407714844</v>
      </c>
      <c r="C335">
        <v>66.544319152832031</v>
      </c>
      <c r="D335">
        <v>71.800437927246094</v>
      </c>
      <c r="E335">
        <v>99.474288940429688</v>
      </c>
      <c r="F335">
        <v>39.549320220947266</v>
      </c>
    </row>
    <row r="336" spans="1:6" x14ac:dyDescent="0.25">
      <c r="A336" s="72">
        <v>44454</v>
      </c>
      <c r="B336">
        <v>52.889480590820313</v>
      </c>
      <c r="C336">
        <v>71.98199462890625</v>
      </c>
      <c r="D336">
        <v>73.049293518066406</v>
      </c>
      <c r="E336">
        <v>99.828948974609375</v>
      </c>
      <c r="F336">
        <v>39.744098663330078</v>
      </c>
    </row>
    <row r="337" spans="1:6" x14ac:dyDescent="0.25">
      <c r="A337" s="72">
        <v>44456</v>
      </c>
      <c r="B337">
        <v>53.106704711914063</v>
      </c>
      <c r="C337">
        <v>71.800094604492188</v>
      </c>
      <c r="D337">
        <v>69.992904663085938</v>
      </c>
      <c r="E337">
        <v>98.592002868652344</v>
      </c>
      <c r="F337">
        <v>40.269989013671875</v>
      </c>
    </row>
    <row r="338" spans="1:6" x14ac:dyDescent="0.25">
      <c r="A338" s="72">
        <v>44459</v>
      </c>
      <c r="B338">
        <v>54.693382263183594</v>
      </c>
      <c r="C338">
        <v>70.402374267578125</v>
      </c>
      <c r="D338">
        <v>67.519859313964844</v>
      </c>
      <c r="E338">
        <v>98.427642822265625</v>
      </c>
      <c r="F338">
        <v>39.003948211669922</v>
      </c>
    </row>
    <row r="339" spans="1:6" x14ac:dyDescent="0.25">
      <c r="A339" s="72">
        <v>44460</v>
      </c>
      <c r="B339">
        <v>54.665050506591797</v>
      </c>
      <c r="C339">
        <v>69.789688110351563</v>
      </c>
      <c r="D339">
        <v>68.218223571777344</v>
      </c>
      <c r="E339">
        <v>99.024497985839844</v>
      </c>
      <c r="F339">
        <v>39.802528381347656</v>
      </c>
    </row>
    <row r="340" spans="1:6" x14ac:dyDescent="0.25">
      <c r="A340" s="72">
        <v>44461</v>
      </c>
      <c r="B340">
        <v>55.042835235595703</v>
      </c>
      <c r="C340">
        <v>69.48333740234375</v>
      </c>
      <c r="D340">
        <v>68.209991455078125</v>
      </c>
      <c r="E340">
        <v>99.975982666015625</v>
      </c>
      <c r="F340">
        <v>41.078315734863281</v>
      </c>
    </row>
    <row r="341" spans="1:6" x14ac:dyDescent="0.25">
      <c r="A341" s="72">
        <v>44462</v>
      </c>
      <c r="B341">
        <v>55.071170806884766</v>
      </c>
      <c r="C341">
        <v>70.258781433105469</v>
      </c>
      <c r="D341">
        <v>68.596168518066406</v>
      </c>
      <c r="E341">
        <v>99.915435791015625</v>
      </c>
      <c r="F341">
        <v>41.282829284667969</v>
      </c>
    </row>
    <row r="342" spans="1:6" x14ac:dyDescent="0.25">
      <c r="A342" s="72">
        <v>44463</v>
      </c>
      <c r="B342">
        <v>53.475040435791016</v>
      </c>
      <c r="C342">
        <v>69.042976379394531</v>
      </c>
      <c r="D342">
        <v>67.478767395019531</v>
      </c>
      <c r="E342">
        <v>100.12303161621094</v>
      </c>
      <c r="F342">
        <v>40.922492980957031</v>
      </c>
    </row>
    <row r="343" spans="1:6" x14ac:dyDescent="0.25">
      <c r="A343" s="72">
        <v>44466</v>
      </c>
      <c r="B343">
        <v>53.182258605957031</v>
      </c>
      <c r="C343">
        <v>69.349319458007813</v>
      </c>
      <c r="D343">
        <v>67.577384948730469</v>
      </c>
      <c r="E343">
        <v>100.59014129638672</v>
      </c>
      <c r="F343">
        <v>41.253612518310547</v>
      </c>
    </row>
    <row r="344" spans="1:6" x14ac:dyDescent="0.25">
      <c r="A344" s="72">
        <v>44467</v>
      </c>
      <c r="B344">
        <v>52.247245788574219</v>
      </c>
      <c r="C344">
        <v>66.649635314941406</v>
      </c>
      <c r="D344">
        <v>65.975242614746094</v>
      </c>
      <c r="E344">
        <v>100.27873229980469</v>
      </c>
      <c r="F344">
        <v>40.464767456054688</v>
      </c>
    </row>
    <row r="345" spans="1:6" x14ac:dyDescent="0.25">
      <c r="A345" s="72">
        <v>44468</v>
      </c>
      <c r="B345">
        <v>54.617828369140625</v>
      </c>
      <c r="C345">
        <v>65.02215576171875</v>
      </c>
      <c r="D345">
        <v>65.720527648925781</v>
      </c>
      <c r="E345">
        <v>100.74583435058594</v>
      </c>
      <c r="F345">
        <v>40.90301513671875</v>
      </c>
    </row>
    <row r="346" spans="1:6" x14ac:dyDescent="0.25">
      <c r="A346" s="72">
        <v>44469</v>
      </c>
      <c r="B346">
        <v>54.816165924072266</v>
      </c>
      <c r="C346">
        <v>67.693130493164063</v>
      </c>
      <c r="D346">
        <v>67.692390441894531</v>
      </c>
      <c r="E346">
        <v>100.6160888671875</v>
      </c>
      <c r="F346">
        <v>40.523204803466797</v>
      </c>
    </row>
    <row r="347" spans="1:6" x14ac:dyDescent="0.25">
      <c r="A347" s="72">
        <v>44470</v>
      </c>
      <c r="B347">
        <v>54.117271423339844</v>
      </c>
      <c r="C347">
        <v>67.042137145996094</v>
      </c>
      <c r="D347">
        <v>66.229911804199219</v>
      </c>
      <c r="E347">
        <v>98.3238525390625</v>
      </c>
      <c r="F347">
        <v>40.893280029296875</v>
      </c>
    </row>
    <row r="348" spans="1:6" x14ac:dyDescent="0.25">
      <c r="A348" s="72">
        <v>44473</v>
      </c>
      <c r="B348">
        <v>54.107830047607422</v>
      </c>
      <c r="C348">
        <v>68.391975402832031</v>
      </c>
      <c r="D348">
        <v>65.958793640136719</v>
      </c>
      <c r="E348">
        <v>97.017707824707031</v>
      </c>
      <c r="F348">
        <v>39.929134368896484</v>
      </c>
    </row>
    <row r="349" spans="1:6" x14ac:dyDescent="0.25">
      <c r="A349" s="72">
        <v>44474</v>
      </c>
      <c r="B349">
        <v>54.759498596191406</v>
      </c>
      <c r="C349">
        <v>68.746192932128906</v>
      </c>
      <c r="D349">
        <v>66.229911804199219</v>
      </c>
      <c r="E349">
        <v>99.015846252441406</v>
      </c>
      <c r="F349">
        <v>40.084957122802734</v>
      </c>
    </row>
    <row r="350" spans="1:6" x14ac:dyDescent="0.25">
      <c r="A350" s="72">
        <v>44475</v>
      </c>
      <c r="B350">
        <v>56.043956756591797</v>
      </c>
      <c r="C350">
        <v>68.774917602539063</v>
      </c>
      <c r="D350">
        <v>66.394241333007813</v>
      </c>
      <c r="E350">
        <v>98.315200805664063</v>
      </c>
      <c r="F350">
        <v>40.143390655517578</v>
      </c>
    </row>
    <row r="351" spans="1:6" x14ac:dyDescent="0.25">
      <c r="A351" s="72">
        <v>44476</v>
      </c>
      <c r="B351">
        <v>55.061725616455078</v>
      </c>
      <c r="C351">
        <v>70.373664855957031</v>
      </c>
      <c r="D351">
        <v>69.080902099609375</v>
      </c>
      <c r="E351">
        <v>97.441566467285156</v>
      </c>
      <c r="F351">
        <v>40.81536865234375</v>
      </c>
    </row>
    <row r="352" spans="1:6" x14ac:dyDescent="0.25">
      <c r="A352" s="72">
        <v>44477</v>
      </c>
      <c r="B352">
        <v>55.486728668212891</v>
      </c>
      <c r="C352">
        <v>69.741813659667969</v>
      </c>
      <c r="D352">
        <v>69.508140563964844</v>
      </c>
      <c r="E352">
        <v>97.095558166503906</v>
      </c>
      <c r="F352">
        <v>40.864059448242188</v>
      </c>
    </row>
    <row r="353" spans="1:6" x14ac:dyDescent="0.25">
      <c r="A353" s="72">
        <v>44480</v>
      </c>
      <c r="B353">
        <v>54.391159057617188</v>
      </c>
      <c r="C353">
        <v>71.742652893066406</v>
      </c>
      <c r="D353">
        <v>71.841514587402344</v>
      </c>
      <c r="E353">
        <v>98.168144226074219</v>
      </c>
      <c r="F353">
        <v>41.029621124267578</v>
      </c>
    </row>
    <row r="354" spans="1:6" x14ac:dyDescent="0.25">
      <c r="A354" s="72">
        <v>44481</v>
      </c>
      <c r="B354">
        <v>52.455028533935547</v>
      </c>
      <c r="C354">
        <v>70.440673828125</v>
      </c>
      <c r="D354">
        <v>70.033988952636719</v>
      </c>
      <c r="E354">
        <v>98.626594543457031</v>
      </c>
      <c r="F354">
        <v>42.821563720703125</v>
      </c>
    </row>
    <row r="355" spans="1:6" x14ac:dyDescent="0.25">
      <c r="A355" s="72">
        <v>44482</v>
      </c>
      <c r="B355">
        <v>53.711154937744141</v>
      </c>
      <c r="C355">
        <v>70.852333068847656</v>
      </c>
      <c r="D355">
        <v>71.233535766601563</v>
      </c>
      <c r="E355">
        <v>97.744293212890625</v>
      </c>
      <c r="F355">
        <v>43.240333557128906</v>
      </c>
    </row>
    <row r="356" spans="1:6" x14ac:dyDescent="0.25">
      <c r="A356" s="72">
        <v>44483</v>
      </c>
      <c r="B356">
        <v>53.994491577148438</v>
      </c>
      <c r="C356">
        <v>70.670433044433594</v>
      </c>
      <c r="D356">
        <v>73.509376525878906</v>
      </c>
      <c r="E356">
        <v>98.574691772460938</v>
      </c>
      <c r="F356">
        <v>43.659099578857422</v>
      </c>
    </row>
    <row r="357" spans="1:6" x14ac:dyDescent="0.25">
      <c r="A357" s="72">
        <v>44484</v>
      </c>
      <c r="B357">
        <v>54.665050506591797</v>
      </c>
      <c r="C357">
        <v>71.666061401367188</v>
      </c>
      <c r="D357">
        <v>77.025871276855469</v>
      </c>
      <c r="E357">
        <v>99.456993103027344</v>
      </c>
      <c r="F357">
        <v>44.438205718994141</v>
      </c>
    </row>
    <row r="358" spans="1:6" x14ac:dyDescent="0.25">
      <c r="A358" s="72">
        <v>44487</v>
      </c>
      <c r="B358">
        <v>56.317848205566406</v>
      </c>
      <c r="C358">
        <v>70.612998962402344</v>
      </c>
      <c r="D358">
        <v>77.658523559570313</v>
      </c>
      <c r="E358">
        <v>97.804847717285156</v>
      </c>
      <c r="F358">
        <v>44.175258636474609</v>
      </c>
    </row>
    <row r="359" spans="1:6" x14ac:dyDescent="0.25">
      <c r="A359" s="72">
        <v>44488</v>
      </c>
      <c r="B359">
        <v>54.428939819335938</v>
      </c>
      <c r="C359">
        <v>69.875846862792969</v>
      </c>
      <c r="D359">
        <v>78.365097045898438</v>
      </c>
      <c r="E359">
        <v>96.152717590332031</v>
      </c>
      <c r="F359">
        <v>44.408988952636719</v>
      </c>
    </row>
    <row r="360" spans="1:6" x14ac:dyDescent="0.25">
      <c r="A360" s="72">
        <v>44489</v>
      </c>
      <c r="B360">
        <v>54.665050506591797</v>
      </c>
      <c r="C360">
        <v>70.325798034667969</v>
      </c>
      <c r="D360">
        <v>77.970710754394531</v>
      </c>
      <c r="E360">
        <v>94.881179809570313</v>
      </c>
      <c r="F360">
        <v>46.084064483642578</v>
      </c>
    </row>
    <row r="361" spans="1:6" x14ac:dyDescent="0.25">
      <c r="A361" s="72">
        <v>44490</v>
      </c>
      <c r="B361">
        <v>54.438381195068359</v>
      </c>
      <c r="C361">
        <v>67.760139465332031</v>
      </c>
      <c r="D361">
        <v>78.00360107421875</v>
      </c>
      <c r="E361">
        <v>94.215118408203125</v>
      </c>
      <c r="F361">
        <v>45.928241729736328</v>
      </c>
    </row>
    <row r="362" spans="1:6" x14ac:dyDescent="0.25">
      <c r="A362" s="72">
        <v>44491</v>
      </c>
      <c r="B362">
        <v>53.371150970458984</v>
      </c>
      <c r="C362">
        <v>68.152656555175781</v>
      </c>
      <c r="D362">
        <v>77.576339721679688</v>
      </c>
      <c r="E362">
        <v>94.595726013183594</v>
      </c>
      <c r="F362">
        <v>45.636077880859375</v>
      </c>
    </row>
    <row r="363" spans="1:6" x14ac:dyDescent="0.25">
      <c r="A363" s="72">
        <v>44494</v>
      </c>
      <c r="B363">
        <v>53.475040435791016</v>
      </c>
      <c r="C363">
        <v>67.702705383300781</v>
      </c>
      <c r="D363">
        <v>78.40618896484375</v>
      </c>
      <c r="E363">
        <v>95.132026672363281</v>
      </c>
      <c r="F363">
        <v>44.886188507080078</v>
      </c>
    </row>
    <row r="364" spans="1:6" x14ac:dyDescent="0.25">
      <c r="A364" s="72">
        <v>44495</v>
      </c>
      <c r="B364">
        <v>54.249488830566406</v>
      </c>
      <c r="C364">
        <v>68.985527038574219</v>
      </c>
      <c r="D364">
        <v>77.724227905273438</v>
      </c>
      <c r="E364">
        <v>97.164764404296875</v>
      </c>
      <c r="F364">
        <v>44.243431091308594</v>
      </c>
    </row>
    <row r="365" spans="1:6" x14ac:dyDescent="0.25">
      <c r="A365" s="72">
        <v>44496</v>
      </c>
      <c r="B365">
        <v>54.315601348876953</v>
      </c>
      <c r="C365">
        <v>67.559097290039063</v>
      </c>
      <c r="D365">
        <v>76.097457885742188</v>
      </c>
      <c r="E365">
        <v>96.265167236328125</v>
      </c>
      <c r="F365">
        <v>43.026077270507813</v>
      </c>
    </row>
    <row r="366" spans="1:6" x14ac:dyDescent="0.25">
      <c r="A366" s="72">
        <v>44497</v>
      </c>
      <c r="B366">
        <v>53.153926849365234</v>
      </c>
      <c r="C366">
        <v>66.247543334960938</v>
      </c>
      <c r="D366">
        <v>73.410797119140625</v>
      </c>
      <c r="E366">
        <v>97.035003662109375</v>
      </c>
      <c r="F366">
        <v>42.402793884277344</v>
      </c>
    </row>
    <row r="367" spans="1:6" x14ac:dyDescent="0.25">
      <c r="A367" s="72">
        <v>44498</v>
      </c>
      <c r="B367">
        <v>57.555084228515625</v>
      </c>
      <c r="C367">
        <v>66.295417785644531</v>
      </c>
      <c r="D367">
        <v>74.207763671875</v>
      </c>
      <c r="E367">
        <v>95.971061706542969</v>
      </c>
      <c r="F367">
        <v>42.091152191162109</v>
      </c>
    </row>
    <row r="368" spans="1:6" x14ac:dyDescent="0.25">
      <c r="A368" s="72">
        <v>44501</v>
      </c>
      <c r="B368">
        <v>59.368438720703125</v>
      </c>
      <c r="C368">
        <v>67.693130493164063</v>
      </c>
      <c r="D368">
        <v>73.821609497070313</v>
      </c>
      <c r="E368">
        <v>97.683746337890625</v>
      </c>
      <c r="F368">
        <v>43.113727569580078</v>
      </c>
    </row>
    <row r="369" spans="1:6" x14ac:dyDescent="0.25">
      <c r="A369" s="72">
        <v>44503</v>
      </c>
      <c r="B369">
        <v>58.537315368652344</v>
      </c>
      <c r="C369">
        <v>68.774917602539063</v>
      </c>
      <c r="D369">
        <v>73.2711181640625</v>
      </c>
      <c r="E369">
        <v>97.2080078125</v>
      </c>
      <c r="F369">
        <v>42.841041564941406</v>
      </c>
    </row>
    <row r="370" spans="1:6" x14ac:dyDescent="0.25">
      <c r="A370" s="72">
        <v>44504</v>
      </c>
      <c r="B370">
        <v>59.415664672851563</v>
      </c>
      <c r="C370">
        <v>67.932449340820313</v>
      </c>
      <c r="D370">
        <v>73.065727233886719</v>
      </c>
      <c r="E370">
        <v>97.432907104492188</v>
      </c>
      <c r="F370">
        <v>42.74365234375</v>
      </c>
    </row>
    <row r="371" spans="1:6" x14ac:dyDescent="0.25">
      <c r="A371" s="72">
        <v>44505</v>
      </c>
      <c r="B371">
        <v>59.878444671630859</v>
      </c>
      <c r="C371">
        <v>67.291038513183594</v>
      </c>
      <c r="D371">
        <v>72.589179992675781</v>
      </c>
      <c r="E371">
        <v>96.178665161132813</v>
      </c>
      <c r="F371">
        <v>42.539134979248047</v>
      </c>
    </row>
    <row r="372" spans="1:6" x14ac:dyDescent="0.25">
      <c r="A372" s="72">
        <v>44508</v>
      </c>
      <c r="B372">
        <v>57.810089111328125</v>
      </c>
      <c r="C372">
        <v>67.568672180175781</v>
      </c>
      <c r="D372">
        <v>72.926063537597656</v>
      </c>
      <c r="E372">
        <v>94.630325317382813</v>
      </c>
      <c r="F372">
        <v>42.811820983886719</v>
      </c>
    </row>
    <row r="373" spans="1:6" x14ac:dyDescent="0.25">
      <c r="A373" s="72">
        <v>44509</v>
      </c>
      <c r="B373">
        <v>59.330661773681641</v>
      </c>
      <c r="C373">
        <v>68.497299194335938</v>
      </c>
      <c r="D373">
        <v>72.490592956542969</v>
      </c>
      <c r="E373">
        <v>95.53857421875</v>
      </c>
      <c r="F373">
        <v>41.750289916992188</v>
      </c>
    </row>
    <row r="374" spans="1:6" x14ac:dyDescent="0.25">
      <c r="A374" s="72">
        <v>44510</v>
      </c>
      <c r="B374">
        <v>58.159538269042969</v>
      </c>
      <c r="C374">
        <v>67.444221496582031</v>
      </c>
      <c r="D374">
        <v>71.077423095703125</v>
      </c>
      <c r="E374">
        <v>96.308395385742188</v>
      </c>
      <c r="F374">
        <v>42.636524200439453</v>
      </c>
    </row>
    <row r="375" spans="1:6" x14ac:dyDescent="0.25">
      <c r="A375" s="72">
        <v>44511</v>
      </c>
      <c r="B375">
        <v>56.346183776855469</v>
      </c>
      <c r="C375">
        <v>66.984695434570313</v>
      </c>
      <c r="D375">
        <v>72.342704772949219</v>
      </c>
      <c r="E375">
        <v>96.317054748535156</v>
      </c>
      <c r="F375">
        <v>42.3443603515625</v>
      </c>
    </row>
    <row r="376" spans="1:6" x14ac:dyDescent="0.25">
      <c r="A376" s="72">
        <v>44512</v>
      </c>
      <c r="B376">
        <v>56.516181945800781</v>
      </c>
      <c r="C376">
        <v>64.342460632324219</v>
      </c>
      <c r="D376">
        <v>71.545745849609375</v>
      </c>
      <c r="E376">
        <v>94.907119750976563</v>
      </c>
      <c r="F376">
        <v>42.470962524414063</v>
      </c>
    </row>
    <row r="377" spans="1:6" x14ac:dyDescent="0.25">
      <c r="A377" s="72">
        <v>44516</v>
      </c>
      <c r="B377">
        <v>57.564529418945313</v>
      </c>
      <c r="C377">
        <v>63.777633666992188</v>
      </c>
      <c r="D377">
        <v>71.217109680175781</v>
      </c>
      <c r="E377">
        <v>91.784500122070313</v>
      </c>
      <c r="F377">
        <v>42.850776672363281</v>
      </c>
    </row>
    <row r="378" spans="1:6" x14ac:dyDescent="0.25">
      <c r="A378" s="72">
        <v>44517</v>
      </c>
      <c r="B378">
        <v>57.148971557617188</v>
      </c>
      <c r="C378">
        <v>65.433815002441406</v>
      </c>
      <c r="D378">
        <v>71.529304504394531</v>
      </c>
      <c r="E378">
        <v>91.741241455078125</v>
      </c>
      <c r="F378">
        <v>42.519657135009766</v>
      </c>
    </row>
    <row r="379" spans="1:6" x14ac:dyDescent="0.25">
      <c r="A379" s="72">
        <v>44518</v>
      </c>
      <c r="B379">
        <v>57.111190795898438</v>
      </c>
      <c r="C379">
        <v>65.251930236816406</v>
      </c>
      <c r="D379">
        <v>70.806289672851563</v>
      </c>
      <c r="E379">
        <v>92.46783447265625</v>
      </c>
      <c r="F379">
        <v>42.74365234375</v>
      </c>
    </row>
    <row r="380" spans="1:6" x14ac:dyDescent="0.25">
      <c r="A380" s="72">
        <v>44519</v>
      </c>
      <c r="B380">
        <v>54.929500579833984</v>
      </c>
      <c r="C380">
        <v>64.486053466796875</v>
      </c>
      <c r="D380">
        <v>72.367355346679688</v>
      </c>
      <c r="E380">
        <v>92.104530334472656</v>
      </c>
      <c r="F380">
        <v>41.019878387451172</v>
      </c>
    </row>
    <row r="381" spans="1:6" x14ac:dyDescent="0.25">
      <c r="A381" s="72">
        <v>44522</v>
      </c>
      <c r="B381">
        <v>53.267265319824219</v>
      </c>
      <c r="C381">
        <v>62.456508636474609</v>
      </c>
      <c r="D381">
        <v>70.379058837890625</v>
      </c>
      <c r="E381">
        <v>92.121841430664063</v>
      </c>
      <c r="F381">
        <v>39.636970520019531</v>
      </c>
    </row>
    <row r="382" spans="1:6" x14ac:dyDescent="0.25">
      <c r="A382" s="72">
        <v>44523</v>
      </c>
      <c r="B382">
        <v>52.558917999267578</v>
      </c>
      <c r="C382">
        <v>61.384292602539063</v>
      </c>
      <c r="D382">
        <v>72.515243530273438</v>
      </c>
      <c r="E382">
        <v>92.718696594238281</v>
      </c>
      <c r="F382">
        <v>40.133651733398438</v>
      </c>
    </row>
    <row r="383" spans="1:6" x14ac:dyDescent="0.25">
      <c r="A383" s="72">
        <v>44524</v>
      </c>
      <c r="B383">
        <v>53.286148071289063</v>
      </c>
      <c r="C383">
        <v>59.440898895263672</v>
      </c>
      <c r="D383">
        <v>71.767585754394531</v>
      </c>
      <c r="E383">
        <v>91.697998046875</v>
      </c>
      <c r="F383">
        <v>39.257156372070313</v>
      </c>
    </row>
    <row r="384" spans="1:6" x14ac:dyDescent="0.25">
      <c r="A384" s="72">
        <v>44525</v>
      </c>
      <c r="B384">
        <v>51.992240905761719</v>
      </c>
      <c r="C384">
        <v>59.929145812988281</v>
      </c>
      <c r="D384">
        <v>70.987060546875</v>
      </c>
      <c r="E384">
        <v>89.673904418945313</v>
      </c>
      <c r="F384">
        <v>39.120811462402344</v>
      </c>
    </row>
    <row r="385" spans="1:6" x14ac:dyDescent="0.25">
      <c r="A385" s="72">
        <v>44526</v>
      </c>
      <c r="B385">
        <v>51.406681060791016</v>
      </c>
      <c r="C385">
        <v>56.961406707763672</v>
      </c>
      <c r="D385">
        <v>69.549240112304688</v>
      </c>
      <c r="E385">
        <v>87.511421203613281</v>
      </c>
      <c r="F385">
        <v>36.919837951660156</v>
      </c>
    </row>
    <row r="386" spans="1:6" x14ac:dyDescent="0.25">
      <c r="A386" s="72">
        <v>44529</v>
      </c>
      <c r="B386">
        <v>49.876670837402344</v>
      </c>
      <c r="C386">
        <v>56.319999694824219</v>
      </c>
      <c r="D386">
        <v>73.643333435058594</v>
      </c>
      <c r="E386">
        <v>90.331306457519531</v>
      </c>
      <c r="F386">
        <v>37.562602996826172</v>
      </c>
    </row>
    <row r="387" spans="1:6" x14ac:dyDescent="0.25">
      <c r="A387" s="72">
        <v>44530</v>
      </c>
      <c r="B387">
        <v>53.097259521484375</v>
      </c>
      <c r="C387">
        <v>59.708953857421875</v>
      </c>
      <c r="D387">
        <v>75.270889282226563</v>
      </c>
      <c r="E387">
        <v>91.092498779296875</v>
      </c>
      <c r="F387">
        <v>35.731704711914063</v>
      </c>
    </row>
    <row r="388" spans="1:6" x14ac:dyDescent="0.25">
      <c r="A388" s="72">
        <v>44531</v>
      </c>
      <c r="B388">
        <v>53.021701812744141</v>
      </c>
      <c r="C388">
        <v>58.205940246582031</v>
      </c>
      <c r="D388">
        <v>75.698760986328125</v>
      </c>
      <c r="E388">
        <v>92.018043518066406</v>
      </c>
      <c r="F388">
        <v>36.062824249267578</v>
      </c>
    </row>
    <row r="389" spans="1:6" x14ac:dyDescent="0.25">
      <c r="A389" s="72">
        <v>44532</v>
      </c>
      <c r="B389">
        <v>53.182258605957031</v>
      </c>
      <c r="C389">
        <v>59.775970458984375</v>
      </c>
      <c r="D389">
        <v>77.401847839355469</v>
      </c>
      <c r="E389">
        <v>93.557731628417969</v>
      </c>
      <c r="F389">
        <v>37.621036529541016</v>
      </c>
    </row>
    <row r="390" spans="1:6" x14ac:dyDescent="0.25">
      <c r="A390" s="72">
        <v>44533</v>
      </c>
      <c r="B390">
        <v>53.673377990722656</v>
      </c>
      <c r="C390">
        <v>58.617595672607422</v>
      </c>
      <c r="D390">
        <v>76.554489135742188</v>
      </c>
      <c r="E390">
        <v>92.883041381835938</v>
      </c>
      <c r="F390">
        <v>37.913200378417969</v>
      </c>
    </row>
    <row r="391" spans="1:6" x14ac:dyDescent="0.25">
      <c r="A391" s="72">
        <v>44536</v>
      </c>
      <c r="B391">
        <v>53.087810516357422</v>
      </c>
      <c r="C391">
        <v>57.899593353271484</v>
      </c>
      <c r="D391">
        <v>77.536064147949219</v>
      </c>
      <c r="E391">
        <v>92.822479248046875</v>
      </c>
      <c r="F391">
        <v>37.93267822265625</v>
      </c>
    </row>
    <row r="392" spans="1:6" x14ac:dyDescent="0.25">
      <c r="A392" s="72">
        <v>44537</v>
      </c>
      <c r="B392">
        <v>54.391159057617188</v>
      </c>
      <c r="C392">
        <v>58.675037384033203</v>
      </c>
      <c r="D392">
        <v>78.400192260742188</v>
      </c>
      <c r="E392">
        <v>92.900337219238281</v>
      </c>
      <c r="F392">
        <v>38.273536682128906</v>
      </c>
    </row>
    <row r="393" spans="1:6" x14ac:dyDescent="0.25">
      <c r="A393" s="72">
        <v>44538</v>
      </c>
      <c r="B393">
        <v>51.746685028076172</v>
      </c>
      <c r="C393">
        <v>58.225086212158203</v>
      </c>
      <c r="D393">
        <v>76.948806762695313</v>
      </c>
      <c r="E393">
        <v>93.436630249023438</v>
      </c>
      <c r="F393">
        <v>37.621036529541016</v>
      </c>
    </row>
    <row r="394" spans="1:6" x14ac:dyDescent="0.25">
      <c r="A394" s="72">
        <v>44539</v>
      </c>
      <c r="B394">
        <v>53.153926849365234</v>
      </c>
      <c r="C394">
        <v>57.775138854980469</v>
      </c>
      <c r="D394">
        <v>77.905204772949219</v>
      </c>
      <c r="E394">
        <v>93.332832336425781</v>
      </c>
      <c r="F394">
        <v>36.705585479736328</v>
      </c>
    </row>
    <row r="395" spans="1:6" x14ac:dyDescent="0.25">
      <c r="A395" s="72">
        <v>44540</v>
      </c>
      <c r="B395">
        <v>55.156169891357422</v>
      </c>
      <c r="C395">
        <v>57.382633209228516</v>
      </c>
      <c r="D395">
        <v>77.183700561523438</v>
      </c>
      <c r="E395">
        <v>93.626937866210938</v>
      </c>
      <c r="F395">
        <v>35.634315490722656</v>
      </c>
    </row>
    <row r="396" spans="1:6" x14ac:dyDescent="0.25">
      <c r="A396" s="72">
        <v>44543</v>
      </c>
      <c r="B396">
        <v>53.673377990722656</v>
      </c>
      <c r="C396">
        <v>56.329566955566406</v>
      </c>
      <c r="D396">
        <v>75.111488342285156</v>
      </c>
      <c r="E396">
        <v>93.211746215820313</v>
      </c>
      <c r="F396">
        <v>35.1181640625</v>
      </c>
    </row>
    <row r="397" spans="1:6" x14ac:dyDescent="0.25">
      <c r="A397" s="72">
        <v>44544</v>
      </c>
      <c r="B397">
        <v>55.515056610107422</v>
      </c>
      <c r="C397">
        <v>57.353916168212891</v>
      </c>
      <c r="D397">
        <v>75.304450988769531</v>
      </c>
      <c r="E397">
        <v>93.895088195800781</v>
      </c>
      <c r="F397">
        <v>35.819355010986328</v>
      </c>
    </row>
    <row r="398" spans="1:6" x14ac:dyDescent="0.25">
      <c r="A398" s="72">
        <v>44545</v>
      </c>
      <c r="B398">
        <v>56.176181793212891</v>
      </c>
      <c r="C398">
        <v>57.286899566650391</v>
      </c>
      <c r="D398">
        <v>73.844673156738281</v>
      </c>
      <c r="E398">
        <v>91.256843566894531</v>
      </c>
      <c r="F398">
        <v>35.001293182373047</v>
      </c>
    </row>
    <row r="399" spans="1:6" x14ac:dyDescent="0.25">
      <c r="A399" s="72">
        <v>44546</v>
      </c>
      <c r="B399">
        <v>55.014499664306641</v>
      </c>
      <c r="C399">
        <v>55.630714416503906</v>
      </c>
      <c r="D399">
        <v>74.935310363769531</v>
      </c>
      <c r="E399">
        <v>91.974800109863281</v>
      </c>
      <c r="F399">
        <v>36.160213470458984</v>
      </c>
    </row>
    <row r="400" spans="1:6" x14ac:dyDescent="0.25">
      <c r="A400" s="72">
        <v>44547</v>
      </c>
      <c r="B400">
        <v>58.055644989013672</v>
      </c>
      <c r="C400">
        <v>58.713329315185547</v>
      </c>
      <c r="D400">
        <v>74.297706604003906</v>
      </c>
      <c r="E400">
        <v>94.898468017578125</v>
      </c>
      <c r="F400">
        <v>36.666633605957031</v>
      </c>
    </row>
    <row r="401" spans="1:6" x14ac:dyDescent="0.25">
      <c r="A401" s="72">
        <v>44550</v>
      </c>
      <c r="B401">
        <v>59.387325286865234</v>
      </c>
      <c r="C401">
        <v>56.291267395019531</v>
      </c>
      <c r="D401">
        <v>71.411705017089844</v>
      </c>
      <c r="E401">
        <v>95.521270751953125</v>
      </c>
      <c r="F401">
        <v>35.790138244628906</v>
      </c>
    </row>
    <row r="402" spans="1:6" x14ac:dyDescent="0.25">
      <c r="A402" s="72">
        <v>44551</v>
      </c>
      <c r="B402">
        <v>57.753421783447266</v>
      </c>
      <c r="C402">
        <v>56.923110961914063</v>
      </c>
      <c r="D402">
        <v>72.955375671386719</v>
      </c>
      <c r="E402">
        <v>96.680351257324219</v>
      </c>
      <c r="F402">
        <v>35.790138244628906</v>
      </c>
    </row>
    <row r="403" spans="1:6" x14ac:dyDescent="0.25">
      <c r="A403" s="72">
        <v>44552</v>
      </c>
      <c r="B403">
        <v>59.179546356201172</v>
      </c>
      <c r="C403">
        <v>59.172843933105469</v>
      </c>
      <c r="D403">
        <v>73.32452392578125</v>
      </c>
      <c r="E403">
        <v>96.714958190917969</v>
      </c>
      <c r="F403">
        <v>36.023872375488281</v>
      </c>
    </row>
    <row r="404" spans="1:6" x14ac:dyDescent="0.25">
      <c r="A404" s="72">
        <v>44553</v>
      </c>
      <c r="B404">
        <v>58.678985595703125</v>
      </c>
      <c r="C404">
        <v>58.636745452880859</v>
      </c>
      <c r="D404">
        <v>74.222198486328125</v>
      </c>
      <c r="E404">
        <v>97.372352600097656</v>
      </c>
      <c r="F404">
        <v>37.065925598144531</v>
      </c>
    </row>
    <row r="405" spans="1:6" x14ac:dyDescent="0.25">
      <c r="A405" s="72">
        <v>44554</v>
      </c>
      <c r="B405">
        <v>59.321216583251953</v>
      </c>
      <c r="C405">
        <v>58.990951538085938</v>
      </c>
      <c r="D405">
        <v>74.415145874023438</v>
      </c>
      <c r="E405">
        <v>98.176803588867188</v>
      </c>
      <c r="F405">
        <v>37.124355316162109</v>
      </c>
    </row>
    <row r="406" spans="1:6" x14ac:dyDescent="0.25">
      <c r="A406" s="72">
        <v>44557</v>
      </c>
      <c r="B406">
        <v>59.349544525146484</v>
      </c>
      <c r="C406">
        <v>60.560981750488281</v>
      </c>
      <c r="D406">
        <v>75.665206909179688</v>
      </c>
      <c r="E406">
        <v>97.752952575683594</v>
      </c>
      <c r="F406">
        <v>37.173049926757813</v>
      </c>
    </row>
    <row r="407" spans="1:6" x14ac:dyDescent="0.25">
      <c r="A407" s="72">
        <v>44558</v>
      </c>
      <c r="B407">
        <v>58.811210632324219</v>
      </c>
      <c r="C407">
        <v>59.402606964111328</v>
      </c>
      <c r="D407">
        <v>75.631645202636719</v>
      </c>
      <c r="E407">
        <v>96.420860290527344</v>
      </c>
      <c r="F407">
        <v>37.026969909667969</v>
      </c>
    </row>
    <row r="408" spans="1:6" x14ac:dyDescent="0.25">
      <c r="A408" s="72">
        <v>44559</v>
      </c>
      <c r="B408">
        <v>58.678985595703125</v>
      </c>
      <c r="C408">
        <v>59.641937255859375</v>
      </c>
      <c r="D408">
        <v>73.7691650390625</v>
      </c>
      <c r="E408">
        <v>96.066207885742188</v>
      </c>
      <c r="F408">
        <v>37.065925598144531</v>
      </c>
    </row>
    <row r="409" spans="1:6" x14ac:dyDescent="0.25">
      <c r="A409" s="72">
        <v>44560</v>
      </c>
      <c r="B409">
        <v>59.443996429443359</v>
      </c>
      <c r="C409">
        <v>60.484401702880859</v>
      </c>
      <c r="D409">
        <v>74.683624267578125</v>
      </c>
      <c r="E409">
        <v>96.481414794921875</v>
      </c>
      <c r="F409">
        <v>37.572341918945313</v>
      </c>
    </row>
    <row r="410" spans="1:6" x14ac:dyDescent="0.25">
      <c r="A410" s="72">
        <v>44561</v>
      </c>
      <c r="B410">
        <v>59.472328186035156</v>
      </c>
      <c r="C410">
        <v>63.365978240966797</v>
      </c>
      <c r="D410">
        <v>74.910140991210938</v>
      </c>
      <c r="E410">
        <v>96.619804382324219</v>
      </c>
      <c r="F410">
        <v>36.958797454833984</v>
      </c>
    </row>
    <row r="411" spans="1:6" x14ac:dyDescent="0.25">
      <c r="A411" s="72">
        <v>44564</v>
      </c>
      <c r="B411">
        <v>59.000099182128906</v>
      </c>
      <c r="C411">
        <v>61.977836608886719</v>
      </c>
      <c r="D411">
        <v>74.742355346679688</v>
      </c>
      <c r="E411">
        <v>96.8360595703125</v>
      </c>
      <c r="F411">
        <v>38.896816253662109</v>
      </c>
    </row>
    <row r="412" spans="1:6" x14ac:dyDescent="0.25">
      <c r="A412" s="72">
        <v>44565</v>
      </c>
      <c r="B412">
        <v>59.415664672851563</v>
      </c>
      <c r="C412">
        <v>62.408645629882813</v>
      </c>
      <c r="D412">
        <v>74.020851135253906</v>
      </c>
      <c r="E412">
        <v>97.709693908691406</v>
      </c>
      <c r="F412">
        <v>39.958347320556641</v>
      </c>
    </row>
    <row r="413" spans="1:6" x14ac:dyDescent="0.25">
      <c r="A413" s="72">
        <v>44566</v>
      </c>
      <c r="B413">
        <v>57.602306365966797</v>
      </c>
      <c r="C413">
        <v>59.900421142578125</v>
      </c>
      <c r="D413">
        <v>75.119880676269531</v>
      </c>
      <c r="E413">
        <v>96.2132568359375</v>
      </c>
      <c r="F413">
        <v>40.805625915527344</v>
      </c>
    </row>
    <row r="414" spans="1:6" x14ac:dyDescent="0.25">
      <c r="A414" s="72">
        <v>44567</v>
      </c>
      <c r="B414">
        <v>60.152336120605469</v>
      </c>
      <c r="C414">
        <v>59.785541534423828</v>
      </c>
      <c r="D414">
        <v>75.933670043945313</v>
      </c>
      <c r="E414">
        <v>95.867271423339844</v>
      </c>
      <c r="F414">
        <v>40.688762664794922</v>
      </c>
    </row>
    <row r="415" spans="1:6" x14ac:dyDescent="0.25">
      <c r="A415" s="72">
        <v>44568</v>
      </c>
      <c r="B415">
        <v>60.898460388183594</v>
      </c>
      <c r="C415">
        <v>58.588874816894531</v>
      </c>
      <c r="D415">
        <v>75.807830810546875</v>
      </c>
      <c r="E415">
        <v>94.898468017578125</v>
      </c>
      <c r="F415">
        <v>42.10089111328125</v>
      </c>
    </row>
    <row r="416" spans="1:6" x14ac:dyDescent="0.25">
      <c r="A416" s="72">
        <v>44571</v>
      </c>
      <c r="B416">
        <v>59.812335968017578</v>
      </c>
      <c r="C416">
        <v>58.014472961425781</v>
      </c>
      <c r="D416">
        <v>74.8765869140625</v>
      </c>
      <c r="E416">
        <v>94.993629455566406</v>
      </c>
      <c r="F416">
        <v>42.441749572753906</v>
      </c>
    </row>
    <row r="417" spans="1:6" x14ac:dyDescent="0.25">
      <c r="A417" s="72">
        <v>44572</v>
      </c>
      <c r="B417">
        <v>61.399021148681641</v>
      </c>
      <c r="C417">
        <v>58.550579071044922</v>
      </c>
      <c r="D417">
        <v>75.480636596679688</v>
      </c>
      <c r="E417">
        <v>96.593864440917969</v>
      </c>
      <c r="F417">
        <v>42.412532806396484</v>
      </c>
    </row>
    <row r="418" spans="1:6" x14ac:dyDescent="0.25">
      <c r="A418" s="72">
        <v>44573</v>
      </c>
      <c r="B418">
        <v>63.316265106201172</v>
      </c>
      <c r="C418">
        <v>61.068374633789063</v>
      </c>
      <c r="D418">
        <v>78.844841003417969</v>
      </c>
      <c r="E418">
        <v>97.804847717285156</v>
      </c>
      <c r="F418">
        <v>41.915851593017578</v>
      </c>
    </row>
    <row r="419" spans="1:6" x14ac:dyDescent="0.25">
      <c r="A419" s="72">
        <v>44574</v>
      </c>
      <c r="B419">
        <v>62.277362823486328</v>
      </c>
      <c r="C419">
        <v>61.346004486083984</v>
      </c>
      <c r="D419">
        <v>78.853225708007813</v>
      </c>
      <c r="E419">
        <v>96.853355407714844</v>
      </c>
      <c r="F419">
        <v>41.925590515136719</v>
      </c>
    </row>
    <row r="420" spans="1:6" x14ac:dyDescent="0.25">
      <c r="A420" s="72">
        <v>44575</v>
      </c>
      <c r="B420">
        <v>62.740139007568359</v>
      </c>
      <c r="C420">
        <v>61.231121063232422</v>
      </c>
      <c r="D420">
        <v>78.098167419433594</v>
      </c>
      <c r="E420">
        <v>98.081642150878906</v>
      </c>
      <c r="F420">
        <v>41.623687744140625</v>
      </c>
    </row>
    <row r="421" spans="1:6" x14ac:dyDescent="0.25">
      <c r="A421" s="72">
        <v>44578</v>
      </c>
      <c r="B421">
        <v>62.844032287597656</v>
      </c>
      <c r="C421">
        <v>62.456508636474609</v>
      </c>
      <c r="D421">
        <v>78.752555847167969</v>
      </c>
      <c r="E421">
        <v>98.133544921875</v>
      </c>
      <c r="F421">
        <v>42.013236999511719</v>
      </c>
    </row>
    <row r="422" spans="1:6" x14ac:dyDescent="0.25">
      <c r="A422" s="72">
        <v>44579</v>
      </c>
      <c r="B422">
        <v>59.774555206298828</v>
      </c>
      <c r="C422">
        <v>60.254638671875</v>
      </c>
      <c r="D422">
        <v>78.458900451660156</v>
      </c>
      <c r="E422">
        <v>97.311805725097656</v>
      </c>
      <c r="F422">
        <v>42.198280334472656</v>
      </c>
    </row>
    <row r="423" spans="1:6" x14ac:dyDescent="0.25">
      <c r="A423" s="72">
        <v>44580</v>
      </c>
      <c r="B423">
        <v>60.03900146484375</v>
      </c>
      <c r="C423">
        <v>58.694187164306641</v>
      </c>
      <c r="D423">
        <v>79.985809326171875</v>
      </c>
      <c r="E423">
        <v>95.408828735351563</v>
      </c>
      <c r="F423">
        <v>40.805625915527344</v>
      </c>
    </row>
    <row r="424" spans="1:6" x14ac:dyDescent="0.25">
      <c r="A424" s="72">
        <v>44581</v>
      </c>
      <c r="B424">
        <v>60.388450622558594</v>
      </c>
      <c r="C424">
        <v>60.063175201416016</v>
      </c>
      <c r="D424">
        <v>78.576393127441406</v>
      </c>
      <c r="E424">
        <v>94.751426696777344</v>
      </c>
      <c r="F424">
        <v>40.864059448242188</v>
      </c>
    </row>
    <row r="425" spans="1:6" x14ac:dyDescent="0.25">
      <c r="A425" s="72">
        <v>44582</v>
      </c>
      <c r="B425">
        <v>59.717887878417969</v>
      </c>
      <c r="C425">
        <v>57.995330810546875</v>
      </c>
      <c r="D425">
        <v>75.715538024902344</v>
      </c>
      <c r="E425">
        <v>94.457321166992188</v>
      </c>
      <c r="F425">
        <v>38.887081146240234</v>
      </c>
    </row>
    <row r="426" spans="1:6" x14ac:dyDescent="0.25">
      <c r="A426" s="72">
        <v>44585</v>
      </c>
      <c r="B426">
        <v>59.396770477294922</v>
      </c>
      <c r="C426">
        <v>56.310413360595703</v>
      </c>
      <c r="D426">
        <v>72.8463134765625</v>
      </c>
      <c r="E426">
        <v>93.834541320800781</v>
      </c>
      <c r="F426">
        <v>38.624134063720703</v>
      </c>
    </row>
    <row r="427" spans="1:6" x14ac:dyDescent="0.25">
      <c r="A427" s="72">
        <v>44586</v>
      </c>
      <c r="B427">
        <v>59.510105133056641</v>
      </c>
      <c r="C427">
        <v>55.123321533203125</v>
      </c>
      <c r="D427">
        <v>73.735618591308594</v>
      </c>
      <c r="E427">
        <v>95.824020385742188</v>
      </c>
      <c r="F427">
        <v>38.302757263183594</v>
      </c>
    </row>
    <row r="428" spans="1:6" x14ac:dyDescent="0.25">
      <c r="A428" s="72">
        <v>44587</v>
      </c>
      <c r="B428">
        <v>58.924545288085938</v>
      </c>
      <c r="C428">
        <v>54.577648162841797</v>
      </c>
      <c r="D428">
        <v>73.727226257324219</v>
      </c>
      <c r="E428">
        <v>95.754814147949219</v>
      </c>
      <c r="F428">
        <v>39.724620819091797</v>
      </c>
    </row>
    <row r="429" spans="1:6" x14ac:dyDescent="0.25">
      <c r="A429" s="72">
        <v>44588</v>
      </c>
      <c r="B429">
        <v>57.17730712890625</v>
      </c>
      <c r="C429">
        <v>54.185134887695313</v>
      </c>
      <c r="D429">
        <v>71.755668640136719</v>
      </c>
      <c r="E429">
        <v>95.192573547363281</v>
      </c>
      <c r="F429">
        <v>39.792789459228516</v>
      </c>
    </row>
    <row r="430" spans="1:6" x14ac:dyDescent="0.25">
      <c r="A430" s="72">
        <v>44589</v>
      </c>
      <c r="B430">
        <v>58.112312316894531</v>
      </c>
      <c r="C430">
        <v>54.453193664550781</v>
      </c>
      <c r="D430">
        <v>72.611427307128906</v>
      </c>
      <c r="E430">
        <v>94.145919799804688</v>
      </c>
      <c r="F430">
        <v>40.484245300292969</v>
      </c>
    </row>
    <row r="431" spans="1:6" x14ac:dyDescent="0.25">
      <c r="A431" s="72">
        <v>44592</v>
      </c>
      <c r="B431">
        <v>61.002342224121094</v>
      </c>
      <c r="C431">
        <v>55.228630065917969</v>
      </c>
      <c r="D431">
        <v>74.3228759765625</v>
      </c>
      <c r="E431">
        <v>93.652885437011719</v>
      </c>
      <c r="F431">
        <v>41.204921722412109</v>
      </c>
    </row>
    <row r="432" spans="1:6" x14ac:dyDescent="0.25">
      <c r="A432" s="72">
        <v>44593</v>
      </c>
      <c r="B432">
        <v>61.484012603759766</v>
      </c>
      <c r="C432">
        <v>56.023216247558594</v>
      </c>
      <c r="D432">
        <v>75.363189697265625</v>
      </c>
      <c r="E432">
        <v>93.765335083007813</v>
      </c>
      <c r="F432">
        <v>43.240333557128906</v>
      </c>
    </row>
    <row r="433" spans="1:6" x14ac:dyDescent="0.25">
      <c r="A433" s="72">
        <v>44594</v>
      </c>
      <c r="B433">
        <v>59.698993682861328</v>
      </c>
      <c r="C433">
        <v>56.501884460449219</v>
      </c>
      <c r="D433">
        <v>75.623245239257813</v>
      </c>
      <c r="E433">
        <v>96.0921630859375</v>
      </c>
      <c r="F433">
        <v>44.1168212890625</v>
      </c>
    </row>
    <row r="434" spans="1:6" x14ac:dyDescent="0.25">
      <c r="A434" s="72">
        <v>44595</v>
      </c>
      <c r="B434">
        <v>57.526752471923828</v>
      </c>
      <c r="C434">
        <v>53.409694671630859</v>
      </c>
      <c r="D434">
        <v>73.223846435546875</v>
      </c>
      <c r="E434">
        <v>94.32757568359375</v>
      </c>
      <c r="F434">
        <v>44.740104675292969</v>
      </c>
    </row>
    <row r="435" spans="1:6" x14ac:dyDescent="0.25">
      <c r="A435" s="72">
        <v>44596</v>
      </c>
      <c r="B435">
        <v>58.565647125244141</v>
      </c>
      <c r="C435">
        <v>53.582019805908203</v>
      </c>
      <c r="D435">
        <v>74.557777404785156</v>
      </c>
      <c r="E435">
        <v>94.223777770996094</v>
      </c>
      <c r="F435">
        <v>45.042011260986328</v>
      </c>
    </row>
    <row r="436" spans="1:6" x14ac:dyDescent="0.25">
      <c r="A436" s="72">
        <v>44600</v>
      </c>
      <c r="B436">
        <v>59.878444671630859</v>
      </c>
      <c r="C436">
        <v>53.649032592773438</v>
      </c>
      <c r="D436">
        <v>76.504158020019531</v>
      </c>
      <c r="E436">
        <v>95.417472839355469</v>
      </c>
      <c r="F436">
        <v>45.860073089599609</v>
      </c>
    </row>
    <row r="437" spans="1:6" x14ac:dyDescent="0.25">
      <c r="A437" s="72">
        <v>44601</v>
      </c>
      <c r="B437">
        <v>60.482894897460938</v>
      </c>
      <c r="C437">
        <v>54.079830169677734</v>
      </c>
      <c r="D437">
        <v>78.450523376464844</v>
      </c>
      <c r="E437">
        <v>95.175270080566406</v>
      </c>
      <c r="F437">
        <v>45.947719573974609</v>
      </c>
    </row>
    <row r="438" spans="1:6" x14ac:dyDescent="0.25">
      <c r="A438" s="72">
        <v>44602</v>
      </c>
      <c r="B438">
        <v>59.916221618652344</v>
      </c>
      <c r="C438">
        <v>53.31396484375</v>
      </c>
      <c r="D438">
        <v>82.209030151367188</v>
      </c>
      <c r="E438">
        <v>94.163223266601563</v>
      </c>
      <c r="F438">
        <v>45.821117401123047</v>
      </c>
    </row>
    <row r="439" spans="1:6" x14ac:dyDescent="0.25">
      <c r="A439" s="72">
        <v>44603</v>
      </c>
      <c r="B439">
        <v>61.040122985839844</v>
      </c>
      <c r="C439">
        <v>55.228630065917969</v>
      </c>
      <c r="D439">
        <v>84.977584838867188</v>
      </c>
      <c r="E439">
        <v>95.132026672363281</v>
      </c>
      <c r="F439">
        <v>45.168617248535156</v>
      </c>
    </row>
    <row r="440" spans="1:6" x14ac:dyDescent="0.25">
      <c r="A440" s="72">
        <v>44606</v>
      </c>
      <c r="B440">
        <v>59.406219482421875</v>
      </c>
      <c r="C440">
        <v>53.639457702636719</v>
      </c>
      <c r="D440">
        <v>85.724235534667969</v>
      </c>
      <c r="E440">
        <v>92.476486206054688</v>
      </c>
      <c r="F440">
        <v>45.178352355957031</v>
      </c>
    </row>
    <row r="441" spans="1:6" x14ac:dyDescent="0.25">
      <c r="A441" s="72">
        <v>44607</v>
      </c>
      <c r="B441">
        <v>59.566776275634766</v>
      </c>
      <c r="C441">
        <v>54.568073272705078</v>
      </c>
      <c r="D441">
        <v>87.762901306152344</v>
      </c>
      <c r="E441">
        <v>94.310272216796875</v>
      </c>
      <c r="F441">
        <v>45.07122802734375</v>
      </c>
    </row>
    <row r="442" spans="1:6" x14ac:dyDescent="0.25">
      <c r="A442" s="72">
        <v>44608</v>
      </c>
      <c r="B442">
        <v>59.708438873291016</v>
      </c>
      <c r="C442">
        <v>56.588050842285156</v>
      </c>
      <c r="D442">
        <v>88.803207397460938</v>
      </c>
      <c r="E442">
        <v>94.561119079589844</v>
      </c>
      <c r="F442">
        <v>44.964099884033203</v>
      </c>
    </row>
    <row r="443" spans="1:6" x14ac:dyDescent="0.25">
      <c r="A443" s="72">
        <v>44609</v>
      </c>
      <c r="B443">
        <v>60.209003448486328</v>
      </c>
      <c r="C443">
        <v>55.161617279052734</v>
      </c>
      <c r="D443">
        <v>83.870170593261719</v>
      </c>
      <c r="E443">
        <v>94.102676391601563</v>
      </c>
      <c r="F443">
        <v>45.382869720458984</v>
      </c>
    </row>
    <row r="444" spans="1:6" x14ac:dyDescent="0.25">
      <c r="A444" s="72">
        <v>44610</v>
      </c>
      <c r="B444">
        <v>61.210124969482422</v>
      </c>
      <c r="C444">
        <v>56.530605316162109</v>
      </c>
      <c r="D444">
        <v>82.594963073730469</v>
      </c>
      <c r="E444">
        <v>93.95562744140625</v>
      </c>
      <c r="F444">
        <v>44.808277130126953</v>
      </c>
    </row>
    <row r="445" spans="1:6" x14ac:dyDescent="0.25">
      <c r="A445" s="72">
        <v>44613</v>
      </c>
      <c r="B445">
        <v>61.096794128417969</v>
      </c>
      <c r="C445">
        <v>56.980552673339844</v>
      </c>
      <c r="D445">
        <v>81.143577575683594</v>
      </c>
      <c r="E445">
        <v>97.3896484375</v>
      </c>
      <c r="F445">
        <v>43.814922332763672</v>
      </c>
    </row>
    <row r="446" spans="1:6" x14ac:dyDescent="0.25">
      <c r="A446" s="72">
        <v>44614</v>
      </c>
      <c r="B446">
        <v>61.852348327636719</v>
      </c>
      <c r="C446">
        <v>60.934345245361328</v>
      </c>
      <c r="D446">
        <v>82.846641540527344</v>
      </c>
      <c r="E446">
        <v>97.259902954101563</v>
      </c>
      <c r="F446">
        <v>43.181900024414063</v>
      </c>
    </row>
    <row r="447" spans="1:6" x14ac:dyDescent="0.25">
      <c r="A447" s="72">
        <v>44615</v>
      </c>
      <c r="B447">
        <v>59.179546356201172</v>
      </c>
      <c r="C447">
        <v>60.063175201416016</v>
      </c>
      <c r="D447">
        <v>82.058021545410156</v>
      </c>
      <c r="E447">
        <v>94.396766662597656</v>
      </c>
      <c r="F447">
        <v>42.490444183349609</v>
      </c>
    </row>
    <row r="448" spans="1:6" x14ac:dyDescent="0.25">
      <c r="A448" s="72">
        <v>44616</v>
      </c>
      <c r="B448">
        <v>58.896209716796875</v>
      </c>
      <c r="C448">
        <v>58.655887603759766</v>
      </c>
      <c r="D448">
        <v>85.413833618164063</v>
      </c>
      <c r="E448">
        <v>93.817230224609375</v>
      </c>
      <c r="F448">
        <v>41.380218505859375</v>
      </c>
    </row>
    <row r="449" spans="1:6" x14ac:dyDescent="0.25">
      <c r="A449" s="72">
        <v>44617</v>
      </c>
      <c r="B449">
        <v>60.775672912597656</v>
      </c>
      <c r="C449">
        <v>59.823833465576172</v>
      </c>
      <c r="D449">
        <v>85.506134033203125</v>
      </c>
      <c r="E449">
        <v>97.54534912109375</v>
      </c>
      <c r="F449">
        <v>45.032272338867188</v>
      </c>
    </row>
    <row r="450" spans="1:6" x14ac:dyDescent="0.25">
      <c r="A450" s="72">
        <v>44620</v>
      </c>
      <c r="B450">
        <v>59.566776275634766</v>
      </c>
      <c r="C450">
        <v>59.708953857421875</v>
      </c>
      <c r="D450">
        <v>88.148834228515625</v>
      </c>
      <c r="E450">
        <v>97.294509887695313</v>
      </c>
      <c r="F450">
        <v>43.201377868652344</v>
      </c>
    </row>
    <row r="451" spans="1:6" x14ac:dyDescent="0.25">
      <c r="A451" s="72">
        <v>44621</v>
      </c>
      <c r="B451">
        <v>58.867874145507813</v>
      </c>
      <c r="C451">
        <v>60.273780822753906</v>
      </c>
      <c r="D451">
        <v>90.900581359863281</v>
      </c>
      <c r="E451">
        <v>94.82061767578125</v>
      </c>
      <c r="F451">
        <v>44.730369567871094</v>
      </c>
    </row>
    <row r="452" spans="1:6" x14ac:dyDescent="0.25">
      <c r="A452" s="72">
        <v>44622</v>
      </c>
      <c r="B452">
        <v>58.461765289306641</v>
      </c>
      <c r="C452">
        <v>64.237144470214844</v>
      </c>
      <c r="D452">
        <v>93.305290222167969</v>
      </c>
      <c r="E452">
        <v>97.735649108886719</v>
      </c>
      <c r="F452">
        <v>44.954360961914063</v>
      </c>
    </row>
    <row r="453" spans="1:6" x14ac:dyDescent="0.25">
      <c r="A453" s="72">
        <v>44623</v>
      </c>
      <c r="B453">
        <v>55.921176910400391</v>
      </c>
      <c r="C453">
        <v>63.844638824462891</v>
      </c>
      <c r="D453">
        <v>98.660400390625</v>
      </c>
      <c r="E453">
        <v>96.360305786132813</v>
      </c>
      <c r="F453">
        <v>46.366493225097656</v>
      </c>
    </row>
    <row r="454" spans="1:6" x14ac:dyDescent="0.25">
      <c r="A454" s="72">
        <v>44624</v>
      </c>
      <c r="B454">
        <v>54.249488830566406</v>
      </c>
      <c r="C454">
        <v>63.289386749267578</v>
      </c>
      <c r="D454">
        <v>99.751876831054688</v>
      </c>
      <c r="E454">
        <v>95.296363830566406</v>
      </c>
      <c r="F454">
        <v>45.811378479003906</v>
      </c>
    </row>
    <row r="455" spans="1:6" x14ac:dyDescent="0.25">
      <c r="A455" s="72">
        <v>44627</v>
      </c>
      <c r="B455">
        <v>50.245006561279297</v>
      </c>
      <c r="C455">
        <v>61.087516784667969</v>
      </c>
      <c r="D455">
        <v>99.939498901367188</v>
      </c>
      <c r="E455">
        <v>94.751426696777344</v>
      </c>
      <c r="F455">
        <v>42.938430786132813</v>
      </c>
    </row>
    <row r="456" spans="1:6" x14ac:dyDescent="0.25">
      <c r="A456" s="72">
        <v>44628</v>
      </c>
      <c r="B456">
        <v>51.198902130126953</v>
      </c>
      <c r="C456">
        <v>58.933521270751953</v>
      </c>
      <c r="D456">
        <v>100.0162353515625</v>
      </c>
      <c r="E456">
        <v>94.474624633789063</v>
      </c>
      <c r="F456">
        <v>43.055290222167969</v>
      </c>
    </row>
    <row r="457" spans="1:6" x14ac:dyDescent="0.25">
      <c r="A457" s="72">
        <v>44629</v>
      </c>
      <c r="B457">
        <v>53.323928833007813</v>
      </c>
      <c r="C457">
        <v>61.929969787597656</v>
      </c>
      <c r="D457">
        <v>97.56890869140625</v>
      </c>
      <c r="E457">
        <v>95.365570068359375</v>
      </c>
      <c r="F457">
        <v>43.775966644287109</v>
      </c>
    </row>
    <row r="458" spans="1:6" x14ac:dyDescent="0.25">
      <c r="A458" s="72">
        <v>44630</v>
      </c>
      <c r="B458">
        <v>53.928379058837891</v>
      </c>
      <c r="C458">
        <v>61.432159423828125</v>
      </c>
      <c r="D458">
        <v>98.549537658691406</v>
      </c>
      <c r="E458">
        <v>93.15118408203125</v>
      </c>
      <c r="F458">
        <v>45.821117401123047</v>
      </c>
    </row>
    <row r="459" spans="1:6" x14ac:dyDescent="0.25">
      <c r="A459" s="72">
        <v>44631</v>
      </c>
      <c r="B459">
        <v>53.503379821777344</v>
      </c>
      <c r="C459">
        <v>60.312080383300781</v>
      </c>
      <c r="D459">
        <v>96.937889099121094</v>
      </c>
      <c r="E459">
        <v>93.376091003417969</v>
      </c>
      <c r="F459">
        <v>47.574104309082031</v>
      </c>
    </row>
    <row r="460" spans="1:6" x14ac:dyDescent="0.25">
      <c r="A460" s="72">
        <v>44634</v>
      </c>
      <c r="B460">
        <v>52.133914947509766</v>
      </c>
      <c r="C460">
        <v>60.752452850341797</v>
      </c>
      <c r="D460">
        <v>92.444038391113281</v>
      </c>
      <c r="E460">
        <v>91.620147705078125</v>
      </c>
      <c r="F460">
        <v>47.204029083251953</v>
      </c>
    </row>
    <row r="461" spans="1:6" x14ac:dyDescent="0.25">
      <c r="A461" s="72">
        <v>44635</v>
      </c>
      <c r="B461">
        <v>53.144485473632813</v>
      </c>
      <c r="C461">
        <v>62.15972900390625</v>
      </c>
      <c r="D461">
        <v>89.186607360839844</v>
      </c>
      <c r="E461">
        <v>91.758552551269531</v>
      </c>
      <c r="F461">
        <v>47.817573547363281</v>
      </c>
    </row>
    <row r="462" spans="1:6" x14ac:dyDescent="0.25">
      <c r="A462" s="72">
        <v>44636</v>
      </c>
      <c r="B462">
        <v>55.618949890136719</v>
      </c>
      <c r="C462">
        <v>66.649635314941406</v>
      </c>
      <c r="D462">
        <v>88.120704650878906</v>
      </c>
      <c r="E462">
        <v>93.514472961425781</v>
      </c>
      <c r="F462">
        <v>47.807834625244141</v>
      </c>
    </row>
    <row r="463" spans="1:6" x14ac:dyDescent="0.25">
      <c r="A463" s="72">
        <v>44637</v>
      </c>
      <c r="B463">
        <v>55.458396911621094</v>
      </c>
      <c r="C463">
        <v>67.089996337890625</v>
      </c>
      <c r="D463">
        <v>93.339378356933594</v>
      </c>
      <c r="E463">
        <v>94.068069458007813</v>
      </c>
      <c r="F463">
        <v>48.470073699951172</v>
      </c>
    </row>
    <row r="464" spans="1:6" x14ac:dyDescent="0.25">
      <c r="A464" s="72">
        <v>44638</v>
      </c>
      <c r="B464">
        <v>54.759498596191406</v>
      </c>
      <c r="C464">
        <v>72.144729614257813</v>
      </c>
      <c r="D464">
        <v>97.790611267089844</v>
      </c>
      <c r="E464">
        <v>92.173728942871094</v>
      </c>
      <c r="F464">
        <v>48.635635375976563</v>
      </c>
    </row>
    <row r="465" spans="1:6" x14ac:dyDescent="0.25">
      <c r="A465" s="72">
        <v>44642</v>
      </c>
      <c r="B465">
        <v>55.996734619140625</v>
      </c>
      <c r="C465">
        <v>71.876678466796875</v>
      </c>
      <c r="D465">
        <v>99.581329345703125</v>
      </c>
      <c r="E465">
        <v>92.34674072265625</v>
      </c>
      <c r="F465">
        <v>48.44085693359375</v>
      </c>
    </row>
    <row r="466" spans="1:6" x14ac:dyDescent="0.25">
      <c r="A466" s="72">
        <v>44643</v>
      </c>
      <c r="B466">
        <v>54.296714782714844</v>
      </c>
      <c r="C466">
        <v>70.565132141113281</v>
      </c>
      <c r="D466">
        <v>99.044136047363281</v>
      </c>
      <c r="E466">
        <v>92.649497985839844</v>
      </c>
      <c r="F466">
        <v>46.921604156494141</v>
      </c>
    </row>
    <row r="467" spans="1:6" x14ac:dyDescent="0.25">
      <c r="A467" s="72">
        <v>44644</v>
      </c>
      <c r="B467">
        <v>54.523380279541016</v>
      </c>
      <c r="C467">
        <v>72.384063720703125</v>
      </c>
      <c r="D467">
        <v>101.57672119140625</v>
      </c>
      <c r="E467">
        <v>93.220367431640625</v>
      </c>
      <c r="F467">
        <v>46.35675048828125</v>
      </c>
    </row>
    <row r="468" spans="1:6" x14ac:dyDescent="0.25">
      <c r="A468" s="72">
        <v>44645</v>
      </c>
      <c r="B468">
        <v>55.042835235595703</v>
      </c>
      <c r="C468">
        <v>72.5372314453125</v>
      </c>
      <c r="D468">
        <v>98.268142700195313</v>
      </c>
      <c r="E468">
        <v>93.488533020019531</v>
      </c>
      <c r="F468">
        <v>46.833953857421875</v>
      </c>
    </row>
    <row r="469" spans="1:6" x14ac:dyDescent="0.25">
      <c r="A469" s="72">
        <v>44648</v>
      </c>
      <c r="B469">
        <v>55.930622100830078</v>
      </c>
      <c r="C469">
        <v>72.575531005859375</v>
      </c>
      <c r="D469">
        <v>99.223197937011719</v>
      </c>
      <c r="E469">
        <v>93.220367431640625</v>
      </c>
      <c r="F469">
        <v>47.486454010009766</v>
      </c>
    </row>
    <row r="470" spans="1:6" x14ac:dyDescent="0.25">
      <c r="A470" s="72">
        <v>44649</v>
      </c>
      <c r="B470">
        <v>57.233970642089844</v>
      </c>
      <c r="C470">
        <v>71.120391845703125</v>
      </c>
      <c r="D470">
        <v>99.683677673339844</v>
      </c>
      <c r="E470">
        <v>94.690872192382813</v>
      </c>
      <c r="F470">
        <v>47.593578338623047</v>
      </c>
    </row>
    <row r="471" spans="1:6" x14ac:dyDescent="0.25">
      <c r="A471" s="72">
        <v>44650</v>
      </c>
      <c r="B471">
        <v>56.780628204345703</v>
      </c>
      <c r="C471">
        <v>70.392807006835938</v>
      </c>
      <c r="D471">
        <v>98.396049499511719</v>
      </c>
      <c r="E471">
        <v>91.680694580078125</v>
      </c>
      <c r="F471">
        <v>47.428020477294922</v>
      </c>
    </row>
    <row r="472" spans="1:6" x14ac:dyDescent="0.25">
      <c r="A472" s="72">
        <v>44651</v>
      </c>
      <c r="B472">
        <v>56.723968505859375</v>
      </c>
      <c r="C472">
        <v>71.235267639160156</v>
      </c>
      <c r="D472">
        <v>101.47440338134766</v>
      </c>
      <c r="E472">
        <v>94.742774963378906</v>
      </c>
      <c r="F472">
        <v>48.557723999023438</v>
      </c>
    </row>
    <row r="473" spans="1:6" x14ac:dyDescent="0.25">
      <c r="A473" s="72">
        <v>44652</v>
      </c>
      <c r="B473">
        <v>59.481769561767578</v>
      </c>
      <c r="C473">
        <v>71.522468566894531</v>
      </c>
      <c r="D473">
        <v>100.20384216308594</v>
      </c>
      <c r="E473">
        <v>95.971061706542969</v>
      </c>
      <c r="F473">
        <v>48.255821228027344</v>
      </c>
    </row>
    <row r="474" spans="1:6" x14ac:dyDescent="0.25">
      <c r="A474" s="72">
        <v>44655</v>
      </c>
      <c r="B474">
        <v>60.747344970703125</v>
      </c>
      <c r="C474">
        <v>71.043792724609375</v>
      </c>
      <c r="D474">
        <v>101.33795166015625</v>
      </c>
      <c r="E474">
        <v>95.737518310546875</v>
      </c>
      <c r="F474">
        <v>47.350109100341797</v>
      </c>
    </row>
    <row r="475" spans="1:6" x14ac:dyDescent="0.25">
      <c r="A475" s="72">
        <v>44656</v>
      </c>
      <c r="B475">
        <v>59.028434753417969</v>
      </c>
      <c r="C475">
        <v>70.871475219726563</v>
      </c>
      <c r="D475">
        <v>96.588272094726563</v>
      </c>
      <c r="E475">
        <v>95.478019714355469</v>
      </c>
      <c r="F475">
        <v>47.126117706298828</v>
      </c>
    </row>
    <row r="476" spans="1:6" x14ac:dyDescent="0.25">
      <c r="A476" s="72">
        <v>44657</v>
      </c>
      <c r="B476">
        <v>56.204517364501953</v>
      </c>
      <c r="C476">
        <v>71.331001281738281</v>
      </c>
      <c r="D476">
        <v>93.552574157714844</v>
      </c>
      <c r="E476">
        <v>95.867271423339844</v>
      </c>
      <c r="F476">
        <v>46.463878631591797</v>
      </c>
    </row>
    <row r="477" spans="1:6" x14ac:dyDescent="0.25">
      <c r="A477" s="72">
        <v>44658</v>
      </c>
      <c r="B477">
        <v>56.195072174072266</v>
      </c>
      <c r="C477">
        <v>70.392807006835938</v>
      </c>
      <c r="D477">
        <v>96.818511962890625</v>
      </c>
      <c r="E477">
        <v>95.330970764160156</v>
      </c>
      <c r="F477">
        <v>46.980037689208984</v>
      </c>
    </row>
    <row r="478" spans="1:6" x14ac:dyDescent="0.25">
      <c r="A478" s="72">
        <v>44659</v>
      </c>
      <c r="B478">
        <v>55.930622100830078</v>
      </c>
      <c r="C478">
        <v>68.162216186523438</v>
      </c>
      <c r="D478">
        <v>95.309188842773438</v>
      </c>
      <c r="E478">
        <v>95.858612060546875</v>
      </c>
      <c r="F478">
        <v>46.376228332519531</v>
      </c>
    </row>
    <row r="479" spans="1:6" x14ac:dyDescent="0.25">
      <c r="A479" s="72">
        <v>44662</v>
      </c>
      <c r="B479">
        <v>55.165611267089844</v>
      </c>
      <c r="C479">
        <v>70.0577392578125</v>
      </c>
      <c r="D479">
        <v>96.912307739257813</v>
      </c>
      <c r="E479">
        <v>95.183921813964844</v>
      </c>
      <c r="F479">
        <v>45.275741577148438</v>
      </c>
    </row>
    <row r="480" spans="1:6" x14ac:dyDescent="0.25">
      <c r="A480" s="72">
        <v>44663</v>
      </c>
      <c r="B480">
        <v>53.503379821777344</v>
      </c>
      <c r="C480">
        <v>70.086463928222656</v>
      </c>
      <c r="D480">
        <v>91.830062866210938</v>
      </c>
      <c r="E480">
        <v>95.253120422363281</v>
      </c>
      <c r="F480">
        <v>44.798542022705078</v>
      </c>
    </row>
    <row r="481" spans="1:6" x14ac:dyDescent="0.25">
      <c r="A481" s="72">
        <v>44664</v>
      </c>
      <c r="B481">
        <v>54.570606231689453</v>
      </c>
      <c r="C481">
        <v>68.554733276367188</v>
      </c>
      <c r="D481">
        <v>91.685104370117188</v>
      </c>
      <c r="E481">
        <v>95.512619018554688</v>
      </c>
      <c r="F481">
        <v>45.100444793701172</v>
      </c>
    </row>
    <row r="482" spans="1:6" x14ac:dyDescent="0.25">
      <c r="A482" s="72">
        <v>44669</v>
      </c>
      <c r="B482">
        <v>54.570606231689453</v>
      </c>
      <c r="C482">
        <v>68.593032836914063</v>
      </c>
      <c r="D482">
        <v>91.957977294921875</v>
      </c>
      <c r="E482">
        <v>96.922569274902344</v>
      </c>
      <c r="F482">
        <v>44.555072784423828</v>
      </c>
    </row>
    <row r="483" spans="1:6" x14ac:dyDescent="0.25">
      <c r="A483" s="72">
        <v>44670</v>
      </c>
      <c r="B483">
        <v>56.298957824707031</v>
      </c>
      <c r="C483">
        <v>70.708732604980469</v>
      </c>
      <c r="D483">
        <v>93.868072509765625</v>
      </c>
      <c r="E483">
        <v>97.320457458496094</v>
      </c>
      <c r="F483">
        <v>44.895927429199219</v>
      </c>
    </row>
    <row r="484" spans="1:6" x14ac:dyDescent="0.25">
      <c r="A484" s="72">
        <v>44671</v>
      </c>
      <c r="B484">
        <v>54.410049438476563</v>
      </c>
      <c r="C484">
        <v>71.493743896484375</v>
      </c>
      <c r="D484">
        <v>89.408332824707031</v>
      </c>
      <c r="E484">
        <v>98.462249755859375</v>
      </c>
      <c r="F484">
        <v>44.681678771972656</v>
      </c>
    </row>
    <row r="485" spans="1:6" x14ac:dyDescent="0.25">
      <c r="A485" s="72">
        <v>44672</v>
      </c>
      <c r="B485">
        <v>52.738361358642578</v>
      </c>
      <c r="C485">
        <v>68.545150756835938</v>
      </c>
      <c r="D485">
        <v>87.285026550292969</v>
      </c>
      <c r="E485">
        <v>99.15423583984375</v>
      </c>
      <c r="F485">
        <v>43.814922332763672</v>
      </c>
    </row>
    <row r="486" spans="1:6" x14ac:dyDescent="0.25">
      <c r="A486" s="72">
        <v>44673</v>
      </c>
      <c r="B486">
        <v>52.880035400390625</v>
      </c>
      <c r="C486">
        <v>67.338912963867188</v>
      </c>
      <c r="D486">
        <v>84.3431396484375</v>
      </c>
      <c r="E486">
        <v>98.877449035644531</v>
      </c>
      <c r="F486">
        <v>44.0291748046875</v>
      </c>
    </row>
    <row r="487" spans="1:6" x14ac:dyDescent="0.25">
      <c r="A487" s="72">
        <v>44676</v>
      </c>
      <c r="B487">
        <v>53.021701812744141</v>
      </c>
      <c r="C487">
        <v>68.3441162109375</v>
      </c>
      <c r="D487">
        <v>83.456291198730469</v>
      </c>
      <c r="E487">
        <v>97.839447021484375</v>
      </c>
      <c r="F487">
        <v>43.999961853027344</v>
      </c>
    </row>
    <row r="488" spans="1:6" x14ac:dyDescent="0.25">
      <c r="A488" s="72">
        <v>44677</v>
      </c>
      <c r="B488">
        <v>53.068923950195313</v>
      </c>
      <c r="C488">
        <v>66.103950500488281</v>
      </c>
      <c r="D488">
        <v>83.311325073242188</v>
      </c>
      <c r="E488">
        <v>95.547210693359375</v>
      </c>
      <c r="F488">
        <v>42.753391265869141</v>
      </c>
    </row>
    <row r="489" spans="1:6" x14ac:dyDescent="0.25">
      <c r="A489" s="72">
        <v>44678</v>
      </c>
      <c r="B489">
        <v>58.074535369873047</v>
      </c>
      <c r="C489">
        <v>64.801979064941406</v>
      </c>
      <c r="D489">
        <v>84.871810913085938</v>
      </c>
      <c r="E489">
        <v>95.65966796875</v>
      </c>
      <c r="F489">
        <v>43.707794189453125</v>
      </c>
    </row>
    <row r="490" spans="1:6" x14ac:dyDescent="0.25">
      <c r="A490" s="72">
        <v>44679</v>
      </c>
      <c r="B490">
        <v>59.13232421875</v>
      </c>
      <c r="C490">
        <v>65.883773803710938</v>
      </c>
      <c r="D490">
        <v>83.805908203125</v>
      </c>
      <c r="E490">
        <v>97.597259521484375</v>
      </c>
      <c r="F490">
        <v>44.204471588134766</v>
      </c>
    </row>
    <row r="491" spans="1:6" x14ac:dyDescent="0.25">
      <c r="A491" s="72">
        <v>44680</v>
      </c>
      <c r="B491">
        <v>59.406219482421875</v>
      </c>
      <c r="C491">
        <v>63.815925598144531</v>
      </c>
      <c r="D491">
        <v>81.452392578125</v>
      </c>
      <c r="E491">
        <v>101.11402130126953</v>
      </c>
      <c r="F491">
        <v>43.561710357666016</v>
      </c>
    </row>
    <row r="492" spans="1:6" x14ac:dyDescent="0.25">
      <c r="A492" s="72">
        <v>44683</v>
      </c>
      <c r="B492">
        <v>63.363479614257813</v>
      </c>
      <c r="C492">
        <v>64.294593811035156</v>
      </c>
      <c r="D492">
        <v>82.074882507324219</v>
      </c>
      <c r="E492">
        <v>98.615028381347656</v>
      </c>
      <c r="F492">
        <v>42.003501892089844</v>
      </c>
    </row>
    <row r="493" spans="1:6" x14ac:dyDescent="0.25">
      <c r="A493" s="72">
        <v>44684</v>
      </c>
      <c r="B493">
        <v>58.603427886962891</v>
      </c>
      <c r="C493">
        <v>63.346828460693359</v>
      </c>
      <c r="D493">
        <v>84.65863037109375</v>
      </c>
      <c r="E493">
        <v>99.623710632324219</v>
      </c>
      <c r="F493">
        <v>42.422271728515625</v>
      </c>
    </row>
    <row r="494" spans="1:6" x14ac:dyDescent="0.25">
      <c r="A494" s="72">
        <v>44685</v>
      </c>
      <c r="B494">
        <v>55.996734619140625</v>
      </c>
      <c r="C494">
        <v>64.562644958496094</v>
      </c>
      <c r="D494">
        <v>85.076461791992188</v>
      </c>
      <c r="E494">
        <v>103.04961395263672</v>
      </c>
      <c r="F494">
        <v>43.892829895019531</v>
      </c>
    </row>
    <row r="495" spans="1:6" x14ac:dyDescent="0.25">
      <c r="A495" s="72">
        <v>44686</v>
      </c>
      <c r="B495">
        <v>57.337860107421875</v>
      </c>
      <c r="C495">
        <v>62.064002990722656</v>
      </c>
      <c r="D495">
        <v>83.567153930664063</v>
      </c>
      <c r="E495">
        <v>101.00498199462891</v>
      </c>
      <c r="F495">
        <v>43.308502197265625</v>
      </c>
    </row>
    <row r="496" spans="1:6" x14ac:dyDescent="0.25">
      <c r="A496" s="72">
        <v>44687</v>
      </c>
      <c r="B496">
        <v>57.857311248779297</v>
      </c>
      <c r="C496">
        <v>61.547042846679688</v>
      </c>
      <c r="D496">
        <v>82.961708068847656</v>
      </c>
      <c r="E496">
        <v>99.105743408203125</v>
      </c>
      <c r="F496">
        <v>41.750289916992188</v>
      </c>
    </row>
    <row r="497" spans="1:6" x14ac:dyDescent="0.25">
      <c r="A497" s="72">
        <v>44690</v>
      </c>
      <c r="B497">
        <v>56.978969573974609</v>
      </c>
      <c r="C497">
        <v>62.437362670898438</v>
      </c>
      <c r="D497">
        <v>80.267097473144531</v>
      </c>
      <c r="E497">
        <v>99.932685852050781</v>
      </c>
      <c r="F497">
        <v>40.717979431152344</v>
      </c>
    </row>
    <row r="498" spans="1:6" x14ac:dyDescent="0.25">
      <c r="A498" s="72">
        <v>44691</v>
      </c>
      <c r="B498">
        <v>56.92230224609375</v>
      </c>
      <c r="C498">
        <v>62.370346069335938</v>
      </c>
      <c r="D498">
        <v>77.93914794921875</v>
      </c>
      <c r="E498">
        <v>99.114830017089844</v>
      </c>
      <c r="F498">
        <v>41.029621124267578</v>
      </c>
    </row>
    <row r="499" spans="1:6" x14ac:dyDescent="0.25">
      <c r="A499" s="72">
        <v>44692</v>
      </c>
      <c r="B499">
        <v>54.901165008544922</v>
      </c>
      <c r="C499">
        <v>60.178047180175781</v>
      </c>
      <c r="D499">
        <v>78.442276000976563</v>
      </c>
      <c r="E499">
        <v>98.851295471191406</v>
      </c>
      <c r="F499">
        <v>40.941970825195313</v>
      </c>
    </row>
    <row r="500" spans="1:6" x14ac:dyDescent="0.25">
      <c r="A500" s="72">
        <v>44693</v>
      </c>
      <c r="B500">
        <v>56.072292327880859</v>
      </c>
      <c r="C500">
        <v>62.064002990722656</v>
      </c>
      <c r="D500">
        <v>77.41900634765625</v>
      </c>
      <c r="E500">
        <v>100.84141540527344</v>
      </c>
      <c r="F500">
        <v>40.094692230224609</v>
      </c>
    </row>
    <row r="501" spans="1:6" x14ac:dyDescent="0.25">
      <c r="A501" s="72">
        <v>44694</v>
      </c>
      <c r="B501">
        <v>54.693382263183594</v>
      </c>
      <c r="C501">
        <v>62.169315338134766</v>
      </c>
      <c r="D501">
        <v>76.822097778320313</v>
      </c>
      <c r="E501">
        <v>101.21398162841797</v>
      </c>
      <c r="F501">
        <v>40.825103759765625</v>
      </c>
    </row>
    <row r="502" spans="1:6" x14ac:dyDescent="0.25">
      <c r="A502" s="72">
        <v>44697</v>
      </c>
      <c r="B502">
        <v>55.184501647949219</v>
      </c>
      <c r="C502">
        <v>62.188449859619141</v>
      </c>
      <c r="D502">
        <v>77.393424987792969</v>
      </c>
      <c r="E502">
        <v>101.97731781005859</v>
      </c>
      <c r="F502">
        <v>41.828205108642578</v>
      </c>
    </row>
    <row r="503" spans="1:6" x14ac:dyDescent="0.25">
      <c r="A503" s="72">
        <v>44698</v>
      </c>
      <c r="B503">
        <v>56.321048736572266</v>
      </c>
      <c r="C503">
        <v>62.935169219970703</v>
      </c>
      <c r="D503">
        <v>81.102767944335938</v>
      </c>
      <c r="E503">
        <v>102.51346588134766</v>
      </c>
      <c r="F503">
        <v>42.860515594482422</v>
      </c>
    </row>
    <row r="504" spans="1:6" x14ac:dyDescent="0.25">
      <c r="A504" s="72">
        <v>44699</v>
      </c>
      <c r="B504">
        <v>54.601905822753906</v>
      </c>
      <c r="C504">
        <v>61.843814849853516</v>
      </c>
      <c r="D504">
        <v>80.053909301757813</v>
      </c>
      <c r="E504">
        <v>98.5877685546875</v>
      </c>
      <c r="F504">
        <v>42.324882507324219</v>
      </c>
    </row>
    <row r="505" spans="1:6" x14ac:dyDescent="0.25">
      <c r="A505" s="72">
        <v>44700</v>
      </c>
      <c r="B505">
        <v>53.923801422119141</v>
      </c>
      <c r="C505">
        <v>63.040481567382813</v>
      </c>
      <c r="D505">
        <v>86.278816223144531</v>
      </c>
      <c r="E505">
        <v>99.923591613769531</v>
      </c>
      <c r="F505">
        <v>42.480705261230469</v>
      </c>
    </row>
    <row r="506" spans="1:6" x14ac:dyDescent="0.25">
      <c r="A506" s="72">
        <v>44701</v>
      </c>
      <c r="B506">
        <v>55.174949645996094</v>
      </c>
      <c r="C506">
        <v>69.071693420410156</v>
      </c>
      <c r="D506">
        <v>87.344718933105469</v>
      </c>
      <c r="E506">
        <v>102.29537200927734</v>
      </c>
      <c r="F506">
        <v>42.334625244140625</v>
      </c>
    </row>
    <row r="507" spans="1:6" x14ac:dyDescent="0.25">
      <c r="A507" s="72">
        <v>44704</v>
      </c>
      <c r="B507">
        <v>55.891262054443359</v>
      </c>
      <c r="C507">
        <v>70.0577392578125</v>
      </c>
      <c r="D507">
        <v>84.155540466308594</v>
      </c>
      <c r="E507">
        <v>103.40402221679688</v>
      </c>
      <c r="F507">
        <v>43.065032958984375</v>
      </c>
    </row>
    <row r="508" spans="1:6" x14ac:dyDescent="0.25">
      <c r="A508" s="72">
        <v>44705</v>
      </c>
      <c r="B508">
        <v>55.490127563476563</v>
      </c>
      <c r="C508">
        <v>71.235267639160156</v>
      </c>
      <c r="D508">
        <v>83.584220886230469</v>
      </c>
      <c r="E508">
        <v>102.84060668945313</v>
      </c>
      <c r="F508">
        <v>42.422271728515625</v>
      </c>
    </row>
    <row r="509" spans="1:6" x14ac:dyDescent="0.25">
      <c r="A509" s="72">
        <v>44706</v>
      </c>
      <c r="B509">
        <v>56.865447998046875</v>
      </c>
      <c r="C509">
        <v>72.99676513671875</v>
      </c>
      <c r="D509">
        <v>85.281120300292969</v>
      </c>
      <c r="E509">
        <v>103.53123474121094</v>
      </c>
      <c r="F509">
        <v>42.149581909179688</v>
      </c>
    </row>
    <row r="510" spans="1:6" x14ac:dyDescent="0.25">
      <c r="A510" s="72">
        <v>44707</v>
      </c>
      <c r="B510">
        <v>58.412673950195313</v>
      </c>
      <c r="C510">
        <v>74.748695373535156</v>
      </c>
      <c r="D510">
        <v>83.814453125</v>
      </c>
      <c r="E510">
        <v>104.43996429443359</v>
      </c>
      <c r="F510">
        <v>42.032718658447266</v>
      </c>
    </row>
    <row r="511" spans="1:6" x14ac:dyDescent="0.25">
      <c r="A511" s="72">
        <v>44708</v>
      </c>
      <c r="B511">
        <v>58.680091857910156</v>
      </c>
      <c r="C511">
        <v>76.940971374511719</v>
      </c>
      <c r="D511">
        <v>86.9354248046875</v>
      </c>
      <c r="E511">
        <v>105.830322265625</v>
      </c>
      <c r="F511">
        <v>41.711338043212891</v>
      </c>
    </row>
    <row r="512" spans="1:6" x14ac:dyDescent="0.25">
      <c r="A512" s="72">
        <v>44711</v>
      </c>
      <c r="B512">
        <v>58.345821380615234</v>
      </c>
      <c r="C512">
        <v>79.248146057128906</v>
      </c>
      <c r="D512">
        <v>87.0462646484375</v>
      </c>
      <c r="E512">
        <v>106.00299072265625</v>
      </c>
      <c r="F512">
        <v>41.584735870361328</v>
      </c>
    </row>
    <row r="513" spans="1:6" x14ac:dyDescent="0.25">
      <c r="A513" s="72">
        <v>44712</v>
      </c>
      <c r="B513">
        <v>61.812755584716797</v>
      </c>
      <c r="C513">
        <v>78.60833740234375</v>
      </c>
      <c r="D513">
        <v>84.129737854003906</v>
      </c>
      <c r="E513">
        <v>107.12979888916016</v>
      </c>
      <c r="F513">
        <v>41.049098968505859</v>
      </c>
    </row>
    <row r="514" spans="1:6" x14ac:dyDescent="0.25">
      <c r="A514" s="72">
        <v>44713</v>
      </c>
      <c r="B514">
        <v>61.755455017089844</v>
      </c>
      <c r="C514">
        <v>76.931282043457031</v>
      </c>
      <c r="D514">
        <v>85.038444519042969</v>
      </c>
      <c r="E514">
        <v>105.23963928222656</v>
      </c>
      <c r="F514">
        <v>41.039360046386719</v>
      </c>
    </row>
    <row r="515" spans="1:6" x14ac:dyDescent="0.25">
      <c r="A515" s="72">
        <v>44714</v>
      </c>
      <c r="B515">
        <v>59.673377990722656</v>
      </c>
      <c r="C515">
        <v>74.459320068359375</v>
      </c>
      <c r="D515">
        <v>87.331863403320313</v>
      </c>
      <c r="E515">
        <v>102.39532470703125</v>
      </c>
      <c r="F515">
        <v>41.78924560546875</v>
      </c>
    </row>
    <row r="516" spans="1:6" x14ac:dyDescent="0.25">
      <c r="A516" s="72">
        <v>44715</v>
      </c>
      <c r="B516">
        <v>59.386852264404297</v>
      </c>
      <c r="C516">
        <v>75.535362243652344</v>
      </c>
      <c r="D516">
        <v>86.371223449707031</v>
      </c>
      <c r="E516">
        <v>102.54981231689453</v>
      </c>
      <c r="F516">
        <v>41.945072174072266</v>
      </c>
    </row>
    <row r="517" spans="1:6" x14ac:dyDescent="0.25">
      <c r="A517" s="72">
        <v>44718</v>
      </c>
      <c r="B517">
        <v>60.590251922607422</v>
      </c>
      <c r="C517">
        <v>75.932807922363281</v>
      </c>
      <c r="D517">
        <v>86.53564453125</v>
      </c>
      <c r="E517">
        <v>101.25034332275391</v>
      </c>
      <c r="F517">
        <v>41.906112670898438</v>
      </c>
    </row>
    <row r="518" spans="1:6" x14ac:dyDescent="0.25">
      <c r="A518" s="72">
        <v>44719</v>
      </c>
      <c r="B518">
        <v>60.71441650390625</v>
      </c>
      <c r="C518">
        <v>76.078224182128906</v>
      </c>
      <c r="D518">
        <v>88.214614868164063</v>
      </c>
      <c r="E518">
        <v>102.88603973388672</v>
      </c>
      <c r="F518">
        <v>42.10089111328125</v>
      </c>
    </row>
    <row r="519" spans="1:6" x14ac:dyDescent="0.25">
      <c r="A519" s="72">
        <v>44720</v>
      </c>
      <c r="B519">
        <v>60.380134582519531</v>
      </c>
      <c r="C519">
        <v>75.399635314941406</v>
      </c>
      <c r="D519">
        <v>84.493202209472656</v>
      </c>
      <c r="E519">
        <v>101.2957763671875</v>
      </c>
      <c r="F519">
        <v>43.668838500976563</v>
      </c>
    </row>
    <row r="520" spans="1:6" x14ac:dyDescent="0.25">
      <c r="A520" s="72">
        <v>44721</v>
      </c>
      <c r="B520">
        <v>61.621738433837891</v>
      </c>
      <c r="C520">
        <v>76.078224182128906</v>
      </c>
      <c r="D520">
        <v>81.187217712402344</v>
      </c>
      <c r="E520">
        <v>100.39614105224609</v>
      </c>
      <c r="F520">
        <v>42.402793884277344</v>
      </c>
    </row>
    <row r="521" spans="1:6" x14ac:dyDescent="0.25">
      <c r="A521" s="72">
        <v>44722</v>
      </c>
      <c r="B521">
        <v>58.641891479492188</v>
      </c>
      <c r="C521">
        <v>73.470535278320313</v>
      </c>
      <c r="D521">
        <v>80.494873046875</v>
      </c>
      <c r="E521">
        <v>101.50476837158203</v>
      </c>
      <c r="F521">
        <v>41.019878387451172</v>
      </c>
    </row>
    <row r="522" spans="1:6" x14ac:dyDescent="0.25">
      <c r="A522" s="72">
        <v>44725</v>
      </c>
      <c r="B522">
        <v>59.491912841796875</v>
      </c>
      <c r="C522">
        <v>75.457809448242188</v>
      </c>
      <c r="D522">
        <v>81.844940185546875</v>
      </c>
      <c r="E522">
        <v>103.21318817138672</v>
      </c>
      <c r="F522">
        <v>38.633869171142578</v>
      </c>
    </row>
    <row r="523" spans="1:6" x14ac:dyDescent="0.25">
      <c r="A523" s="72">
        <v>44726</v>
      </c>
      <c r="B523">
        <v>57.992439270019531</v>
      </c>
      <c r="C523">
        <v>75.293006896972656</v>
      </c>
      <c r="D523">
        <v>78.210098266601563</v>
      </c>
      <c r="E523">
        <v>104.93977355957031</v>
      </c>
      <c r="F523">
        <v>39.052639007568359</v>
      </c>
    </row>
    <row r="524" spans="1:6" x14ac:dyDescent="0.25">
      <c r="A524" s="72">
        <v>44727</v>
      </c>
      <c r="B524">
        <v>59.787986755371094</v>
      </c>
      <c r="C524">
        <v>73.858314514160156</v>
      </c>
      <c r="D524">
        <v>78.287971496582031</v>
      </c>
      <c r="E524">
        <v>102.77700042724609</v>
      </c>
      <c r="F524">
        <v>39.7733154296875</v>
      </c>
    </row>
    <row r="525" spans="1:6" x14ac:dyDescent="0.25">
      <c r="A525" s="72">
        <v>44728</v>
      </c>
      <c r="B525">
        <v>59.816638946533203</v>
      </c>
      <c r="C525">
        <v>74.38177490234375</v>
      </c>
      <c r="D525">
        <v>78.149528503417969</v>
      </c>
      <c r="E525">
        <v>103.41310119628906</v>
      </c>
      <c r="F525">
        <v>36.910102844238281</v>
      </c>
    </row>
    <row r="526" spans="1:6" x14ac:dyDescent="0.25">
      <c r="A526" s="72">
        <v>44729</v>
      </c>
      <c r="B526">
        <v>59.7020263671875</v>
      </c>
      <c r="C526">
        <v>71.114906311035156</v>
      </c>
      <c r="D526">
        <v>82.701728820800781</v>
      </c>
      <c r="E526">
        <v>102.37716674804688</v>
      </c>
      <c r="F526">
        <v>37.241226196289063</v>
      </c>
    </row>
    <row r="527" spans="1:6" x14ac:dyDescent="0.25">
      <c r="A527" s="72">
        <v>44732</v>
      </c>
      <c r="B527">
        <v>61.23016357421875</v>
      </c>
      <c r="C527">
        <v>72.549613952636719</v>
      </c>
      <c r="D527">
        <v>78.538963317871094</v>
      </c>
      <c r="E527">
        <v>101.45025634765625</v>
      </c>
      <c r="F527">
        <v>37.3775634765625</v>
      </c>
    </row>
    <row r="528" spans="1:6" x14ac:dyDescent="0.25">
      <c r="A528" s="72">
        <v>44733</v>
      </c>
      <c r="B528">
        <v>58.928417205810547</v>
      </c>
      <c r="C528">
        <v>73.441459655761719</v>
      </c>
      <c r="D528">
        <v>78.781280517578125</v>
      </c>
      <c r="E528">
        <v>104.50357818603516</v>
      </c>
      <c r="F528">
        <v>36.978275299072266</v>
      </c>
    </row>
    <row r="529" spans="1:6" x14ac:dyDescent="0.25">
      <c r="A529" s="72">
        <v>44734</v>
      </c>
      <c r="B529">
        <v>60.638008117675781</v>
      </c>
      <c r="C529">
        <v>72.656242370605469</v>
      </c>
      <c r="D529">
        <v>74.826202392578125</v>
      </c>
      <c r="E529">
        <v>103.41310119628906</v>
      </c>
      <c r="F529">
        <v>36.988010406494141</v>
      </c>
    </row>
    <row r="530" spans="1:6" x14ac:dyDescent="0.25">
      <c r="A530" s="72">
        <v>44735</v>
      </c>
      <c r="B530">
        <v>60.628459930419922</v>
      </c>
      <c r="C530">
        <v>71.87103271484375</v>
      </c>
      <c r="D530">
        <v>70.550910949707031</v>
      </c>
      <c r="E530">
        <v>103.33132171630859</v>
      </c>
      <c r="F530">
        <v>37.621036529541016</v>
      </c>
    </row>
    <row r="531" spans="1:6" x14ac:dyDescent="0.25">
      <c r="A531" s="72">
        <v>44736</v>
      </c>
      <c r="B531">
        <v>60.943637847900391</v>
      </c>
      <c r="C531">
        <v>72.442985534667969</v>
      </c>
      <c r="D531">
        <v>73.346305847167969</v>
      </c>
      <c r="E531">
        <v>104.88523864746094</v>
      </c>
      <c r="F531">
        <v>38.916297912597656</v>
      </c>
    </row>
    <row r="532" spans="1:6" x14ac:dyDescent="0.25">
      <c r="A532" s="72">
        <v>44739</v>
      </c>
      <c r="B532">
        <v>62.997055053710938</v>
      </c>
      <c r="C532">
        <v>72.956764221191406</v>
      </c>
      <c r="D532">
        <v>74.393486022949219</v>
      </c>
      <c r="E532">
        <v>107.47512054443359</v>
      </c>
      <c r="F532">
        <v>39.383758544921875</v>
      </c>
    </row>
    <row r="533" spans="1:6" x14ac:dyDescent="0.25">
      <c r="A533" s="72">
        <v>44740</v>
      </c>
      <c r="B533">
        <v>63.035255432128906</v>
      </c>
      <c r="C533">
        <v>73.654731750488281</v>
      </c>
      <c r="D533">
        <v>76.133018493652344</v>
      </c>
      <c r="E533">
        <v>103.85838317871094</v>
      </c>
      <c r="F533">
        <v>38.594917297363281</v>
      </c>
    </row>
    <row r="534" spans="1:6" x14ac:dyDescent="0.25">
      <c r="A534" s="72">
        <v>44741</v>
      </c>
      <c r="B534">
        <v>62.891990661621094</v>
      </c>
      <c r="C534">
        <v>73.199111938476563</v>
      </c>
      <c r="D534">
        <v>74.722358703613281</v>
      </c>
      <c r="E534">
        <v>102.52255249023438</v>
      </c>
      <c r="F534">
        <v>37.630775451660156</v>
      </c>
    </row>
    <row r="535" spans="1:6" x14ac:dyDescent="0.25">
      <c r="A535" s="72">
        <v>44742</v>
      </c>
      <c r="B535">
        <v>62.433559417724609</v>
      </c>
      <c r="C535">
        <v>72.656242370605469</v>
      </c>
      <c r="D535">
        <v>72.065444946289063</v>
      </c>
      <c r="E535">
        <v>101.17763519287109</v>
      </c>
      <c r="F535">
        <v>37.085399627685547</v>
      </c>
    </row>
    <row r="536" spans="1:6" x14ac:dyDescent="0.25">
      <c r="A536" s="72">
        <v>44743</v>
      </c>
      <c r="B536">
        <v>62.853786468505859</v>
      </c>
      <c r="C536">
        <v>72.220016479492188</v>
      </c>
      <c r="D536">
        <v>71.070198059082031</v>
      </c>
      <c r="E536">
        <v>103.88563537597656</v>
      </c>
      <c r="F536">
        <v>36.715328216552734</v>
      </c>
    </row>
    <row r="537" spans="1:6" x14ac:dyDescent="0.25">
      <c r="A537" s="72">
        <v>44746</v>
      </c>
      <c r="B537">
        <v>66.444892883300781</v>
      </c>
      <c r="C537">
        <v>74.43994140625</v>
      </c>
      <c r="D537">
        <v>72.861656188964844</v>
      </c>
      <c r="E537">
        <v>102.68611907958984</v>
      </c>
      <c r="F537">
        <v>35.653797149658203</v>
      </c>
    </row>
    <row r="538" spans="1:6" x14ac:dyDescent="0.25">
      <c r="A538" s="72">
        <v>44747</v>
      </c>
      <c r="B538">
        <v>64.162254333496094</v>
      </c>
      <c r="C538">
        <v>73.635337829589844</v>
      </c>
      <c r="D538">
        <v>70.022994995117188</v>
      </c>
      <c r="E538">
        <v>104.58536529541016</v>
      </c>
      <c r="F538">
        <v>35.809619903564453</v>
      </c>
    </row>
    <row r="539" spans="1:6" x14ac:dyDescent="0.25">
      <c r="A539" s="72">
        <v>44748</v>
      </c>
      <c r="B539">
        <v>66.769622802734375</v>
      </c>
      <c r="C539">
        <v>74.711372375488281</v>
      </c>
      <c r="D539">
        <v>70.369186401367188</v>
      </c>
      <c r="E539">
        <v>104.91251373291016</v>
      </c>
      <c r="F539">
        <v>36.208908081054688</v>
      </c>
    </row>
    <row r="540" spans="1:6" x14ac:dyDescent="0.25">
      <c r="A540" s="72">
        <v>44749</v>
      </c>
      <c r="B540">
        <v>66.549957275390625</v>
      </c>
      <c r="C540">
        <v>74.944015502929688</v>
      </c>
      <c r="D540">
        <v>73.285728454589844</v>
      </c>
      <c r="E540">
        <v>103.96743011474609</v>
      </c>
      <c r="F540">
        <v>37.182788848876953</v>
      </c>
    </row>
    <row r="541" spans="1:6" x14ac:dyDescent="0.25">
      <c r="A541" s="72">
        <v>44750</v>
      </c>
      <c r="B541">
        <v>67.428619384765625</v>
      </c>
      <c r="C541">
        <v>74.76953125</v>
      </c>
      <c r="D541">
        <v>73.415542602539063</v>
      </c>
      <c r="E541">
        <v>102.19540405273438</v>
      </c>
      <c r="F541">
        <v>36.150474548339844</v>
      </c>
    </row>
    <row r="542" spans="1:6" x14ac:dyDescent="0.25">
      <c r="A542" s="72">
        <v>44753</v>
      </c>
      <c r="B542">
        <v>67.581443786621094</v>
      </c>
      <c r="C542">
        <v>74.604736328125</v>
      </c>
      <c r="D542">
        <v>71.857742309570313</v>
      </c>
      <c r="E542">
        <v>102.50438690185547</v>
      </c>
      <c r="F542">
        <v>35.381111145019531</v>
      </c>
    </row>
    <row r="543" spans="1:6" x14ac:dyDescent="0.25">
      <c r="A543" s="72">
        <v>44754</v>
      </c>
      <c r="B543">
        <v>65.222396850585938</v>
      </c>
      <c r="C543">
        <v>75.234840393066406</v>
      </c>
      <c r="D543">
        <v>70.931709289550781</v>
      </c>
      <c r="E543">
        <v>102.43167877197266</v>
      </c>
      <c r="F543">
        <v>35.244762420654297</v>
      </c>
    </row>
    <row r="544" spans="1:6" x14ac:dyDescent="0.25">
      <c r="A544" s="72">
        <v>44755</v>
      </c>
      <c r="B544">
        <v>65.948257446289063</v>
      </c>
      <c r="C544">
        <v>73.654731750488281</v>
      </c>
      <c r="D544">
        <v>70.77593994140625</v>
      </c>
      <c r="E544">
        <v>101.80464935302734</v>
      </c>
      <c r="F544">
        <v>35.731704711914063</v>
      </c>
    </row>
    <row r="545" spans="1:6" x14ac:dyDescent="0.25">
      <c r="A545" s="72">
        <v>44756</v>
      </c>
      <c r="B545">
        <v>66.960639953613281</v>
      </c>
      <c r="C545">
        <v>74.653213500976563</v>
      </c>
      <c r="D545">
        <v>67.738243103027344</v>
      </c>
      <c r="E545">
        <v>100.04172515869141</v>
      </c>
      <c r="F545">
        <v>35.955699920654297</v>
      </c>
    </row>
    <row r="546" spans="1:6" x14ac:dyDescent="0.25">
      <c r="A546" s="72">
        <v>44757</v>
      </c>
      <c r="B546">
        <v>69.338783264160156</v>
      </c>
      <c r="C546">
        <v>75.118507385253906</v>
      </c>
      <c r="D546">
        <v>67.426681518554688</v>
      </c>
      <c r="E546">
        <v>102.78608703613281</v>
      </c>
      <c r="F546">
        <v>36.578983306884766</v>
      </c>
    </row>
    <row r="547" spans="1:6" x14ac:dyDescent="0.25">
      <c r="A547" s="72">
        <v>44760</v>
      </c>
      <c r="B547">
        <v>68.288192749023438</v>
      </c>
      <c r="C547">
        <v>74.953720092773438</v>
      </c>
      <c r="D547">
        <v>67.019912719726563</v>
      </c>
      <c r="E547">
        <v>102.66795349121094</v>
      </c>
      <c r="F547">
        <v>37.494430541992188</v>
      </c>
    </row>
    <row r="548" spans="1:6" x14ac:dyDescent="0.25">
      <c r="A548" s="72">
        <v>44761</v>
      </c>
      <c r="B548">
        <v>68.832595825195313</v>
      </c>
      <c r="C548">
        <v>75.2154541015625</v>
      </c>
      <c r="D548">
        <v>66.197738647460938</v>
      </c>
      <c r="E548">
        <v>104.45813751220703</v>
      </c>
      <c r="F548">
        <v>37.737899780273438</v>
      </c>
    </row>
    <row r="549" spans="1:6" x14ac:dyDescent="0.25">
      <c r="A549" s="72">
        <v>44762</v>
      </c>
      <c r="B549">
        <v>69.157318115234375</v>
      </c>
      <c r="C549">
        <v>75.050651550292969</v>
      </c>
      <c r="D549">
        <v>66.812202453613281</v>
      </c>
      <c r="E549">
        <v>101.55930328369141</v>
      </c>
      <c r="F549">
        <v>37.708686828613281</v>
      </c>
    </row>
    <row r="550" spans="1:6" x14ac:dyDescent="0.25">
      <c r="A550" s="72">
        <v>44763</v>
      </c>
      <c r="B550">
        <v>69.720817565917969</v>
      </c>
      <c r="C550">
        <v>74.498092651367188</v>
      </c>
      <c r="D550">
        <v>67.816123962402344</v>
      </c>
      <c r="E550">
        <v>102.09545135498047</v>
      </c>
      <c r="F550">
        <v>37.036705017089844</v>
      </c>
    </row>
    <row r="551" spans="1:6" x14ac:dyDescent="0.25">
      <c r="A551" s="72">
        <v>44764</v>
      </c>
      <c r="B551">
        <v>71.096138000488281</v>
      </c>
      <c r="C551">
        <v>74.87615966796875</v>
      </c>
      <c r="D551">
        <v>67.746894836425781</v>
      </c>
      <c r="E551">
        <v>101.75923156738281</v>
      </c>
      <c r="F551">
        <v>36.880886077880859</v>
      </c>
    </row>
    <row r="552" spans="1:6" x14ac:dyDescent="0.25">
      <c r="A552" s="72">
        <v>44767</v>
      </c>
      <c r="B552">
        <v>70.905120849609375</v>
      </c>
      <c r="C552">
        <v>74.633811950683594</v>
      </c>
      <c r="D552">
        <v>67.591087341308594</v>
      </c>
      <c r="E552">
        <v>104.36726379394531</v>
      </c>
      <c r="F552">
        <v>37.893722534179688</v>
      </c>
    </row>
    <row r="553" spans="1:6" x14ac:dyDescent="0.25">
      <c r="A553" s="72">
        <v>44768</v>
      </c>
      <c r="B553">
        <v>70.742744445800781</v>
      </c>
      <c r="C553">
        <v>74.624122619628906</v>
      </c>
      <c r="D553">
        <v>65.626541137695313</v>
      </c>
      <c r="E553">
        <v>107.81134796142578</v>
      </c>
      <c r="F553">
        <v>37.2899169921875</v>
      </c>
    </row>
    <row r="554" spans="1:6" x14ac:dyDescent="0.25">
      <c r="A554" s="72">
        <v>44769</v>
      </c>
      <c r="B554">
        <v>69.787673950195313</v>
      </c>
      <c r="C554">
        <v>75.574134826660156</v>
      </c>
      <c r="D554">
        <v>65.185173034667969</v>
      </c>
      <c r="E554">
        <v>112.69121551513672</v>
      </c>
      <c r="F554">
        <v>37.572341918945313</v>
      </c>
    </row>
    <row r="555" spans="1:6" x14ac:dyDescent="0.25">
      <c r="A555" s="72">
        <v>44770</v>
      </c>
      <c r="B555">
        <v>71.707382202148438</v>
      </c>
      <c r="C555">
        <v>77.503227233886719</v>
      </c>
      <c r="D555">
        <v>68.058441162109375</v>
      </c>
      <c r="E555">
        <v>112.12779235839844</v>
      </c>
      <c r="F555">
        <v>38.166408538818359</v>
      </c>
    </row>
    <row r="556" spans="1:6" x14ac:dyDescent="0.25">
      <c r="A556" s="72">
        <v>44771</v>
      </c>
      <c r="B556">
        <v>68.803932189941406</v>
      </c>
      <c r="C556">
        <v>77.076705932617188</v>
      </c>
      <c r="D556">
        <v>69.754707336425781</v>
      </c>
      <c r="E556">
        <v>112.15505218505859</v>
      </c>
      <c r="F556">
        <v>38.624134063720703</v>
      </c>
    </row>
    <row r="557" spans="1:6" x14ac:dyDescent="0.25">
      <c r="A557" s="72">
        <v>44774</v>
      </c>
      <c r="B557">
        <v>67.953926086425781</v>
      </c>
      <c r="C557">
        <v>78.773147583007813</v>
      </c>
      <c r="D557">
        <v>66.13714599609375</v>
      </c>
      <c r="E557">
        <v>112.78207397460938</v>
      </c>
      <c r="F557">
        <v>39.753837585449219</v>
      </c>
    </row>
    <row r="558" spans="1:6" x14ac:dyDescent="0.25">
      <c r="A558" s="72">
        <v>44775</v>
      </c>
      <c r="B558">
        <v>69.042709350585938</v>
      </c>
      <c r="C558">
        <v>78.230270385742188</v>
      </c>
      <c r="D558">
        <v>66.171783447265625</v>
      </c>
      <c r="E558">
        <v>112.23685455322266</v>
      </c>
      <c r="F558">
        <v>38.614398956298828</v>
      </c>
    </row>
    <row r="559" spans="1:6" x14ac:dyDescent="0.25">
      <c r="A559" s="72">
        <v>44776</v>
      </c>
      <c r="B559">
        <v>68.364608764648438</v>
      </c>
      <c r="C559">
        <v>76.679237365722656</v>
      </c>
      <c r="D559">
        <v>65.8515625</v>
      </c>
      <c r="E559">
        <v>111.4735107421875</v>
      </c>
      <c r="F559">
        <v>39.325328826904297</v>
      </c>
    </row>
    <row r="560" spans="1:6" x14ac:dyDescent="0.25">
      <c r="A560" s="72">
        <v>44777</v>
      </c>
      <c r="B560">
        <v>67.667396545410156</v>
      </c>
      <c r="C560">
        <v>78.172103881835938</v>
      </c>
      <c r="D560">
        <v>65.488082885742188</v>
      </c>
      <c r="E560">
        <v>110.46482086181641</v>
      </c>
      <c r="F560">
        <v>40.649806976318359</v>
      </c>
    </row>
    <row r="561" spans="1:6" x14ac:dyDescent="0.25">
      <c r="A561" s="72">
        <v>44778</v>
      </c>
      <c r="B561">
        <v>67.008392333984375</v>
      </c>
      <c r="C561">
        <v>77.096084594726563</v>
      </c>
      <c r="D561">
        <v>65.782333374023438</v>
      </c>
      <c r="E561">
        <v>110.90101623535156</v>
      </c>
      <c r="F561">
        <v>39.744098663330078</v>
      </c>
    </row>
    <row r="562" spans="1:6" x14ac:dyDescent="0.25">
      <c r="A562" s="72">
        <v>44781</v>
      </c>
      <c r="B562">
        <v>69.844970703125</v>
      </c>
      <c r="C562">
        <v>76.902206420898438</v>
      </c>
      <c r="D562">
        <v>67.2882080078125</v>
      </c>
      <c r="E562">
        <v>110.13767242431641</v>
      </c>
      <c r="F562">
        <v>38.721519470214844</v>
      </c>
    </row>
    <row r="563" spans="1:6" x14ac:dyDescent="0.25">
      <c r="A563" s="72">
        <v>44782</v>
      </c>
      <c r="B563">
        <v>72.146720886230469</v>
      </c>
      <c r="C563">
        <v>76.950675964355469</v>
      </c>
      <c r="D563">
        <v>65.462120056152344</v>
      </c>
      <c r="E563">
        <v>110.74653625488281</v>
      </c>
      <c r="F563">
        <v>38.069019317626953</v>
      </c>
    </row>
    <row r="564" spans="1:6" x14ac:dyDescent="0.25">
      <c r="A564" s="72">
        <v>44783</v>
      </c>
      <c r="B564">
        <v>72.882133483886719</v>
      </c>
      <c r="C564">
        <v>75.990974426269531</v>
      </c>
      <c r="D564">
        <v>69.270072937011719</v>
      </c>
      <c r="E564">
        <v>109.73784637451172</v>
      </c>
      <c r="F564">
        <v>37.728164672851563</v>
      </c>
    </row>
    <row r="565" spans="1:6" x14ac:dyDescent="0.25">
      <c r="A565" s="72">
        <v>44784</v>
      </c>
      <c r="B565">
        <v>72.891677856445313</v>
      </c>
      <c r="C565">
        <v>77.357826232910156</v>
      </c>
      <c r="D565">
        <v>72.307769775390625</v>
      </c>
      <c r="E565">
        <v>112.71846008300781</v>
      </c>
      <c r="F565">
        <v>37.757377624511719</v>
      </c>
    </row>
    <row r="566" spans="1:6" x14ac:dyDescent="0.25">
      <c r="A566" s="72">
        <v>44785</v>
      </c>
      <c r="B566">
        <v>73.245063781738281</v>
      </c>
      <c r="C566">
        <v>77.086380004882813</v>
      </c>
      <c r="D566">
        <v>72.515480041503906</v>
      </c>
      <c r="E566">
        <v>112.55490112304688</v>
      </c>
      <c r="F566">
        <v>37.93267822265625</v>
      </c>
    </row>
    <row r="567" spans="1:6" x14ac:dyDescent="0.25">
      <c r="A567" s="72">
        <v>44788</v>
      </c>
      <c r="B567">
        <v>71.860191345214844</v>
      </c>
      <c r="C567">
        <v>78.472618103027344</v>
      </c>
      <c r="D567">
        <v>70.888450622558594</v>
      </c>
      <c r="E567">
        <v>113.50906372070313</v>
      </c>
      <c r="F567">
        <v>37.163314819335938</v>
      </c>
    </row>
    <row r="568" spans="1:6" x14ac:dyDescent="0.25">
      <c r="A568" s="72">
        <v>44789</v>
      </c>
      <c r="B568">
        <v>71.411300659179688</v>
      </c>
      <c r="C568">
        <v>77.270584106445313</v>
      </c>
      <c r="D568">
        <v>68.83734130859375</v>
      </c>
      <c r="E568">
        <v>114.21786499023438</v>
      </c>
      <c r="F568">
        <v>38.254058837890625</v>
      </c>
    </row>
    <row r="569" spans="1:6" x14ac:dyDescent="0.25">
      <c r="A569" s="72">
        <v>44790</v>
      </c>
      <c r="B569">
        <v>70.61859130859375</v>
      </c>
      <c r="C569">
        <v>78.017005920410156</v>
      </c>
      <c r="D569">
        <v>68.058441162109375</v>
      </c>
      <c r="E569">
        <v>114.69039916992188</v>
      </c>
      <c r="F569">
        <v>37.445735931396484</v>
      </c>
    </row>
    <row r="570" spans="1:6" x14ac:dyDescent="0.25">
      <c r="A570" s="72">
        <v>44791</v>
      </c>
      <c r="B570">
        <v>70.255661010742188</v>
      </c>
      <c r="C570">
        <v>77.38690185546875</v>
      </c>
      <c r="D570">
        <v>68.811393737792969</v>
      </c>
      <c r="E570">
        <v>114.84488677978516</v>
      </c>
      <c r="F570">
        <v>36.988010406494141</v>
      </c>
    </row>
    <row r="571" spans="1:6" x14ac:dyDescent="0.25">
      <c r="A571" s="72">
        <v>44792</v>
      </c>
      <c r="B571">
        <v>70.255661010742188</v>
      </c>
      <c r="C571">
        <v>75.641990661621094</v>
      </c>
      <c r="D571">
        <v>68.620986938476563</v>
      </c>
      <c r="E571">
        <v>114.78128051757813</v>
      </c>
      <c r="F571">
        <v>36.306293487548828</v>
      </c>
    </row>
    <row r="572" spans="1:6" x14ac:dyDescent="0.25">
      <c r="A572" s="72">
        <v>44795</v>
      </c>
      <c r="B572">
        <v>71.172538757324219</v>
      </c>
      <c r="C572">
        <v>74.788925170898438</v>
      </c>
      <c r="D572">
        <v>68.447891235351563</v>
      </c>
      <c r="E572">
        <v>113.25460052490234</v>
      </c>
      <c r="F572">
        <v>35.838832855224609</v>
      </c>
    </row>
    <row r="573" spans="1:6" x14ac:dyDescent="0.25">
      <c r="A573" s="72">
        <v>44796</v>
      </c>
      <c r="B573">
        <v>70.341621398925781</v>
      </c>
      <c r="C573">
        <v>73.81951904296875</v>
      </c>
      <c r="D573">
        <v>69.226791381835938</v>
      </c>
      <c r="E573">
        <v>114.24513244628906</v>
      </c>
      <c r="F573">
        <v>35.692752838134766</v>
      </c>
    </row>
    <row r="574" spans="1:6" x14ac:dyDescent="0.25">
      <c r="A574" s="72">
        <v>44797</v>
      </c>
      <c r="B574">
        <v>70.198356628417969</v>
      </c>
      <c r="C574">
        <v>73.20880126953125</v>
      </c>
      <c r="D574">
        <v>67.547836303710938</v>
      </c>
      <c r="E574">
        <v>113.09104156494141</v>
      </c>
      <c r="F574">
        <v>35.858310699462891</v>
      </c>
    </row>
    <row r="575" spans="1:6" x14ac:dyDescent="0.25">
      <c r="A575" s="72">
        <v>44798</v>
      </c>
      <c r="B575">
        <v>70.303413391113281</v>
      </c>
      <c r="C575">
        <v>74.197593688964844</v>
      </c>
      <c r="D575">
        <v>70.335678100585938</v>
      </c>
      <c r="E575">
        <v>114.40870666503906</v>
      </c>
      <c r="F575">
        <v>37.13409423828125</v>
      </c>
    </row>
    <row r="576" spans="1:6" x14ac:dyDescent="0.25">
      <c r="A576" s="72">
        <v>44799</v>
      </c>
      <c r="B576">
        <v>70.10284423828125</v>
      </c>
      <c r="C576">
        <v>73.683815002441406</v>
      </c>
      <c r="D576">
        <v>70.624961853027344</v>
      </c>
      <c r="E576">
        <v>113.22734832763672</v>
      </c>
      <c r="F576">
        <v>36.413425445556641</v>
      </c>
    </row>
    <row r="577" spans="1:6" x14ac:dyDescent="0.25">
      <c r="A577" s="72">
        <v>44802</v>
      </c>
      <c r="B577">
        <v>67.934822082519531</v>
      </c>
      <c r="C577">
        <v>71.938888549804688</v>
      </c>
      <c r="D577">
        <v>67.42510986328125</v>
      </c>
      <c r="E577">
        <v>114.08156585693359</v>
      </c>
      <c r="F577">
        <v>36.277080535888672</v>
      </c>
    </row>
    <row r="578" spans="1:6" x14ac:dyDescent="0.25">
      <c r="A578" s="72">
        <v>44803</v>
      </c>
      <c r="B578">
        <v>66.349388122558594</v>
      </c>
      <c r="C578">
        <v>70.47509765625</v>
      </c>
      <c r="D578">
        <v>66.636100769042969</v>
      </c>
      <c r="E578">
        <v>113.34548950195313</v>
      </c>
      <c r="F578">
        <v>35.712223052978516</v>
      </c>
    </row>
    <row r="579" spans="1:6" x14ac:dyDescent="0.25">
      <c r="A579" s="72">
        <v>44804</v>
      </c>
      <c r="B579">
        <v>63.245372772216797</v>
      </c>
      <c r="C579">
        <v>67.208236694335938</v>
      </c>
      <c r="D579">
        <v>66.872779846191406</v>
      </c>
      <c r="E579">
        <v>111.93695831298828</v>
      </c>
      <c r="F579">
        <v>35.6051025390625</v>
      </c>
    </row>
    <row r="580" spans="1:6" x14ac:dyDescent="0.25">
      <c r="A580" s="72">
        <v>44805</v>
      </c>
      <c r="B580">
        <v>67.113449096679688</v>
      </c>
      <c r="C580">
        <v>66.054656982421875</v>
      </c>
      <c r="D580">
        <v>65.312309265136719</v>
      </c>
      <c r="E580">
        <v>111.70069122314453</v>
      </c>
      <c r="F580">
        <v>35.400585174560547</v>
      </c>
    </row>
    <row r="581" spans="1:6" x14ac:dyDescent="0.25">
      <c r="A581" s="72">
        <v>44806</v>
      </c>
      <c r="B581">
        <v>68.737083435058594</v>
      </c>
      <c r="C581">
        <v>65.53118896484375</v>
      </c>
      <c r="D581">
        <v>67.021835327148438</v>
      </c>
      <c r="E581">
        <v>111.10093688964844</v>
      </c>
      <c r="F581">
        <v>36.462116241455078</v>
      </c>
    </row>
    <row r="582" spans="1:6" x14ac:dyDescent="0.25">
      <c r="A582" s="72">
        <v>44809</v>
      </c>
      <c r="B582">
        <v>67.314018249511719</v>
      </c>
      <c r="C582">
        <v>67.334266662597656</v>
      </c>
      <c r="D582">
        <v>66.741287231445313</v>
      </c>
      <c r="E582">
        <v>109.71967315673828</v>
      </c>
      <c r="F582">
        <v>36.413425445556641</v>
      </c>
    </row>
    <row r="583" spans="1:6" x14ac:dyDescent="0.25">
      <c r="A583" s="72">
        <v>44810</v>
      </c>
      <c r="B583">
        <v>67.696044921875</v>
      </c>
      <c r="C583">
        <v>67.004661560058594</v>
      </c>
      <c r="D583">
        <v>67.933578491210938</v>
      </c>
      <c r="E583">
        <v>114.817626953125</v>
      </c>
      <c r="F583">
        <v>36.471855163574219</v>
      </c>
    </row>
    <row r="584" spans="1:6" x14ac:dyDescent="0.25">
      <c r="A584" s="72">
        <v>44811</v>
      </c>
      <c r="B584">
        <v>68.70843505859375</v>
      </c>
      <c r="C584">
        <v>65.841384887695313</v>
      </c>
      <c r="D584">
        <v>67.23223876953125</v>
      </c>
      <c r="E584">
        <v>113.00925445556641</v>
      </c>
      <c r="F584">
        <v>36.627674102783203</v>
      </c>
    </row>
    <row r="585" spans="1:6" x14ac:dyDescent="0.25">
      <c r="A585" s="72">
        <v>44812</v>
      </c>
      <c r="B585">
        <v>68.880355834960938</v>
      </c>
      <c r="C585">
        <v>66.655693054199219</v>
      </c>
      <c r="D585">
        <v>70.125251770019531</v>
      </c>
      <c r="E585">
        <v>113.87254333496094</v>
      </c>
      <c r="F585">
        <v>36.082302093505859</v>
      </c>
    </row>
    <row r="586" spans="1:6" x14ac:dyDescent="0.25">
      <c r="A586" s="72">
        <v>44813</v>
      </c>
      <c r="B586">
        <v>69.749458312988281</v>
      </c>
      <c r="C586">
        <v>67.59600830078125</v>
      </c>
      <c r="D586">
        <v>73.640724182128906</v>
      </c>
      <c r="E586">
        <v>113.49996948242188</v>
      </c>
      <c r="F586">
        <v>36.676368713378906</v>
      </c>
    </row>
    <row r="587" spans="1:6" x14ac:dyDescent="0.25">
      <c r="A587" s="72">
        <v>44816</v>
      </c>
      <c r="B587">
        <v>70.389373779296875</v>
      </c>
      <c r="C587">
        <v>72.278190612792969</v>
      </c>
      <c r="D587">
        <v>73.8248291015625</v>
      </c>
      <c r="E587">
        <v>116.48968505859375</v>
      </c>
      <c r="F587">
        <v>37.737899780273438</v>
      </c>
    </row>
    <row r="588" spans="1:6" x14ac:dyDescent="0.25">
      <c r="A588" s="72">
        <v>44817</v>
      </c>
      <c r="B588">
        <v>69.749458312988281</v>
      </c>
      <c r="C588">
        <v>72.258796691894531</v>
      </c>
      <c r="D588">
        <v>72.404617309570313</v>
      </c>
      <c r="E588">
        <v>114.85398101806641</v>
      </c>
      <c r="F588">
        <v>37.552867889404297</v>
      </c>
    </row>
    <row r="589" spans="1:6" x14ac:dyDescent="0.25">
      <c r="A589" s="72">
        <v>44818</v>
      </c>
      <c r="B589">
        <v>69.38653564453125</v>
      </c>
      <c r="C589">
        <v>72.607780456542969</v>
      </c>
      <c r="D589">
        <v>68.626144409179688</v>
      </c>
      <c r="E589">
        <v>114.96302032470703</v>
      </c>
      <c r="F589">
        <v>37.698947906494141</v>
      </c>
    </row>
    <row r="590" spans="1:6" x14ac:dyDescent="0.25">
      <c r="A590" s="72">
        <v>44819</v>
      </c>
      <c r="B590">
        <v>70.150596618652344</v>
      </c>
      <c r="C590">
        <v>72.888908386230469</v>
      </c>
      <c r="D590">
        <v>67.530296325683594</v>
      </c>
      <c r="E590">
        <v>112.51854705810547</v>
      </c>
      <c r="F590">
        <v>37.455474853515625</v>
      </c>
    </row>
    <row r="591" spans="1:6" x14ac:dyDescent="0.25">
      <c r="A591" s="72">
        <v>44823</v>
      </c>
      <c r="B591">
        <v>69.6444091796875</v>
      </c>
      <c r="C591">
        <v>73.974617004394531</v>
      </c>
      <c r="D591">
        <v>66.706230163574219</v>
      </c>
      <c r="E591">
        <v>113.77259826660156</v>
      </c>
      <c r="F591">
        <v>37.698947906494141</v>
      </c>
    </row>
    <row r="592" spans="1:6" x14ac:dyDescent="0.25">
      <c r="A592" s="72">
        <v>44824</v>
      </c>
      <c r="B592">
        <v>69.692161560058594</v>
      </c>
      <c r="C592">
        <v>74.023101806640625</v>
      </c>
      <c r="D592">
        <v>67.34619140625</v>
      </c>
      <c r="E592">
        <v>113.80893707275391</v>
      </c>
      <c r="F592">
        <v>37.280174255371094</v>
      </c>
    </row>
    <row r="593" spans="1:6" x14ac:dyDescent="0.25">
      <c r="A593" s="72">
        <v>44825</v>
      </c>
      <c r="B593">
        <v>70.284309387207031</v>
      </c>
      <c r="C593">
        <v>74.013397216796875</v>
      </c>
      <c r="D593">
        <v>65.172035217285156</v>
      </c>
      <c r="E593">
        <v>110.52843475341797</v>
      </c>
      <c r="F593">
        <v>37.299652099609375</v>
      </c>
    </row>
    <row r="594" spans="1:6" x14ac:dyDescent="0.25">
      <c r="A594" s="72">
        <v>44826</v>
      </c>
      <c r="B594">
        <v>71.802902221679688</v>
      </c>
      <c r="C594">
        <v>72.249107360839844</v>
      </c>
      <c r="D594">
        <v>63.015422821044922</v>
      </c>
      <c r="E594">
        <v>109.99228668212891</v>
      </c>
      <c r="F594">
        <v>35.585624694824219</v>
      </c>
    </row>
    <row r="595" spans="1:6" x14ac:dyDescent="0.25">
      <c r="A595" s="72">
        <v>44827</v>
      </c>
      <c r="B595">
        <v>69.138221740722656</v>
      </c>
      <c r="C595">
        <v>70.242454528808594</v>
      </c>
      <c r="D595">
        <v>60.175003051757813</v>
      </c>
      <c r="E595">
        <v>106.3028564453125</v>
      </c>
      <c r="F595">
        <v>35.390846252441406</v>
      </c>
    </row>
    <row r="596" spans="1:6" x14ac:dyDescent="0.25">
      <c r="A596" s="72">
        <v>44830</v>
      </c>
      <c r="B596">
        <v>68.288192749023438</v>
      </c>
      <c r="C596">
        <v>68.933769226074219</v>
      </c>
      <c r="D596">
        <v>60.490608215332031</v>
      </c>
      <c r="E596">
        <v>104.65806579589844</v>
      </c>
      <c r="F596">
        <v>34.144283294677734</v>
      </c>
    </row>
    <row r="597" spans="1:6" x14ac:dyDescent="0.25">
      <c r="A597" s="72">
        <v>44831</v>
      </c>
      <c r="B597">
        <v>70.207908630371094</v>
      </c>
      <c r="C597">
        <v>68.836837768554688</v>
      </c>
      <c r="D597">
        <v>60.841274261474609</v>
      </c>
      <c r="E597">
        <v>105.48499298095703</v>
      </c>
      <c r="F597">
        <v>34.738346099853516</v>
      </c>
    </row>
    <row r="598" spans="1:6" x14ac:dyDescent="0.25">
      <c r="A598" s="72">
        <v>44832</v>
      </c>
      <c r="B598">
        <v>70.198356628417969</v>
      </c>
      <c r="C598">
        <v>70.7562255859375</v>
      </c>
      <c r="D598">
        <v>60.928936004638672</v>
      </c>
      <c r="E598">
        <v>105.40321350097656</v>
      </c>
      <c r="F598">
        <v>34.952598571777344</v>
      </c>
    </row>
    <row r="599" spans="1:6" x14ac:dyDescent="0.25">
      <c r="A599" s="72">
        <v>44833</v>
      </c>
      <c r="B599">
        <v>69.472496032714844</v>
      </c>
      <c r="C599">
        <v>72.200630187988281</v>
      </c>
      <c r="D599">
        <v>60.490608215332031</v>
      </c>
      <c r="E599">
        <v>106.59365081787109</v>
      </c>
      <c r="F599">
        <v>34.494873046875</v>
      </c>
    </row>
    <row r="600" spans="1:6" x14ac:dyDescent="0.25">
      <c r="A600" s="72">
        <v>44834</v>
      </c>
      <c r="B600">
        <v>67.590995788574219</v>
      </c>
      <c r="C600">
        <v>71.900123596191406</v>
      </c>
      <c r="D600">
        <v>59.631454467773438</v>
      </c>
      <c r="E600">
        <v>106.64817810058594</v>
      </c>
      <c r="F600">
        <v>35.205810546875</v>
      </c>
    </row>
    <row r="601" spans="1:6" x14ac:dyDescent="0.25">
      <c r="A601" s="72">
        <v>44837</v>
      </c>
      <c r="B601">
        <v>68.507865905761719</v>
      </c>
      <c r="C601">
        <v>73.383285522460938</v>
      </c>
      <c r="D601">
        <v>64.242759704589844</v>
      </c>
      <c r="E601">
        <v>109.9559326171875</v>
      </c>
      <c r="F601">
        <v>35.536930084228516</v>
      </c>
    </row>
    <row r="602" spans="1:6" x14ac:dyDescent="0.25">
      <c r="A602" s="72">
        <v>44838</v>
      </c>
      <c r="B602">
        <v>68.460105895996094</v>
      </c>
      <c r="C602">
        <v>72.297569274902344</v>
      </c>
      <c r="D602">
        <v>65.426277160644531</v>
      </c>
      <c r="E602">
        <v>110.63747406005859</v>
      </c>
      <c r="F602">
        <v>35.585624694824219</v>
      </c>
    </row>
    <row r="603" spans="1:6" x14ac:dyDescent="0.25">
      <c r="A603" s="72">
        <v>44839</v>
      </c>
      <c r="B603">
        <v>69.014060974121094</v>
      </c>
      <c r="C603">
        <v>72.685340881347656</v>
      </c>
      <c r="D603">
        <v>64.295364379882813</v>
      </c>
      <c r="E603">
        <v>112.14597320556641</v>
      </c>
      <c r="F603">
        <v>36.014129638671875</v>
      </c>
    </row>
    <row r="604" spans="1:6" x14ac:dyDescent="0.25">
      <c r="A604" s="72">
        <v>44840</v>
      </c>
      <c r="B604">
        <v>67.848869323730469</v>
      </c>
      <c r="C604">
        <v>73.577178955078125</v>
      </c>
      <c r="D604">
        <v>63.208293914794922</v>
      </c>
      <c r="E604">
        <v>110.97371673583984</v>
      </c>
      <c r="F604">
        <v>35.858310699462891</v>
      </c>
    </row>
    <row r="605" spans="1:6" x14ac:dyDescent="0.25">
      <c r="A605" s="72">
        <v>44841</v>
      </c>
      <c r="B605">
        <v>69.615760803222656</v>
      </c>
      <c r="C605">
        <v>72.733802795410156</v>
      </c>
      <c r="D605">
        <v>60.262649536132813</v>
      </c>
      <c r="E605">
        <v>109.565185546875</v>
      </c>
      <c r="F605">
        <v>35.225284576416016</v>
      </c>
    </row>
    <row r="606" spans="1:6" x14ac:dyDescent="0.25">
      <c r="A606" s="72">
        <v>44844</v>
      </c>
      <c r="B606">
        <v>67.247169494628906</v>
      </c>
      <c r="C606">
        <v>71.376640319824219</v>
      </c>
      <c r="D606">
        <v>58.237541198730469</v>
      </c>
      <c r="E606">
        <v>108.80184936523438</v>
      </c>
      <c r="F606">
        <v>34.017673492431641</v>
      </c>
    </row>
    <row r="607" spans="1:6" x14ac:dyDescent="0.25">
      <c r="A607" s="72">
        <v>44845</v>
      </c>
      <c r="B607">
        <v>68.765731811523438</v>
      </c>
      <c r="C607">
        <v>71.492973327636719</v>
      </c>
      <c r="D607">
        <v>59.254482269287109</v>
      </c>
      <c r="E607">
        <v>108.42018890380859</v>
      </c>
      <c r="F607">
        <v>34.670173645019531</v>
      </c>
    </row>
    <row r="608" spans="1:6" x14ac:dyDescent="0.25">
      <c r="A608" s="72">
        <v>44846</v>
      </c>
      <c r="B608">
        <v>67.99212646484375</v>
      </c>
      <c r="C608">
        <v>71.92919921875</v>
      </c>
      <c r="D608">
        <v>57.492374420166016</v>
      </c>
      <c r="E608">
        <v>106.73905181884766</v>
      </c>
      <c r="F608">
        <v>34.192974090576172</v>
      </c>
    </row>
    <row r="609" spans="1:6" x14ac:dyDescent="0.25">
      <c r="A609" s="72">
        <v>44847</v>
      </c>
      <c r="B609">
        <v>67.495475769042969</v>
      </c>
      <c r="C609">
        <v>72.43328857421875</v>
      </c>
      <c r="D609">
        <v>57.983310699462891</v>
      </c>
      <c r="E609">
        <v>108.95634460449219</v>
      </c>
      <c r="F609">
        <v>34.903907775878906</v>
      </c>
    </row>
    <row r="610" spans="1:6" x14ac:dyDescent="0.25">
      <c r="A610" s="72">
        <v>44848</v>
      </c>
      <c r="B610">
        <v>66.912879943847656</v>
      </c>
      <c r="C610">
        <v>70.950111389160156</v>
      </c>
      <c r="D610">
        <v>56.983898162841797</v>
      </c>
      <c r="E610">
        <v>107.46602630615234</v>
      </c>
      <c r="F610">
        <v>34.884429931640625</v>
      </c>
    </row>
    <row r="611" spans="1:6" x14ac:dyDescent="0.25">
      <c r="A611" s="72">
        <v>44851</v>
      </c>
      <c r="B611">
        <v>69.720817565917969</v>
      </c>
      <c r="C611">
        <v>74.4884033203125</v>
      </c>
      <c r="D611">
        <v>57.273204803466797</v>
      </c>
      <c r="E611">
        <v>109.02903747558594</v>
      </c>
      <c r="F611">
        <v>35.225284576416016</v>
      </c>
    </row>
    <row r="612" spans="1:6" x14ac:dyDescent="0.25">
      <c r="A612" s="72">
        <v>44852</v>
      </c>
      <c r="B612">
        <v>68.698875427246094</v>
      </c>
      <c r="C612">
        <v>72.423599243164063</v>
      </c>
      <c r="D612">
        <v>57.746608734130859</v>
      </c>
      <c r="E612">
        <v>109.63789367675781</v>
      </c>
      <c r="F612">
        <v>36.540027618408203</v>
      </c>
    </row>
    <row r="613" spans="1:6" x14ac:dyDescent="0.25">
      <c r="A613" s="72">
        <v>44853</v>
      </c>
      <c r="B613">
        <v>66.893783569335938</v>
      </c>
      <c r="C613">
        <v>72.520530700683594</v>
      </c>
      <c r="D613">
        <v>55.905590057373047</v>
      </c>
      <c r="E613">
        <v>110.34669494628906</v>
      </c>
      <c r="F613">
        <v>36.64715576171875</v>
      </c>
    </row>
    <row r="614" spans="1:6" x14ac:dyDescent="0.25">
      <c r="A614" s="72">
        <v>44854</v>
      </c>
      <c r="B614">
        <v>67.333122253417969</v>
      </c>
      <c r="C614">
        <v>72.636863708496094</v>
      </c>
      <c r="D614">
        <v>55.852985382080078</v>
      </c>
      <c r="E614">
        <v>108.32932281494141</v>
      </c>
      <c r="F614">
        <v>35.585624694824219</v>
      </c>
    </row>
    <row r="615" spans="1:6" x14ac:dyDescent="0.25">
      <c r="A615" s="72">
        <v>44855</v>
      </c>
      <c r="B615">
        <v>68.574729919433594</v>
      </c>
      <c r="C615">
        <v>74.14910888671875</v>
      </c>
      <c r="D615">
        <v>56.641998291015625</v>
      </c>
      <c r="E615">
        <v>109.93775939941406</v>
      </c>
      <c r="F615">
        <v>35.741447448730469</v>
      </c>
    </row>
    <row r="616" spans="1:6" x14ac:dyDescent="0.25">
      <c r="A616" s="72">
        <v>44858</v>
      </c>
      <c r="B616">
        <v>70.074195861816406</v>
      </c>
      <c r="C616">
        <v>72.491447448730469</v>
      </c>
      <c r="D616">
        <v>54.371402740478516</v>
      </c>
      <c r="E616">
        <v>109.74693298339844</v>
      </c>
      <c r="F616">
        <v>35.692752838134766</v>
      </c>
    </row>
    <row r="617" spans="1:6" x14ac:dyDescent="0.25">
      <c r="A617" s="72">
        <v>44859</v>
      </c>
      <c r="B617">
        <v>71.841094970703125</v>
      </c>
      <c r="C617">
        <v>75.031272888183594</v>
      </c>
      <c r="D617">
        <v>56.598159790039063</v>
      </c>
      <c r="E617">
        <v>111.58256530761719</v>
      </c>
      <c r="F617">
        <v>36.296558380126953</v>
      </c>
    </row>
    <row r="618" spans="1:6" x14ac:dyDescent="0.25">
      <c r="A618" s="72">
        <v>44860</v>
      </c>
      <c r="B618">
        <v>71.248947143554688</v>
      </c>
      <c r="C618">
        <v>74.43023681640625</v>
      </c>
      <c r="D618">
        <v>62.918991088867188</v>
      </c>
      <c r="E618">
        <v>113.16374206542969</v>
      </c>
      <c r="F618">
        <v>36.841930389404297</v>
      </c>
    </row>
    <row r="619" spans="1:6" x14ac:dyDescent="0.25">
      <c r="A619" s="72">
        <v>44861</v>
      </c>
      <c r="B619">
        <v>71.439971923828125</v>
      </c>
      <c r="C619">
        <v>76.737411499023438</v>
      </c>
      <c r="D619">
        <v>64.409339904785156</v>
      </c>
      <c r="E619">
        <v>112.88204193115234</v>
      </c>
      <c r="F619">
        <v>37.2899169921875</v>
      </c>
    </row>
    <row r="620" spans="1:6" x14ac:dyDescent="0.25">
      <c r="A620" s="72">
        <v>44862</v>
      </c>
      <c r="B620">
        <v>72.996742248535156</v>
      </c>
      <c r="C620">
        <v>76.4368896484375</v>
      </c>
      <c r="D620">
        <v>61.875751495361328</v>
      </c>
      <c r="E620">
        <v>112.21866607666016</v>
      </c>
      <c r="F620">
        <v>36.140735626220703</v>
      </c>
    </row>
    <row r="621" spans="1:6" x14ac:dyDescent="0.25">
      <c r="A621" s="72">
        <v>44865</v>
      </c>
      <c r="B621">
        <v>73.359664916992188</v>
      </c>
      <c r="C621">
        <v>77.454757690429688</v>
      </c>
      <c r="D621">
        <v>62.568325042724609</v>
      </c>
      <c r="E621">
        <v>113.24552917480469</v>
      </c>
      <c r="F621">
        <v>37.065925598144531</v>
      </c>
    </row>
    <row r="622" spans="1:6" x14ac:dyDescent="0.25">
      <c r="A622" s="72">
        <v>44866</v>
      </c>
      <c r="B622">
        <v>78.221023559570313</v>
      </c>
      <c r="C622">
        <v>79.189979553222656</v>
      </c>
      <c r="D622">
        <v>64.251533508300781</v>
      </c>
      <c r="E622">
        <v>115.58095550537109</v>
      </c>
      <c r="F622">
        <v>37.104877471923828</v>
      </c>
    </row>
    <row r="623" spans="1:6" x14ac:dyDescent="0.25">
      <c r="A623" s="72">
        <v>44868</v>
      </c>
      <c r="B623">
        <v>75.995681762695313</v>
      </c>
      <c r="C623">
        <v>79.500190734863281</v>
      </c>
      <c r="D623">
        <v>61.814373016357422</v>
      </c>
      <c r="E623">
        <v>112.71846008300781</v>
      </c>
      <c r="F623">
        <v>36.111522674560547</v>
      </c>
    </row>
    <row r="624" spans="1:6" x14ac:dyDescent="0.25">
      <c r="A624" s="72">
        <v>44869</v>
      </c>
      <c r="B624">
        <v>77.428306579589844</v>
      </c>
      <c r="C624">
        <v>82.398681640625</v>
      </c>
      <c r="D624">
        <v>68.021224975585938</v>
      </c>
      <c r="E624">
        <v>112.16414642333984</v>
      </c>
      <c r="F624">
        <v>37.153572082519531</v>
      </c>
    </row>
    <row r="625" spans="1:6" x14ac:dyDescent="0.25">
      <c r="A625" s="72">
        <v>44872</v>
      </c>
      <c r="B625">
        <v>76.654701232910156</v>
      </c>
      <c r="C625">
        <v>80.459884643554688</v>
      </c>
      <c r="D625">
        <v>64.277839660644531</v>
      </c>
      <c r="E625">
        <v>115.11750793457031</v>
      </c>
      <c r="F625">
        <v>37.095142364501953</v>
      </c>
    </row>
    <row r="626" spans="1:6" x14ac:dyDescent="0.25">
      <c r="A626" s="72">
        <v>44873</v>
      </c>
      <c r="B626">
        <v>77.896293640136719</v>
      </c>
      <c r="C626">
        <v>80.556831359863281</v>
      </c>
      <c r="D626">
        <v>66.451988220214844</v>
      </c>
      <c r="E626">
        <v>116.79865264892578</v>
      </c>
      <c r="F626">
        <v>37.767116546630859</v>
      </c>
    </row>
    <row r="627" spans="1:6" x14ac:dyDescent="0.25">
      <c r="A627" s="72">
        <v>44874</v>
      </c>
      <c r="B627">
        <v>77.905845642089844</v>
      </c>
      <c r="C627">
        <v>79.306312561035156</v>
      </c>
      <c r="D627">
        <v>65.873374938964844</v>
      </c>
      <c r="E627">
        <v>116.37154388427734</v>
      </c>
      <c r="F627">
        <v>37.689205169677734</v>
      </c>
    </row>
    <row r="628" spans="1:6" x14ac:dyDescent="0.25">
      <c r="A628" s="72">
        <v>44875</v>
      </c>
      <c r="B628">
        <v>79.156997680664063</v>
      </c>
      <c r="C628">
        <v>80.459884643554688</v>
      </c>
      <c r="D628">
        <v>66.899093627929688</v>
      </c>
      <c r="E628">
        <v>116.63507843017578</v>
      </c>
      <c r="F628">
        <v>37.543125152587891</v>
      </c>
    </row>
    <row r="629" spans="1:6" x14ac:dyDescent="0.25">
      <c r="A629" s="72">
        <v>44876</v>
      </c>
      <c r="B629">
        <v>79.739601135253906</v>
      </c>
      <c r="C629">
        <v>83.368080139160156</v>
      </c>
      <c r="D629">
        <v>72.036407470703125</v>
      </c>
      <c r="E629">
        <v>118.27988433837891</v>
      </c>
      <c r="F629">
        <v>38.010589599609375</v>
      </c>
    </row>
    <row r="630" spans="1:6" x14ac:dyDescent="0.25">
      <c r="A630" s="72">
        <v>44879</v>
      </c>
      <c r="B630">
        <v>81.878982543945313</v>
      </c>
      <c r="C630">
        <v>84.715530395507813</v>
      </c>
      <c r="D630">
        <v>71.010696411132813</v>
      </c>
      <c r="E630">
        <v>119.42486572265625</v>
      </c>
      <c r="F630">
        <v>37.202266693115234</v>
      </c>
    </row>
    <row r="631" spans="1:6" x14ac:dyDescent="0.25">
      <c r="A631" s="72">
        <v>44880</v>
      </c>
      <c r="B631">
        <v>81.726173400878906</v>
      </c>
      <c r="C631">
        <v>83.019088745117188</v>
      </c>
      <c r="D631">
        <v>71.072059631347656</v>
      </c>
      <c r="E631">
        <v>119.72474670410156</v>
      </c>
      <c r="F631">
        <v>37.3775634765625</v>
      </c>
    </row>
    <row r="632" spans="1:6" x14ac:dyDescent="0.25">
      <c r="A632" s="72">
        <v>44881</v>
      </c>
      <c r="B632">
        <v>82.0509033203125</v>
      </c>
      <c r="C632">
        <v>82.5150146484375</v>
      </c>
      <c r="D632">
        <v>69.178436279296875</v>
      </c>
      <c r="E632">
        <v>120.85157012939453</v>
      </c>
      <c r="F632">
        <v>37.494430541992188</v>
      </c>
    </row>
    <row r="633" spans="1:6" x14ac:dyDescent="0.25">
      <c r="A633" s="72">
        <v>44882</v>
      </c>
      <c r="B633">
        <v>81.544692993164063</v>
      </c>
      <c r="C633">
        <v>83.261444091796875</v>
      </c>
      <c r="D633">
        <v>66.785110473632813</v>
      </c>
      <c r="E633">
        <v>120.63347625732422</v>
      </c>
      <c r="F633">
        <v>38.146926879882813</v>
      </c>
    </row>
    <row r="634" spans="1:6" x14ac:dyDescent="0.25">
      <c r="A634" s="72">
        <v>44883</v>
      </c>
      <c r="B634">
        <v>83.569473266601563</v>
      </c>
      <c r="C634">
        <v>84.221145629882813</v>
      </c>
      <c r="D634">
        <v>65.803237915039063</v>
      </c>
      <c r="E634">
        <v>121.62397003173828</v>
      </c>
      <c r="F634">
        <v>38.964988708496094</v>
      </c>
    </row>
    <row r="635" spans="1:6" x14ac:dyDescent="0.25">
      <c r="A635" s="72">
        <v>44887</v>
      </c>
      <c r="B635">
        <v>81.7357177734375</v>
      </c>
      <c r="C635">
        <v>84.482887268066406</v>
      </c>
      <c r="D635">
        <v>67.942329406738281</v>
      </c>
      <c r="E635">
        <v>120.02463531494141</v>
      </c>
      <c r="F635">
        <v>39.841484069824219</v>
      </c>
    </row>
    <row r="636" spans="1:6" x14ac:dyDescent="0.25">
      <c r="A636" s="72">
        <v>44888</v>
      </c>
      <c r="B636">
        <v>83.082382202148438</v>
      </c>
      <c r="C636">
        <v>82.737960815429688</v>
      </c>
      <c r="D636">
        <v>66.074478149414063</v>
      </c>
      <c r="E636">
        <v>120.18821716308594</v>
      </c>
      <c r="F636">
        <v>39.412979125976563</v>
      </c>
    </row>
    <row r="637" spans="1:6" x14ac:dyDescent="0.25">
      <c r="A637" s="72">
        <v>44889</v>
      </c>
      <c r="B637">
        <v>84.102378845214844</v>
      </c>
      <c r="C637">
        <v>80.808876037597656</v>
      </c>
      <c r="D637">
        <v>64.702346801757813</v>
      </c>
      <c r="E637">
        <v>120.90610504150391</v>
      </c>
      <c r="F637">
        <v>39.257156372070313</v>
      </c>
    </row>
    <row r="638" spans="1:6" x14ac:dyDescent="0.25">
      <c r="A638" s="72">
        <v>44890</v>
      </c>
      <c r="B638">
        <v>83.226722717285156</v>
      </c>
      <c r="C638">
        <v>79.781318664550781</v>
      </c>
      <c r="D638">
        <v>62.586627960205078</v>
      </c>
      <c r="E638">
        <v>118.16173553466797</v>
      </c>
      <c r="F638">
        <v>39.627231597900391</v>
      </c>
    </row>
    <row r="639" spans="1:6" x14ac:dyDescent="0.25">
      <c r="A639" s="72">
        <v>44893</v>
      </c>
      <c r="B639">
        <v>80.551612854003906</v>
      </c>
      <c r="C639">
        <v>80.285400390625</v>
      </c>
      <c r="D639">
        <v>61.090568542480469</v>
      </c>
      <c r="E639">
        <v>119.14318084716797</v>
      </c>
      <c r="F639">
        <v>38.643611907958984</v>
      </c>
    </row>
    <row r="640" spans="1:6" x14ac:dyDescent="0.25">
      <c r="A640" s="72">
        <v>44894</v>
      </c>
      <c r="B640">
        <v>78.9061279296875</v>
      </c>
      <c r="C640">
        <v>80.06243896484375</v>
      </c>
      <c r="D640">
        <v>64.082679748535156</v>
      </c>
      <c r="E640">
        <v>117.56196594238281</v>
      </c>
      <c r="F640">
        <v>37.3775634765625</v>
      </c>
    </row>
    <row r="641" spans="1:6" x14ac:dyDescent="0.25">
      <c r="A641" s="72">
        <v>44895</v>
      </c>
      <c r="B641">
        <v>78.781036376953125</v>
      </c>
      <c r="C641">
        <v>81.516517639160156</v>
      </c>
      <c r="D641">
        <v>69.491508483886719</v>
      </c>
      <c r="E641">
        <v>119.82472229003906</v>
      </c>
      <c r="F641">
        <v>37.786594390869141</v>
      </c>
    </row>
    <row r="642" spans="1:6" x14ac:dyDescent="0.25">
      <c r="A642" s="72">
        <v>44896</v>
      </c>
      <c r="B642">
        <v>79.146697998046875</v>
      </c>
      <c r="C642">
        <v>84.172676086425781</v>
      </c>
      <c r="D642">
        <v>71.253143310546875</v>
      </c>
      <c r="E642">
        <v>119.83380126953125</v>
      </c>
      <c r="F642">
        <v>38.585174560546875</v>
      </c>
    </row>
    <row r="643" spans="1:6" x14ac:dyDescent="0.25">
      <c r="A643" s="72">
        <v>44897</v>
      </c>
      <c r="B643">
        <v>79.954994201660156</v>
      </c>
      <c r="C643">
        <v>83.338996887207031</v>
      </c>
      <c r="D643">
        <v>70.2174072265625</v>
      </c>
      <c r="E643">
        <v>121.36953735351563</v>
      </c>
      <c r="F643">
        <v>38.663089752197266</v>
      </c>
    </row>
    <row r="644" spans="1:6" x14ac:dyDescent="0.25">
      <c r="A644" s="72">
        <v>44900</v>
      </c>
      <c r="B644">
        <v>80.426513671875</v>
      </c>
      <c r="C644">
        <v>80.459884643554688</v>
      </c>
      <c r="D644">
        <v>69.827911376953125</v>
      </c>
      <c r="E644">
        <v>121.45132446289063</v>
      </c>
      <c r="F644">
        <v>38.107978820800781</v>
      </c>
    </row>
    <row r="645" spans="1:6" x14ac:dyDescent="0.25">
      <c r="A645" s="72">
        <v>44901</v>
      </c>
      <c r="B645">
        <v>78.954246520996094</v>
      </c>
      <c r="C645">
        <v>79.587432861328125</v>
      </c>
      <c r="D645">
        <v>70.42987060546875</v>
      </c>
      <c r="E645">
        <v>122.35096740722656</v>
      </c>
      <c r="F645">
        <v>37.630775451660156</v>
      </c>
    </row>
    <row r="646" spans="1:6" x14ac:dyDescent="0.25">
      <c r="A646" s="72">
        <v>44902</v>
      </c>
      <c r="B646">
        <v>80.224441528320313</v>
      </c>
      <c r="C646">
        <v>81.419586181640625</v>
      </c>
      <c r="D646">
        <v>68.16363525390625</v>
      </c>
      <c r="E646">
        <v>120.55168914794922</v>
      </c>
      <c r="F646">
        <v>37.93267822265625</v>
      </c>
    </row>
    <row r="647" spans="1:6" x14ac:dyDescent="0.25">
      <c r="A647" s="72">
        <v>44903</v>
      </c>
      <c r="B647">
        <v>82.428031921386719</v>
      </c>
      <c r="C647">
        <v>82.146636962890625</v>
      </c>
      <c r="D647">
        <v>70.810516357421875</v>
      </c>
      <c r="E647">
        <v>118.65245819091797</v>
      </c>
      <c r="F647">
        <v>37.93267822265625</v>
      </c>
    </row>
    <row r="648" spans="1:6" x14ac:dyDescent="0.25">
      <c r="A648" s="72">
        <v>44904</v>
      </c>
      <c r="B648">
        <v>82.553138732910156</v>
      </c>
      <c r="C648">
        <v>81.846115112304688</v>
      </c>
      <c r="D648">
        <v>69.234786987304688</v>
      </c>
      <c r="E648">
        <v>117.94362640380859</v>
      </c>
      <c r="F648">
        <v>38.107978820800781</v>
      </c>
    </row>
    <row r="649" spans="1:6" x14ac:dyDescent="0.25">
      <c r="A649" s="72">
        <v>44908</v>
      </c>
      <c r="B649">
        <v>83.698234558105469</v>
      </c>
      <c r="C649">
        <v>85.190544128417969</v>
      </c>
      <c r="D649">
        <v>67.774131774902344</v>
      </c>
      <c r="E649">
        <v>118.83420562744141</v>
      </c>
      <c r="F649">
        <v>37.796337127685547</v>
      </c>
    </row>
    <row r="650" spans="1:6" x14ac:dyDescent="0.25">
      <c r="A650" s="72">
        <v>44909</v>
      </c>
      <c r="B650">
        <v>82.832191467285156</v>
      </c>
      <c r="C650">
        <v>83.736442565917969</v>
      </c>
      <c r="D650">
        <v>65.959388732910156</v>
      </c>
      <c r="E650">
        <v>119.03411102294922</v>
      </c>
      <c r="F650">
        <v>38.127452850341797</v>
      </c>
    </row>
    <row r="651" spans="1:6" x14ac:dyDescent="0.25">
      <c r="A651" s="72">
        <v>44910</v>
      </c>
      <c r="B651">
        <v>81.234825134277344</v>
      </c>
      <c r="C651">
        <v>81.632858276367188</v>
      </c>
      <c r="D651">
        <v>63.967609405517578</v>
      </c>
      <c r="E651">
        <v>119.27947235107422</v>
      </c>
      <c r="F651">
        <v>38.263797760009766</v>
      </c>
    </row>
    <row r="652" spans="1:6" x14ac:dyDescent="0.25">
      <c r="A652" s="72">
        <v>44911</v>
      </c>
      <c r="B652">
        <v>82.062370300292969</v>
      </c>
      <c r="C652">
        <v>81.943061828613281</v>
      </c>
      <c r="D652">
        <v>64.259727478027344</v>
      </c>
      <c r="E652">
        <v>120.96970367431641</v>
      </c>
      <c r="F652">
        <v>37.698947906494141</v>
      </c>
    </row>
    <row r="653" spans="1:6" x14ac:dyDescent="0.25">
      <c r="A653" s="72">
        <v>44914</v>
      </c>
      <c r="B653">
        <v>83.21710205078125</v>
      </c>
      <c r="C653">
        <v>83.726753234863281</v>
      </c>
      <c r="D653">
        <v>64.197761535644531</v>
      </c>
      <c r="E653">
        <v>121.8330078125</v>
      </c>
      <c r="F653">
        <v>36.666633605957031</v>
      </c>
    </row>
    <row r="654" spans="1:6" x14ac:dyDescent="0.25">
      <c r="A654" s="72">
        <v>44915</v>
      </c>
      <c r="B654">
        <v>82.524261474609375</v>
      </c>
      <c r="C654">
        <v>83.416557312011719</v>
      </c>
      <c r="D654">
        <v>65.773490905761719</v>
      </c>
      <c r="E654">
        <v>121.66033172607422</v>
      </c>
      <c r="F654">
        <v>36.432899475097656</v>
      </c>
    </row>
    <row r="655" spans="1:6" x14ac:dyDescent="0.25">
      <c r="A655" s="72">
        <v>44916</v>
      </c>
      <c r="B655">
        <v>83.255584716796875</v>
      </c>
      <c r="C655">
        <v>84.550743103027344</v>
      </c>
      <c r="D655">
        <v>65.808891296386719</v>
      </c>
      <c r="E655">
        <v>123.45053100585938</v>
      </c>
      <c r="F655">
        <v>36.014129638671875</v>
      </c>
    </row>
    <row r="656" spans="1:6" x14ac:dyDescent="0.25">
      <c r="A656" s="72">
        <v>44917</v>
      </c>
      <c r="B656">
        <v>82.437652587890625</v>
      </c>
      <c r="C656">
        <v>82.418075561523438</v>
      </c>
      <c r="D656">
        <v>64.666946411132813</v>
      </c>
      <c r="E656">
        <v>122.72354888916016</v>
      </c>
      <c r="F656">
        <v>35.712223052978516</v>
      </c>
    </row>
    <row r="657" spans="1:6" x14ac:dyDescent="0.25">
      <c r="A657" s="72">
        <v>44918</v>
      </c>
      <c r="B657">
        <v>82.841812133789063</v>
      </c>
      <c r="C657">
        <v>85.47998046875</v>
      </c>
      <c r="D657">
        <v>65.34857177734375</v>
      </c>
      <c r="E657">
        <v>123.13246917724609</v>
      </c>
      <c r="F657">
        <v>35.984916687011719</v>
      </c>
    </row>
    <row r="658" spans="1:6" x14ac:dyDescent="0.25">
      <c r="A658" s="72">
        <v>44921</v>
      </c>
      <c r="B658">
        <v>82.505020141601563</v>
      </c>
      <c r="C658">
        <v>83.997787475585938</v>
      </c>
      <c r="D658">
        <v>64.631538391113281</v>
      </c>
      <c r="E658">
        <v>124.04121398925781</v>
      </c>
      <c r="F658">
        <v>36.218643188476563</v>
      </c>
    </row>
    <row r="659" spans="1:6" x14ac:dyDescent="0.25">
      <c r="A659" s="72">
        <v>44922</v>
      </c>
      <c r="B659">
        <v>83.467277526855469</v>
      </c>
      <c r="C659">
        <v>84.836387634277344</v>
      </c>
      <c r="D659">
        <v>64.959075927734375</v>
      </c>
      <c r="E659">
        <v>122.93254089355469</v>
      </c>
      <c r="F659">
        <v>36.588722229003906</v>
      </c>
    </row>
    <row r="660" spans="1:6" x14ac:dyDescent="0.25">
      <c r="A660" s="72">
        <v>44923</v>
      </c>
      <c r="B660">
        <v>82.379920959472656</v>
      </c>
      <c r="C660">
        <v>82.262039184570313</v>
      </c>
      <c r="D660">
        <v>64.268569946289063</v>
      </c>
      <c r="E660">
        <v>122.82351684570313</v>
      </c>
      <c r="F660">
        <v>36.277080535888672</v>
      </c>
    </row>
    <row r="661" spans="1:6" x14ac:dyDescent="0.25">
      <c r="A661" s="72">
        <v>44924</v>
      </c>
      <c r="B661">
        <v>80.946144104003906</v>
      </c>
      <c r="C661">
        <v>82.067024230957031</v>
      </c>
      <c r="D661">
        <v>62.878776550292969</v>
      </c>
      <c r="E661">
        <v>122.123779296875</v>
      </c>
      <c r="F661">
        <v>36.520549774169922</v>
      </c>
    </row>
    <row r="662" spans="1:6" x14ac:dyDescent="0.25">
      <c r="A662" s="72">
        <v>44925</v>
      </c>
      <c r="B662">
        <v>79.194808959960938</v>
      </c>
      <c r="C662">
        <v>79.980239868164063</v>
      </c>
      <c r="D662">
        <v>60.816131591796875</v>
      </c>
      <c r="E662">
        <v>119.85196685791016</v>
      </c>
      <c r="F662">
        <v>35.819355010986328</v>
      </c>
    </row>
    <row r="663" spans="1:6" x14ac:dyDescent="0.25">
      <c r="A663" s="72">
        <v>44928</v>
      </c>
      <c r="B663">
        <v>81.456146240234375</v>
      </c>
      <c r="C663">
        <v>82.720359802246094</v>
      </c>
      <c r="D663">
        <v>61.789901733398438</v>
      </c>
      <c r="E663">
        <v>117.77098083496094</v>
      </c>
      <c r="F663">
        <v>36.238121032714844</v>
      </c>
    </row>
    <row r="664" spans="1:6" x14ac:dyDescent="0.25">
      <c r="A664" s="72">
        <v>44929</v>
      </c>
      <c r="B664">
        <v>81.321426391601563</v>
      </c>
      <c r="C664">
        <v>82.320549011230469</v>
      </c>
      <c r="D664">
        <v>62.444999694824219</v>
      </c>
      <c r="E664">
        <v>114.96302032470703</v>
      </c>
      <c r="F664">
        <v>35.673274993896484</v>
      </c>
    </row>
    <row r="665" spans="1:6" x14ac:dyDescent="0.25">
      <c r="A665" s="72">
        <v>44930</v>
      </c>
      <c r="B665">
        <v>82.649360656738281</v>
      </c>
      <c r="C665">
        <v>81.48193359375</v>
      </c>
      <c r="D665">
        <v>64.976776123046875</v>
      </c>
      <c r="E665">
        <v>117.28028106689453</v>
      </c>
      <c r="F665">
        <v>36.160213470458984</v>
      </c>
    </row>
    <row r="666" spans="1:6" x14ac:dyDescent="0.25">
      <c r="A666" s="72">
        <v>44931</v>
      </c>
      <c r="B666">
        <v>84.371818542480469</v>
      </c>
      <c r="C666">
        <v>84.183059692382813</v>
      </c>
      <c r="D666">
        <v>67.384628295898438</v>
      </c>
      <c r="E666">
        <v>116.84408569335938</v>
      </c>
      <c r="F666">
        <v>37.611293792724609</v>
      </c>
    </row>
    <row r="667" spans="1:6" x14ac:dyDescent="0.25">
      <c r="A667" s="72">
        <v>44932</v>
      </c>
      <c r="B667">
        <v>84.795219421386719</v>
      </c>
      <c r="C667">
        <v>87.742286682128906</v>
      </c>
      <c r="D667">
        <v>68.765609741210938</v>
      </c>
      <c r="E667">
        <v>119.35216522216797</v>
      </c>
      <c r="F667">
        <v>38.468315124511719</v>
      </c>
    </row>
    <row r="668" spans="1:6" x14ac:dyDescent="0.25">
      <c r="A668" s="72">
        <v>44935</v>
      </c>
      <c r="B668">
        <v>87.075790405273438</v>
      </c>
      <c r="C668">
        <v>87.02069091796875</v>
      </c>
      <c r="D668">
        <v>71.483299255371094</v>
      </c>
      <c r="E668">
        <v>118.56157684326172</v>
      </c>
      <c r="F668">
        <v>39.159767150878906</v>
      </c>
    </row>
    <row r="669" spans="1:6" x14ac:dyDescent="0.25">
      <c r="A669" s="72">
        <v>44936</v>
      </c>
      <c r="B669">
        <v>86.892974853515625</v>
      </c>
      <c r="C669">
        <v>85.18743896484375</v>
      </c>
      <c r="D669">
        <v>73.475105285644531</v>
      </c>
      <c r="E669">
        <v>118.73424530029297</v>
      </c>
      <c r="F669">
        <v>39.636970520019531</v>
      </c>
    </row>
    <row r="670" spans="1:6" x14ac:dyDescent="0.25">
      <c r="A670" s="72">
        <v>44937</v>
      </c>
      <c r="B670">
        <v>87.037300109863281</v>
      </c>
      <c r="C670">
        <v>86.913421630859375</v>
      </c>
      <c r="D670">
        <v>76.228202819824219</v>
      </c>
      <c r="E670">
        <v>122.03291320800781</v>
      </c>
      <c r="F670">
        <v>40.162868499755859</v>
      </c>
    </row>
    <row r="671" spans="1:6" x14ac:dyDescent="0.25">
      <c r="A671" s="72">
        <v>44938</v>
      </c>
      <c r="B671">
        <v>87.951469421386719</v>
      </c>
      <c r="C671">
        <v>87.439987182617188</v>
      </c>
      <c r="D671">
        <v>77.423271179199219</v>
      </c>
      <c r="E671">
        <v>120.67891693115234</v>
      </c>
      <c r="F671">
        <v>41.253612518310547</v>
      </c>
    </row>
    <row r="672" spans="1:6" x14ac:dyDescent="0.25">
      <c r="A672" s="72">
        <v>44939</v>
      </c>
      <c r="B672">
        <v>87.787887573242188</v>
      </c>
      <c r="C672">
        <v>89.126968383789063</v>
      </c>
      <c r="D672">
        <v>76.307876586914063</v>
      </c>
      <c r="E672">
        <v>120.18821716308594</v>
      </c>
      <c r="F672">
        <v>41.565258026123047</v>
      </c>
    </row>
    <row r="673" spans="1:6" x14ac:dyDescent="0.25">
      <c r="A673" s="72">
        <v>44942</v>
      </c>
      <c r="B673">
        <v>89.144683837890625</v>
      </c>
      <c r="C673">
        <v>90.492156982421875</v>
      </c>
      <c r="D673">
        <v>68.712486267089844</v>
      </c>
      <c r="E673">
        <v>123.67771911621094</v>
      </c>
      <c r="F673">
        <v>40.679023742675781</v>
      </c>
    </row>
    <row r="674" spans="1:6" x14ac:dyDescent="0.25">
      <c r="A674" s="72">
        <v>44943</v>
      </c>
      <c r="B674">
        <v>88.39410400390625</v>
      </c>
      <c r="C674">
        <v>88.103080749511719</v>
      </c>
      <c r="D674">
        <v>69.7216796875</v>
      </c>
      <c r="E674">
        <v>122.66901397705078</v>
      </c>
      <c r="F674">
        <v>40.795886993408203</v>
      </c>
    </row>
    <row r="675" spans="1:6" x14ac:dyDescent="0.25">
      <c r="A675" s="72">
        <v>44944</v>
      </c>
      <c r="B675">
        <v>88.336372375488281</v>
      </c>
      <c r="C675">
        <v>89.858314514160156</v>
      </c>
      <c r="D675">
        <v>70.810516357421875</v>
      </c>
      <c r="E675">
        <v>122.33278656005859</v>
      </c>
      <c r="F675">
        <v>40.591373443603516</v>
      </c>
    </row>
    <row r="676" spans="1:6" x14ac:dyDescent="0.25">
      <c r="A676" s="72">
        <v>44945</v>
      </c>
      <c r="B676">
        <v>88.807884216308594</v>
      </c>
      <c r="C676">
        <v>89.760810852050781</v>
      </c>
      <c r="D676">
        <v>71.146926879882813</v>
      </c>
      <c r="E676">
        <v>120.66073608398438</v>
      </c>
      <c r="F676">
        <v>41.068572998046875</v>
      </c>
    </row>
    <row r="677" spans="1:6" x14ac:dyDescent="0.25">
      <c r="A677" s="72">
        <v>44946</v>
      </c>
      <c r="B677">
        <v>88.528831481933594</v>
      </c>
      <c r="C677">
        <v>90.414146423339844</v>
      </c>
      <c r="D677">
        <v>73.103294372558594</v>
      </c>
      <c r="E677">
        <v>122.01473236083984</v>
      </c>
      <c r="F677">
        <v>41.195178985595703</v>
      </c>
    </row>
    <row r="678" spans="1:6" x14ac:dyDescent="0.25">
      <c r="A678" s="72">
        <v>44949</v>
      </c>
      <c r="B678">
        <v>91.425262451171875</v>
      </c>
      <c r="C678">
        <v>92.608192443847656</v>
      </c>
      <c r="D678">
        <v>72.297721862792969</v>
      </c>
      <c r="E678">
        <v>125.3861083984375</v>
      </c>
      <c r="F678">
        <v>42.363838195800781</v>
      </c>
    </row>
    <row r="679" spans="1:6" x14ac:dyDescent="0.25">
      <c r="A679" s="72">
        <v>44950</v>
      </c>
      <c r="B679">
        <v>92.233566284179688</v>
      </c>
      <c r="C679">
        <v>92.530174255371094</v>
      </c>
      <c r="D679">
        <v>74.094772338867188</v>
      </c>
      <c r="E679">
        <v>128.72113037109375</v>
      </c>
      <c r="F679">
        <v>42.850776672363281</v>
      </c>
    </row>
    <row r="680" spans="1:6" x14ac:dyDescent="0.25">
      <c r="A680" s="72">
        <v>44951</v>
      </c>
      <c r="B680">
        <v>92.175827026367188</v>
      </c>
      <c r="C680">
        <v>94.2171630859375</v>
      </c>
      <c r="D680">
        <v>74.183296203613281</v>
      </c>
      <c r="E680">
        <v>128.92106628417969</v>
      </c>
      <c r="F680">
        <v>43.435104370117188</v>
      </c>
    </row>
    <row r="681" spans="1:6" x14ac:dyDescent="0.25">
      <c r="A681" s="72">
        <v>44952</v>
      </c>
      <c r="B681">
        <v>91.954498291015625</v>
      </c>
      <c r="C681">
        <v>94.58770751953125</v>
      </c>
      <c r="D681">
        <v>74.077072143554688</v>
      </c>
      <c r="E681">
        <v>129.43904113769531</v>
      </c>
      <c r="F681">
        <v>43.999961853027344</v>
      </c>
    </row>
    <row r="682" spans="1:6" x14ac:dyDescent="0.25">
      <c r="A682" s="72">
        <v>44953</v>
      </c>
      <c r="B682">
        <v>90.751670837402344</v>
      </c>
      <c r="C682">
        <v>94.58770751953125</v>
      </c>
      <c r="D682">
        <v>73.448539733886719</v>
      </c>
      <c r="E682">
        <v>126.24031829833984</v>
      </c>
      <c r="F682">
        <v>43.853878021240234</v>
      </c>
    </row>
    <row r="683" spans="1:6" x14ac:dyDescent="0.25">
      <c r="A683" s="72">
        <v>44956</v>
      </c>
      <c r="B683">
        <v>90.626571655273438</v>
      </c>
      <c r="C683">
        <v>93.125007629394531</v>
      </c>
      <c r="D683">
        <v>73.607879638671875</v>
      </c>
      <c r="E683">
        <v>126.94911193847656</v>
      </c>
      <c r="F683">
        <v>43.337718963623047</v>
      </c>
    </row>
    <row r="684" spans="1:6" x14ac:dyDescent="0.25">
      <c r="A684" s="72">
        <v>44957</v>
      </c>
      <c r="B684">
        <v>89.962600708007813</v>
      </c>
      <c r="C684">
        <v>92.149879455566406</v>
      </c>
      <c r="D684">
        <v>74.139030456542969</v>
      </c>
      <c r="E684">
        <v>130.19328308105469</v>
      </c>
      <c r="F684">
        <v>43.844139099121094</v>
      </c>
    </row>
    <row r="685" spans="1:6" x14ac:dyDescent="0.25">
      <c r="A685" s="72">
        <v>44958</v>
      </c>
      <c r="B685">
        <v>90.511100769042969</v>
      </c>
      <c r="C685">
        <v>93.125007629394531</v>
      </c>
      <c r="D685">
        <v>74.183296203613281</v>
      </c>
      <c r="E685">
        <v>128.88471984863281</v>
      </c>
      <c r="F685">
        <v>43.688316345214844</v>
      </c>
    </row>
    <row r="686" spans="1:6" x14ac:dyDescent="0.25">
      <c r="A686" s="72">
        <v>44959</v>
      </c>
      <c r="B686">
        <v>89.491096496582031</v>
      </c>
      <c r="C686">
        <v>92.803215026855469</v>
      </c>
      <c r="D686">
        <v>72.30657958984375</v>
      </c>
      <c r="E686">
        <v>126.15855407714844</v>
      </c>
      <c r="F686">
        <v>43.493541717529297</v>
      </c>
    </row>
    <row r="687" spans="1:6" x14ac:dyDescent="0.25">
      <c r="A687" s="72">
        <v>44960</v>
      </c>
      <c r="B687">
        <v>90.097328186035156</v>
      </c>
      <c r="C687">
        <v>94.538948059082031</v>
      </c>
      <c r="D687">
        <v>72.235748291015625</v>
      </c>
      <c r="E687">
        <v>126.24940490722656</v>
      </c>
      <c r="F687">
        <v>43.503276824951172</v>
      </c>
    </row>
    <row r="688" spans="1:6" x14ac:dyDescent="0.25">
      <c r="A688" s="72">
        <v>44964</v>
      </c>
      <c r="B688">
        <v>87.768630981445313</v>
      </c>
      <c r="C688">
        <v>92.978736877441406</v>
      </c>
      <c r="D688">
        <v>73.599052429199219</v>
      </c>
      <c r="E688">
        <v>123.79583740234375</v>
      </c>
      <c r="F688">
        <v>43.162422180175781</v>
      </c>
    </row>
    <row r="689" spans="1:6" x14ac:dyDescent="0.25">
      <c r="A689" s="72">
        <v>44965</v>
      </c>
      <c r="B689">
        <v>87.316360473632813</v>
      </c>
      <c r="C689">
        <v>90.765190124511719</v>
      </c>
      <c r="D689">
        <v>73.767234802246094</v>
      </c>
      <c r="E689">
        <v>121.21505737304688</v>
      </c>
      <c r="F689">
        <v>43.259807586669922</v>
      </c>
    </row>
    <row r="690" spans="1:6" x14ac:dyDescent="0.25">
      <c r="A690" s="72">
        <v>44966</v>
      </c>
      <c r="B690">
        <v>86.854484558105469</v>
      </c>
      <c r="C690">
        <v>91.203994750976563</v>
      </c>
      <c r="D690">
        <v>73.563629150390625</v>
      </c>
      <c r="E690">
        <v>120.46080017089844</v>
      </c>
      <c r="F690">
        <v>43.211112976074219</v>
      </c>
    </row>
    <row r="691" spans="1:6" x14ac:dyDescent="0.25">
      <c r="A691" s="72">
        <v>44967</v>
      </c>
      <c r="B691">
        <v>85.709373474121094</v>
      </c>
      <c r="C691">
        <v>90.999221801757813</v>
      </c>
      <c r="D691">
        <v>71.8551025390625</v>
      </c>
      <c r="E691">
        <v>118.95233154296875</v>
      </c>
      <c r="F691">
        <v>42.704696655273438</v>
      </c>
    </row>
    <row r="692" spans="1:6" x14ac:dyDescent="0.25">
      <c r="A692" s="72">
        <v>44970</v>
      </c>
      <c r="B692">
        <v>86.248245239257813</v>
      </c>
      <c r="C692">
        <v>90.667678833007813</v>
      </c>
      <c r="D692">
        <v>72.324287414550781</v>
      </c>
      <c r="E692">
        <v>119.77927398681641</v>
      </c>
      <c r="F692">
        <v>42.841041564941406</v>
      </c>
    </row>
    <row r="693" spans="1:6" x14ac:dyDescent="0.25">
      <c r="A693" s="72">
        <v>44971</v>
      </c>
      <c r="B693">
        <v>85.343719482421875</v>
      </c>
      <c r="C693">
        <v>87.342475891113281</v>
      </c>
      <c r="D693">
        <v>71.368232727050781</v>
      </c>
      <c r="E693">
        <v>119.34307861328125</v>
      </c>
      <c r="F693">
        <v>42.139846801757813</v>
      </c>
    </row>
    <row r="694" spans="1:6" x14ac:dyDescent="0.25">
      <c r="A694" s="72">
        <v>44972</v>
      </c>
      <c r="B694">
        <v>86.20013427734375</v>
      </c>
      <c r="C694">
        <v>88.454124450683594</v>
      </c>
      <c r="D694">
        <v>73.032470703125</v>
      </c>
      <c r="E694">
        <v>119.41577911376953</v>
      </c>
      <c r="F694">
        <v>42.169059753417969</v>
      </c>
    </row>
    <row r="695" spans="1:6" x14ac:dyDescent="0.25">
      <c r="A695" s="72">
        <v>44973</v>
      </c>
      <c r="B695">
        <v>85.545791625976563</v>
      </c>
      <c r="C695">
        <v>88.678413391113281</v>
      </c>
      <c r="D695">
        <v>74.103622436523438</v>
      </c>
      <c r="E695">
        <v>118.13447570800781</v>
      </c>
      <c r="F695">
        <v>43.006595611572266</v>
      </c>
    </row>
    <row r="696" spans="1:6" x14ac:dyDescent="0.25">
      <c r="A696" s="72">
        <v>44974</v>
      </c>
      <c r="B696">
        <v>84.092758178710938</v>
      </c>
      <c r="C696">
        <v>87.664268493652344</v>
      </c>
      <c r="D696">
        <v>73.590179443359375</v>
      </c>
      <c r="E696">
        <v>119.26130676269531</v>
      </c>
      <c r="F696">
        <v>42.74365234375</v>
      </c>
    </row>
    <row r="697" spans="1:6" x14ac:dyDescent="0.25">
      <c r="A697" s="72">
        <v>44977</v>
      </c>
      <c r="B697">
        <v>85.449562072753906</v>
      </c>
      <c r="C697">
        <v>88.044578552246094</v>
      </c>
      <c r="D697">
        <v>72.71380615234375</v>
      </c>
      <c r="E697">
        <v>118.36167144775391</v>
      </c>
      <c r="F697">
        <v>42.617042541503906</v>
      </c>
    </row>
    <row r="698" spans="1:6" x14ac:dyDescent="0.25">
      <c r="A698" s="72">
        <v>44978</v>
      </c>
      <c r="B698">
        <v>84.448806762695313</v>
      </c>
      <c r="C698">
        <v>85.587242126464844</v>
      </c>
      <c r="D698">
        <v>76.299026489257813</v>
      </c>
      <c r="E698">
        <v>119.57935333251953</v>
      </c>
      <c r="F698">
        <v>41.701595306396484</v>
      </c>
    </row>
    <row r="699" spans="1:6" x14ac:dyDescent="0.25">
      <c r="A699" s="72">
        <v>44979</v>
      </c>
      <c r="B699">
        <v>83.419174194335938</v>
      </c>
      <c r="C699">
        <v>86.357589721679688</v>
      </c>
      <c r="D699">
        <v>75.688201904296875</v>
      </c>
      <c r="E699">
        <v>120.19728851318359</v>
      </c>
      <c r="F699">
        <v>41.945072174072266</v>
      </c>
    </row>
    <row r="700" spans="1:6" x14ac:dyDescent="0.25">
      <c r="A700" s="72">
        <v>44980</v>
      </c>
      <c r="B700">
        <v>83.900314331054688</v>
      </c>
      <c r="C700">
        <v>85.431221008300781</v>
      </c>
      <c r="D700">
        <v>74.395751953125</v>
      </c>
      <c r="E700">
        <v>119.99736022949219</v>
      </c>
      <c r="F700">
        <v>42.841041564941406</v>
      </c>
    </row>
    <row r="701" spans="1:6" x14ac:dyDescent="0.25">
      <c r="A701" s="72">
        <v>44981</v>
      </c>
      <c r="B701">
        <v>84.901077270507813</v>
      </c>
      <c r="C701">
        <v>84.19281005859375</v>
      </c>
      <c r="D701">
        <v>70.854789733886719</v>
      </c>
      <c r="E701">
        <v>121.93294525146484</v>
      </c>
      <c r="F701">
        <v>42.071674346923828</v>
      </c>
    </row>
    <row r="702" spans="1:6" x14ac:dyDescent="0.25">
      <c r="A702" s="72">
        <v>44984</v>
      </c>
      <c r="B702">
        <v>85.8922119140625</v>
      </c>
      <c r="C702">
        <v>85.128936767578125</v>
      </c>
      <c r="D702">
        <v>73.200675964355469</v>
      </c>
      <c r="E702">
        <v>121.8148193359375</v>
      </c>
      <c r="F702">
        <v>41.321784973144531</v>
      </c>
    </row>
    <row r="703" spans="1:6" x14ac:dyDescent="0.25">
      <c r="A703" s="72">
        <v>44985</v>
      </c>
      <c r="B703">
        <v>83.938796997070313</v>
      </c>
      <c r="C703">
        <v>85.528732299804688</v>
      </c>
      <c r="D703">
        <v>73.738334655761719</v>
      </c>
      <c r="E703">
        <v>120.17002868652344</v>
      </c>
      <c r="F703">
        <v>39.442195892333984</v>
      </c>
    </row>
    <row r="704" spans="1:6" x14ac:dyDescent="0.25">
      <c r="A704" s="72">
        <v>44986</v>
      </c>
      <c r="B704">
        <v>83.77520751953125</v>
      </c>
      <c r="C704">
        <v>86.338096618652344</v>
      </c>
      <c r="D704">
        <v>76.847724914550781</v>
      </c>
      <c r="E704">
        <v>120.14277648925781</v>
      </c>
      <c r="F704">
        <v>40.094692230224609</v>
      </c>
    </row>
    <row r="705" spans="1:6" x14ac:dyDescent="0.25">
      <c r="A705" s="72">
        <v>44987</v>
      </c>
      <c r="B705">
        <v>84.718231201171875</v>
      </c>
      <c r="C705">
        <v>86.737907409667969</v>
      </c>
      <c r="D705">
        <v>75.978515625</v>
      </c>
      <c r="E705">
        <v>120.397216796875</v>
      </c>
      <c r="F705">
        <v>39.802528381347656</v>
      </c>
    </row>
    <row r="706" spans="1:6" x14ac:dyDescent="0.25">
      <c r="A706" s="72">
        <v>44988</v>
      </c>
      <c r="B706">
        <v>85.132011413574219</v>
      </c>
      <c r="C706">
        <v>88.610153198242188</v>
      </c>
      <c r="D706">
        <v>79.73309326171875</v>
      </c>
      <c r="E706">
        <v>121.08783721923828</v>
      </c>
      <c r="F706">
        <v>39.890174865722656</v>
      </c>
    </row>
    <row r="707" spans="1:6" x14ac:dyDescent="0.25">
      <c r="A707" s="72">
        <v>44991</v>
      </c>
      <c r="B707">
        <v>84.573898315429688</v>
      </c>
      <c r="C707">
        <v>88.073829650878906</v>
      </c>
      <c r="D707">
        <v>76.453445434570313</v>
      </c>
      <c r="E707">
        <v>124.86813354492188</v>
      </c>
      <c r="F707">
        <v>40.10443115234375</v>
      </c>
    </row>
    <row r="708" spans="1:6" x14ac:dyDescent="0.25">
      <c r="A708" s="72">
        <v>44992</v>
      </c>
      <c r="B708">
        <v>82.812942504882813</v>
      </c>
      <c r="C708">
        <v>85.343460083007813</v>
      </c>
      <c r="D708">
        <v>73.245491027832031</v>
      </c>
      <c r="E708">
        <v>126.01313781738281</v>
      </c>
      <c r="F708">
        <v>39.111072540283203</v>
      </c>
    </row>
    <row r="709" spans="1:6" x14ac:dyDescent="0.25">
      <c r="A709" s="72">
        <v>44993</v>
      </c>
      <c r="B709">
        <v>83.226722717285156</v>
      </c>
      <c r="C709">
        <v>85.245941162109375</v>
      </c>
      <c r="D709">
        <v>74.580650329589844</v>
      </c>
      <c r="E709">
        <v>127.93054962158203</v>
      </c>
      <c r="F709">
        <v>39.344806671142578</v>
      </c>
    </row>
    <row r="710" spans="1:6" x14ac:dyDescent="0.25">
      <c r="A710" s="72">
        <v>44994</v>
      </c>
      <c r="B710">
        <v>82.899551391601563</v>
      </c>
      <c r="C710">
        <v>85.2264404296875</v>
      </c>
      <c r="D710">
        <v>72.564468383789063</v>
      </c>
      <c r="E710">
        <v>128.1123046875</v>
      </c>
      <c r="F710">
        <v>39.257156372070313</v>
      </c>
    </row>
    <row r="711" spans="1:6" x14ac:dyDescent="0.25">
      <c r="A711" s="72">
        <v>44995</v>
      </c>
      <c r="B711">
        <v>80.378395080566406</v>
      </c>
      <c r="C711">
        <v>85.948043823242188</v>
      </c>
      <c r="D711">
        <v>72.725753784179688</v>
      </c>
      <c r="E711">
        <v>127.91236114501953</v>
      </c>
      <c r="F711">
        <v>39.393501281738281</v>
      </c>
    </row>
    <row r="712" spans="1:6" x14ac:dyDescent="0.25">
      <c r="A712" s="72">
        <v>44998</v>
      </c>
      <c r="B712">
        <v>82.139350891113281</v>
      </c>
      <c r="C712">
        <v>84.709625244140625</v>
      </c>
      <c r="D712">
        <v>74.607513427734375</v>
      </c>
      <c r="E712">
        <v>129.03010559082031</v>
      </c>
      <c r="F712">
        <v>39.344806671142578</v>
      </c>
    </row>
    <row r="713" spans="1:6" x14ac:dyDescent="0.25">
      <c r="A713" s="72">
        <v>44999</v>
      </c>
      <c r="B713">
        <v>81.908416748046875</v>
      </c>
      <c r="C713">
        <v>84.875396728515625</v>
      </c>
      <c r="D713">
        <v>73.747283935546875</v>
      </c>
      <c r="E713">
        <v>127.66703796386719</v>
      </c>
      <c r="F713">
        <v>40.007045745849609</v>
      </c>
    </row>
    <row r="714" spans="1:6" x14ac:dyDescent="0.25">
      <c r="A714" s="72">
        <v>45000</v>
      </c>
      <c r="B714">
        <v>82.360671997070313</v>
      </c>
      <c r="C714">
        <v>84.787635803222656</v>
      </c>
      <c r="D714">
        <v>71.327873229980469</v>
      </c>
      <c r="E714">
        <v>129.57534790039063</v>
      </c>
      <c r="F714">
        <v>38.867603302001953</v>
      </c>
    </row>
    <row r="715" spans="1:6" x14ac:dyDescent="0.25">
      <c r="A715" s="72">
        <v>45001</v>
      </c>
      <c r="B715">
        <v>82.755203247070313</v>
      </c>
      <c r="C715">
        <v>82.320549011230469</v>
      </c>
      <c r="D715">
        <v>71.238273620605469</v>
      </c>
      <c r="E715">
        <v>128.51214599609375</v>
      </c>
      <c r="F715">
        <v>38.867603302001953</v>
      </c>
    </row>
    <row r="716" spans="1:6" x14ac:dyDescent="0.25">
      <c r="A716" s="72">
        <v>45002</v>
      </c>
      <c r="B716">
        <v>85.141639709472656</v>
      </c>
      <c r="C716">
        <v>82.652099609375</v>
      </c>
      <c r="D716">
        <v>71.614616394042969</v>
      </c>
      <c r="E716">
        <v>128.85743713378906</v>
      </c>
      <c r="F716">
        <v>38.692306518554688</v>
      </c>
    </row>
    <row r="717" spans="1:6" x14ac:dyDescent="0.25">
      <c r="A717" s="72">
        <v>45006</v>
      </c>
      <c r="B717">
        <v>84.458412170410156</v>
      </c>
      <c r="C717">
        <v>82.681350708007813</v>
      </c>
      <c r="D717">
        <v>74.034027099609375</v>
      </c>
      <c r="E717">
        <v>130.33866882324219</v>
      </c>
      <c r="F717">
        <v>38.838390350341797</v>
      </c>
    </row>
    <row r="718" spans="1:6" x14ac:dyDescent="0.25">
      <c r="A718" s="72">
        <v>45007</v>
      </c>
      <c r="B718">
        <v>84.62200927734375</v>
      </c>
      <c r="C718">
        <v>82.808113098144531</v>
      </c>
      <c r="D718">
        <v>73.478469848632813</v>
      </c>
      <c r="E718">
        <v>129.48448181152344</v>
      </c>
      <c r="F718">
        <v>38.546226501464844</v>
      </c>
    </row>
    <row r="719" spans="1:6" x14ac:dyDescent="0.25">
      <c r="A719" s="72">
        <v>45008</v>
      </c>
      <c r="B719">
        <v>84.035018920898438</v>
      </c>
      <c r="C719">
        <v>82.096275329589844</v>
      </c>
      <c r="D719">
        <v>74.903221130371094</v>
      </c>
      <c r="E719">
        <v>129.98428344726563</v>
      </c>
      <c r="F719">
        <v>38.838390350341797</v>
      </c>
    </row>
    <row r="720" spans="1:6" x14ac:dyDescent="0.25">
      <c r="A720" s="72">
        <v>45009</v>
      </c>
      <c r="B720">
        <v>84.188995361328125</v>
      </c>
      <c r="C720">
        <v>84.056282043457031</v>
      </c>
      <c r="D720">
        <v>74.374542236328125</v>
      </c>
      <c r="E720">
        <v>131.91078186035156</v>
      </c>
      <c r="F720">
        <v>38.955253601074219</v>
      </c>
    </row>
    <row r="721" spans="1:6" x14ac:dyDescent="0.25">
      <c r="A721" s="72">
        <v>45012</v>
      </c>
      <c r="B721">
        <v>85.064651489257813</v>
      </c>
      <c r="C721">
        <v>83.480964660644531</v>
      </c>
      <c r="D721">
        <v>75.440879821777344</v>
      </c>
      <c r="E721">
        <v>130.66581726074219</v>
      </c>
      <c r="F721">
        <v>39.364284515380859</v>
      </c>
    </row>
    <row r="722" spans="1:6" x14ac:dyDescent="0.25">
      <c r="A722" s="72">
        <v>45013</v>
      </c>
      <c r="B722">
        <v>85.064651489257813</v>
      </c>
      <c r="C722">
        <v>82.466819763183594</v>
      </c>
      <c r="D722">
        <v>76.211502075195313</v>
      </c>
      <c r="E722">
        <v>129.875244140625</v>
      </c>
      <c r="F722">
        <v>39.763576507568359</v>
      </c>
    </row>
    <row r="723" spans="1:6" x14ac:dyDescent="0.25">
      <c r="A723" s="72">
        <v>45014</v>
      </c>
      <c r="B723">
        <v>86.585044860839844</v>
      </c>
      <c r="C723">
        <v>86.942680358886719</v>
      </c>
      <c r="D723">
        <v>77.062767028808594</v>
      </c>
      <c r="E723">
        <v>130.30232238769531</v>
      </c>
      <c r="F723">
        <v>40.532939910888672</v>
      </c>
    </row>
    <row r="724" spans="1:6" x14ac:dyDescent="0.25">
      <c r="A724" s="72">
        <v>45015</v>
      </c>
      <c r="B724">
        <v>88.269020080566406</v>
      </c>
      <c r="C724">
        <v>89.107467651367188</v>
      </c>
      <c r="D724">
        <v>77.976768493652344</v>
      </c>
      <c r="E724">
        <v>131.52912902832031</v>
      </c>
      <c r="F724">
        <v>41.906112670898438</v>
      </c>
    </row>
    <row r="725" spans="1:6" x14ac:dyDescent="0.25">
      <c r="A725" s="72">
        <v>45016</v>
      </c>
      <c r="B725">
        <v>87.162406921386719</v>
      </c>
      <c r="C725">
        <v>87.391242980957031</v>
      </c>
      <c r="D725">
        <v>76.381759643554688</v>
      </c>
      <c r="E725">
        <v>131.61090087890625</v>
      </c>
      <c r="F725">
        <v>41.984024047851563</v>
      </c>
    </row>
    <row r="726" spans="1:6" x14ac:dyDescent="0.25">
      <c r="A726" s="72">
        <v>45019</v>
      </c>
      <c r="B726">
        <v>86.604286193847656</v>
      </c>
      <c r="C726">
        <v>87.498504638671875</v>
      </c>
      <c r="D726">
        <v>77.107582092285156</v>
      </c>
      <c r="E726">
        <v>133.48286437988281</v>
      </c>
      <c r="F726">
        <v>42.169059753417969</v>
      </c>
    </row>
    <row r="727" spans="1:6" x14ac:dyDescent="0.25">
      <c r="A727" s="72">
        <v>45020</v>
      </c>
      <c r="B727">
        <v>88.018821716308594</v>
      </c>
      <c r="C727">
        <v>88.824676513671875</v>
      </c>
      <c r="D727">
        <v>76.578895568847656</v>
      </c>
      <c r="E727">
        <v>134.26437377929688</v>
      </c>
      <c r="F727">
        <v>42.607307434082031</v>
      </c>
    </row>
    <row r="728" spans="1:6" x14ac:dyDescent="0.25">
      <c r="A728" s="72">
        <v>45021</v>
      </c>
      <c r="B728">
        <v>87.114295959472656</v>
      </c>
      <c r="C728">
        <v>86.279586791992188</v>
      </c>
      <c r="D728">
        <v>75.279579162597656</v>
      </c>
      <c r="E728">
        <v>135.94554138183594</v>
      </c>
      <c r="F728">
        <v>41.623687744140625</v>
      </c>
    </row>
    <row r="729" spans="1:6" x14ac:dyDescent="0.25">
      <c r="A729" s="72">
        <v>45026</v>
      </c>
      <c r="B729">
        <v>87.826370239257813</v>
      </c>
      <c r="C729">
        <v>90.326377868652344</v>
      </c>
      <c r="D729">
        <v>77.914031982421875</v>
      </c>
      <c r="E729">
        <v>135.75468444824219</v>
      </c>
      <c r="F729">
        <v>42.110630035400391</v>
      </c>
    </row>
    <row r="730" spans="1:6" x14ac:dyDescent="0.25">
      <c r="A730" s="72">
        <v>45027</v>
      </c>
      <c r="B730">
        <v>88.5384521484375</v>
      </c>
      <c r="C730">
        <v>91.896331787109375</v>
      </c>
      <c r="D730">
        <v>82.421333312988281</v>
      </c>
      <c r="E730">
        <v>137.36312866210938</v>
      </c>
      <c r="F730">
        <v>42.548873901367188</v>
      </c>
    </row>
    <row r="731" spans="1:6" x14ac:dyDescent="0.25">
      <c r="A731" s="72">
        <v>45028</v>
      </c>
      <c r="B731">
        <v>87.383720397949219</v>
      </c>
      <c r="C731">
        <v>94.246406555175781</v>
      </c>
      <c r="D731">
        <v>82.242118835449219</v>
      </c>
      <c r="E731">
        <v>137.06326293945313</v>
      </c>
      <c r="F731">
        <v>42.393051147460938</v>
      </c>
    </row>
    <row r="732" spans="1:6" x14ac:dyDescent="0.25">
      <c r="A732" s="72">
        <v>45029</v>
      </c>
      <c r="B732">
        <v>88.336372375488281</v>
      </c>
      <c r="C732">
        <v>95.91387939453125</v>
      </c>
      <c r="D732">
        <v>83.451812744140625</v>
      </c>
      <c r="E732">
        <v>136.97239685058594</v>
      </c>
      <c r="F732">
        <v>42.724174499511719</v>
      </c>
    </row>
    <row r="733" spans="1:6" x14ac:dyDescent="0.25">
      <c r="A733" s="72">
        <v>45030</v>
      </c>
      <c r="B733">
        <v>86.710128784179688</v>
      </c>
      <c r="C733">
        <v>93.437049865722656</v>
      </c>
      <c r="D733">
        <v>81.794082641601563</v>
      </c>
      <c r="E733">
        <v>137.17228698730469</v>
      </c>
      <c r="F733">
        <v>42.685218811035156</v>
      </c>
    </row>
    <row r="734" spans="1:6" x14ac:dyDescent="0.25">
      <c r="A734" s="72">
        <v>45033</v>
      </c>
      <c r="B734">
        <v>88.932975769042969</v>
      </c>
      <c r="C734">
        <v>95.718864440917969</v>
      </c>
      <c r="D734">
        <v>82.125617980957031</v>
      </c>
      <c r="E734">
        <v>136.86332702636719</v>
      </c>
      <c r="F734">
        <v>44.253166198730469</v>
      </c>
    </row>
    <row r="735" spans="1:6" x14ac:dyDescent="0.25">
      <c r="A735" s="72">
        <v>45034</v>
      </c>
      <c r="B735">
        <v>87.72052001953125</v>
      </c>
      <c r="C735">
        <v>94.49993896484375</v>
      </c>
      <c r="D735">
        <v>83.478706359863281</v>
      </c>
      <c r="E735">
        <v>136.76338195800781</v>
      </c>
      <c r="F735">
        <v>44.749847412109375</v>
      </c>
    </row>
    <row r="736" spans="1:6" x14ac:dyDescent="0.25">
      <c r="A736" s="72">
        <v>45035</v>
      </c>
      <c r="B736">
        <v>87.027679443359375</v>
      </c>
      <c r="C736">
        <v>94.577949523925781</v>
      </c>
      <c r="D736">
        <v>83.308456420898438</v>
      </c>
      <c r="E736">
        <v>137.00874328613281</v>
      </c>
      <c r="F736">
        <v>45.499736785888672</v>
      </c>
    </row>
    <row r="737" spans="1:6" x14ac:dyDescent="0.25">
      <c r="A737" s="72">
        <v>45036</v>
      </c>
      <c r="B737">
        <v>89.847145080566406</v>
      </c>
      <c r="C737">
        <v>97.337570190429688</v>
      </c>
      <c r="D737">
        <v>79.840629577636719</v>
      </c>
      <c r="E737">
        <v>136.59979248046875</v>
      </c>
      <c r="F737">
        <v>45.402347564697266</v>
      </c>
    </row>
    <row r="738" spans="1:6" x14ac:dyDescent="0.25">
      <c r="A738" s="72">
        <v>45037</v>
      </c>
      <c r="B738">
        <v>88.740524291992188</v>
      </c>
      <c r="C738">
        <v>100.614013671875</v>
      </c>
      <c r="D738">
        <v>80.862144470214844</v>
      </c>
      <c r="E738">
        <v>136.92694091796875</v>
      </c>
      <c r="F738">
        <v>44.856975555419922</v>
      </c>
    </row>
    <row r="739" spans="1:6" x14ac:dyDescent="0.25">
      <c r="A739" s="72">
        <v>45040</v>
      </c>
      <c r="B739">
        <v>89.770156860351563</v>
      </c>
      <c r="C739">
        <v>98.48822021484375</v>
      </c>
      <c r="D739">
        <v>80.647087097167969</v>
      </c>
      <c r="E739">
        <v>138.21734619140625</v>
      </c>
      <c r="F739">
        <v>45.129657745361328</v>
      </c>
    </row>
    <row r="740" spans="1:6" x14ac:dyDescent="0.25">
      <c r="A740" s="72">
        <v>45041</v>
      </c>
      <c r="B740">
        <v>88.865615844726563</v>
      </c>
      <c r="C740">
        <v>97.591110229492188</v>
      </c>
      <c r="D740">
        <v>79.294013977050781</v>
      </c>
      <c r="E740">
        <v>138.698974609375</v>
      </c>
      <c r="F740">
        <v>44.876453399658203</v>
      </c>
    </row>
    <row r="741" spans="1:6" x14ac:dyDescent="0.25">
      <c r="A741" s="72">
        <v>45042</v>
      </c>
      <c r="B741">
        <v>88.499961853027344</v>
      </c>
      <c r="C741">
        <v>97.737380981445313</v>
      </c>
      <c r="D741">
        <v>78.863899230957031</v>
      </c>
      <c r="E741">
        <v>137.21774291992188</v>
      </c>
      <c r="F741">
        <v>44.301864624023438</v>
      </c>
    </row>
    <row r="742" spans="1:6" x14ac:dyDescent="0.25">
      <c r="A742" s="72">
        <v>45043</v>
      </c>
      <c r="B742">
        <v>89.962600708007813</v>
      </c>
      <c r="C742">
        <v>96.713485717773438</v>
      </c>
      <c r="D742">
        <v>79.867500305175781</v>
      </c>
      <c r="E742">
        <v>135.26399230957031</v>
      </c>
      <c r="F742">
        <v>44.905670166015625</v>
      </c>
    </row>
    <row r="743" spans="1:6" x14ac:dyDescent="0.25">
      <c r="A743" s="72">
        <v>45044</v>
      </c>
      <c r="B743">
        <v>92.859039306640625</v>
      </c>
      <c r="C743">
        <v>99.521858215332031</v>
      </c>
      <c r="D743">
        <v>78.792205810546875</v>
      </c>
      <c r="E743">
        <v>138.36016845703125</v>
      </c>
      <c r="F743">
        <v>47.165073394775391</v>
      </c>
    </row>
    <row r="744" spans="1:6" x14ac:dyDescent="0.25">
      <c r="A744" s="72">
        <v>45048</v>
      </c>
      <c r="B744">
        <v>91.9737548828125</v>
      </c>
      <c r="C744">
        <v>96.976776123046875</v>
      </c>
      <c r="D744">
        <v>79.742050170898438</v>
      </c>
      <c r="E744">
        <v>141.28683471679688</v>
      </c>
      <c r="F744">
        <v>48.022090911865234</v>
      </c>
    </row>
    <row r="745" spans="1:6" x14ac:dyDescent="0.25">
      <c r="A745" s="72">
        <v>45049</v>
      </c>
      <c r="B745">
        <v>91.5792236328125</v>
      </c>
      <c r="C745">
        <v>98.517471313476563</v>
      </c>
      <c r="D745">
        <v>79.204391479492188</v>
      </c>
      <c r="E745">
        <v>143.14498901367188</v>
      </c>
      <c r="F745">
        <v>48.684329986572266</v>
      </c>
    </row>
    <row r="746" spans="1:6" x14ac:dyDescent="0.25">
      <c r="A746" s="72">
        <v>45050</v>
      </c>
      <c r="B746">
        <v>93.936790466308594</v>
      </c>
      <c r="C746">
        <v>97.513092041015625</v>
      </c>
      <c r="D746">
        <v>78.326255798339844</v>
      </c>
      <c r="E746">
        <v>144.21345520019531</v>
      </c>
      <c r="F746">
        <v>49.804290771484375</v>
      </c>
    </row>
    <row r="747" spans="1:6" x14ac:dyDescent="0.25">
      <c r="A747" s="72">
        <v>45051</v>
      </c>
      <c r="B747">
        <v>95.235847473144531</v>
      </c>
      <c r="C747">
        <v>97.357063293457031</v>
      </c>
      <c r="D747">
        <v>77.510826110839844</v>
      </c>
      <c r="E747">
        <v>145.63493347167969</v>
      </c>
      <c r="F747">
        <v>50.057498931884766</v>
      </c>
    </row>
    <row r="748" spans="1:6" x14ac:dyDescent="0.25">
      <c r="A748" s="72">
        <v>45054</v>
      </c>
      <c r="B748">
        <v>94.109992980957031</v>
      </c>
      <c r="C748">
        <v>98.117683410644531</v>
      </c>
      <c r="D748">
        <v>78.0484619140625</v>
      </c>
      <c r="E748">
        <v>148.63591003417969</v>
      </c>
      <c r="F748">
        <v>49.852985382080078</v>
      </c>
    </row>
    <row r="749" spans="1:6" x14ac:dyDescent="0.25">
      <c r="A749" s="72">
        <v>45055</v>
      </c>
      <c r="B749">
        <v>94.100364685058594</v>
      </c>
      <c r="C749">
        <v>98.507720947265625</v>
      </c>
      <c r="D749">
        <v>78.819084167480469</v>
      </c>
      <c r="E749">
        <v>149.28627014160156</v>
      </c>
      <c r="F749">
        <v>50.145153045654297</v>
      </c>
    </row>
    <row r="750" spans="1:6" x14ac:dyDescent="0.25">
      <c r="A750" s="72">
        <v>45056</v>
      </c>
      <c r="B750">
        <v>94.831695556640625</v>
      </c>
      <c r="C750">
        <v>100.92604827880859</v>
      </c>
      <c r="D750">
        <v>75.270622253417969</v>
      </c>
      <c r="E750">
        <v>147.44668579101563</v>
      </c>
      <c r="F750">
        <v>51.596233367919922</v>
      </c>
    </row>
    <row r="751" spans="1:6" x14ac:dyDescent="0.25">
      <c r="A751" s="72">
        <v>45057</v>
      </c>
      <c r="B751">
        <v>92.839797973632813</v>
      </c>
      <c r="C751">
        <v>100.43849182128906</v>
      </c>
      <c r="D751">
        <v>71.775901794433594</v>
      </c>
      <c r="E751">
        <v>147.99484252929688</v>
      </c>
      <c r="F751">
        <v>51.946830749511719</v>
      </c>
    </row>
    <row r="752" spans="1:6" x14ac:dyDescent="0.25">
      <c r="A752" s="72">
        <v>45058</v>
      </c>
      <c r="B752">
        <v>92.887908935546875</v>
      </c>
      <c r="C752">
        <v>100.60425567626953</v>
      </c>
      <c r="D752">
        <v>73.666641235351563</v>
      </c>
      <c r="E752">
        <v>144.78948974609375</v>
      </c>
      <c r="F752">
        <v>52.131866455078125</v>
      </c>
    </row>
    <row r="753" spans="1:6" x14ac:dyDescent="0.25">
      <c r="A753" s="72">
        <v>45061</v>
      </c>
      <c r="B753">
        <v>92.666587829589844</v>
      </c>
      <c r="C753">
        <v>100.04843139648438</v>
      </c>
      <c r="D753">
        <v>75.709701538085938</v>
      </c>
      <c r="E753">
        <v>144.00904846191406</v>
      </c>
      <c r="F753">
        <v>53.027835845947266</v>
      </c>
    </row>
    <row r="754" spans="1:6" x14ac:dyDescent="0.25">
      <c r="A754" s="72">
        <v>45062</v>
      </c>
      <c r="B754">
        <v>92.055404663085938</v>
      </c>
      <c r="C754">
        <v>101.111328125</v>
      </c>
      <c r="D754">
        <v>75.288543701171875</v>
      </c>
      <c r="E754">
        <v>144.32492065429688</v>
      </c>
      <c r="F754">
        <v>52.248733520507813</v>
      </c>
    </row>
    <row r="755" spans="1:6" x14ac:dyDescent="0.25">
      <c r="A755" s="72">
        <v>45063</v>
      </c>
      <c r="B755">
        <v>90.066635131835938</v>
      </c>
      <c r="C755">
        <v>100.77978515625</v>
      </c>
      <c r="D755">
        <v>75.494644165039063</v>
      </c>
      <c r="E755">
        <v>144.77090454101563</v>
      </c>
      <c r="F755">
        <v>51.907875061035156</v>
      </c>
    </row>
    <row r="756" spans="1:6" x14ac:dyDescent="0.25">
      <c r="A756" s="72">
        <v>45064</v>
      </c>
      <c r="B756">
        <v>91.191993713378906</v>
      </c>
      <c r="C756">
        <v>101.43312072753906</v>
      </c>
      <c r="D756">
        <v>75.055564880371094</v>
      </c>
      <c r="E756">
        <v>145.76504516601563</v>
      </c>
      <c r="F756">
        <v>50.291229248046875</v>
      </c>
    </row>
    <row r="757" spans="1:6" x14ac:dyDescent="0.25">
      <c r="A757" s="72">
        <v>45065</v>
      </c>
      <c r="B757">
        <v>90.03753662109375</v>
      </c>
      <c r="C757">
        <v>101.81341552734375</v>
      </c>
      <c r="D757">
        <v>71.874488830566406</v>
      </c>
      <c r="E757">
        <v>146.30389404296875</v>
      </c>
      <c r="F757">
        <v>51.615711212158203</v>
      </c>
    </row>
    <row r="758" spans="1:6" x14ac:dyDescent="0.25">
      <c r="A758" s="72">
        <v>45068</v>
      </c>
      <c r="B758">
        <v>87.835357666015625</v>
      </c>
      <c r="C758">
        <v>100.47749328613281</v>
      </c>
      <c r="D758">
        <v>69.759735107421875</v>
      </c>
      <c r="E758">
        <v>143.24717712402344</v>
      </c>
      <c r="F758">
        <v>51.615711212158203</v>
      </c>
    </row>
    <row r="759" spans="1:6" x14ac:dyDescent="0.25">
      <c r="A759" s="72">
        <v>45069</v>
      </c>
      <c r="B759">
        <v>88.116683959960938</v>
      </c>
      <c r="C759">
        <v>99.746147155761719</v>
      </c>
      <c r="D759">
        <v>69.311691284179688</v>
      </c>
      <c r="E759">
        <v>142.21591186523438</v>
      </c>
      <c r="F759">
        <v>50.505485534667969</v>
      </c>
    </row>
    <row r="760" spans="1:6" x14ac:dyDescent="0.25">
      <c r="A760" s="72">
        <v>45070</v>
      </c>
      <c r="B760">
        <v>89.707695007324219</v>
      </c>
      <c r="C760">
        <v>98.585739135742188</v>
      </c>
      <c r="D760">
        <v>74.992835998535156</v>
      </c>
      <c r="E760">
        <v>141.14744567871094</v>
      </c>
      <c r="F760">
        <v>50.12567138671875</v>
      </c>
    </row>
    <row r="761" spans="1:6" x14ac:dyDescent="0.25">
      <c r="A761" s="72">
        <v>45071</v>
      </c>
      <c r="B761">
        <v>90.697219848632813</v>
      </c>
      <c r="C761">
        <v>99.092803955078125</v>
      </c>
      <c r="D761">
        <v>76.244392395019531</v>
      </c>
      <c r="E761">
        <v>141.46334838867188</v>
      </c>
      <c r="F761">
        <v>49.142047882080078</v>
      </c>
    </row>
    <row r="762" spans="1:6" x14ac:dyDescent="0.25">
      <c r="A762" s="72">
        <v>45072</v>
      </c>
      <c r="B762">
        <v>90.920356750488281</v>
      </c>
      <c r="C762">
        <v>102.34973907470703</v>
      </c>
      <c r="D762">
        <v>74.376129150390625</v>
      </c>
      <c r="E762">
        <v>139.36358642578125</v>
      </c>
      <c r="F762">
        <v>50.271751403808594</v>
      </c>
    </row>
    <row r="763" spans="1:6" x14ac:dyDescent="0.25">
      <c r="A763" s="72">
        <v>45075</v>
      </c>
      <c r="B763">
        <v>90.774833679199219</v>
      </c>
      <c r="C763">
        <v>107.84947967529297</v>
      </c>
      <c r="D763">
        <v>74.3670654296875</v>
      </c>
      <c r="E763">
        <v>135.647216796875</v>
      </c>
      <c r="F763">
        <v>49.541343688964844</v>
      </c>
    </row>
    <row r="764" spans="1:6" x14ac:dyDescent="0.25">
      <c r="A764" s="72">
        <v>45076</v>
      </c>
      <c r="B764">
        <v>89.853218078613281</v>
      </c>
      <c r="C764">
        <v>108.57107543945313</v>
      </c>
      <c r="D764">
        <v>72.272079467773438</v>
      </c>
      <c r="E764">
        <v>138.06288146972656</v>
      </c>
      <c r="F764">
        <v>49.073879241943359</v>
      </c>
    </row>
    <row r="765" spans="1:6" x14ac:dyDescent="0.25">
      <c r="A765" s="72">
        <v>45077</v>
      </c>
      <c r="B765">
        <v>92.00689697265625</v>
      </c>
      <c r="C765">
        <v>100.45799255371094</v>
      </c>
      <c r="D765">
        <v>71.555610656738281</v>
      </c>
      <c r="E765">
        <v>136.23257446289063</v>
      </c>
      <c r="F765">
        <v>50.106193542480469</v>
      </c>
    </row>
    <row r="766" spans="1:6" x14ac:dyDescent="0.25">
      <c r="A766" s="72">
        <v>45078</v>
      </c>
      <c r="B766">
        <v>90.687530517578125</v>
      </c>
      <c r="C766">
        <v>104.61204528808594</v>
      </c>
      <c r="D766">
        <v>74.3670654296875</v>
      </c>
      <c r="E766">
        <v>136.06532287597656</v>
      </c>
      <c r="F766">
        <v>49.891941070556641</v>
      </c>
    </row>
    <row r="767" spans="1:6" x14ac:dyDescent="0.25">
      <c r="A767" s="72">
        <v>45079</v>
      </c>
      <c r="B767">
        <v>89.746498107910156</v>
      </c>
      <c r="C767">
        <v>110.26780700683594</v>
      </c>
      <c r="D767">
        <v>74.494041442871094</v>
      </c>
      <c r="E767">
        <v>136.20469665527344</v>
      </c>
      <c r="F767">
        <v>49.658210754394531</v>
      </c>
    </row>
    <row r="768" spans="1:6" x14ac:dyDescent="0.25">
      <c r="A768" s="72">
        <v>45082</v>
      </c>
      <c r="B768">
        <v>89.843521118164063</v>
      </c>
      <c r="C768">
        <v>109.32192230224609</v>
      </c>
      <c r="D768">
        <v>75.02911376953125</v>
      </c>
      <c r="E768">
        <v>137.63548278808594</v>
      </c>
      <c r="F768">
        <v>49.745857238769531</v>
      </c>
    </row>
    <row r="769" spans="1:6" x14ac:dyDescent="0.25">
      <c r="A769" s="72">
        <v>45083</v>
      </c>
      <c r="B769">
        <v>89.513671875</v>
      </c>
      <c r="C769">
        <v>112.05229949951172</v>
      </c>
      <c r="D769">
        <v>75.990455627441406</v>
      </c>
      <c r="E769">
        <v>137.15237426757813</v>
      </c>
      <c r="F769">
        <v>49.784812927246094</v>
      </c>
    </row>
    <row r="770" spans="1:6" x14ac:dyDescent="0.25">
      <c r="A770" s="72">
        <v>45084</v>
      </c>
      <c r="B770">
        <v>88.999504089355469</v>
      </c>
      <c r="C770">
        <v>111.01865386962891</v>
      </c>
      <c r="D770">
        <v>75.455368041992188</v>
      </c>
      <c r="E770">
        <v>140.33914184570313</v>
      </c>
      <c r="F770">
        <v>49.775077819824219</v>
      </c>
    </row>
    <row r="771" spans="1:6" x14ac:dyDescent="0.25">
      <c r="A771" s="72">
        <v>45085</v>
      </c>
      <c r="B771">
        <v>90.435287475585938</v>
      </c>
      <c r="C771">
        <v>112.72513580322266</v>
      </c>
      <c r="D771">
        <v>76.416694641113281</v>
      </c>
      <c r="E771">
        <v>142.17874145507813</v>
      </c>
      <c r="F771">
        <v>51.498844146728516</v>
      </c>
    </row>
    <row r="772" spans="1:6" x14ac:dyDescent="0.25">
      <c r="A772" s="72">
        <v>45086</v>
      </c>
      <c r="B772">
        <v>91.337509155273438</v>
      </c>
      <c r="C772">
        <v>112.98842620849609</v>
      </c>
      <c r="D772">
        <v>77.133163452148438</v>
      </c>
      <c r="E772">
        <v>142.19731140136719</v>
      </c>
      <c r="F772">
        <v>54.089366912841797</v>
      </c>
    </row>
    <row r="773" spans="1:6" x14ac:dyDescent="0.25">
      <c r="A773" s="72">
        <v>45089</v>
      </c>
      <c r="B773">
        <v>89.88232421875</v>
      </c>
      <c r="C773">
        <v>113.45648193359375</v>
      </c>
      <c r="D773">
        <v>74.893081665039063</v>
      </c>
      <c r="E773">
        <v>141.41690063476563</v>
      </c>
      <c r="F773">
        <v>55.988437652587891</v>
      </c>
    </row>
    <row r="774" spans="1:6" x14ac:dyDescent="0.25">
      <c r="A774" s="72">
        <v>45090</v>
      </c>
      <c r="B774">
        <v>88.766670227050781</v>
      </c>
      <c r="C774">
        <v>114.70465087890625</v>
      </c>
      <c r="D774">
        <v>76.443901062011719</v>
      </c>
      <c r="E774">
        <v>141.29611206054688</v>
      </c>
      <c r="F774">
        <v>55.861835479736328</v>
      </c>
    </row>
    <row r="775" spans="1:6" x14ac:dyDescent="0.25">
      <c r="A775" s="72">
        <v>45091</v>
      </c>
      <c r="B775">
        <v>90.823348999023438</v>
      </c>
      <c r="C775">
        <v>116.28436279296875</v>
      </c>
      <c r="D775">
        <v>78.457267761230469</v>
      </c>
      <c r="E775">
        <v>140.95234680175781</v>
      </c>
      <c r="F775">
        <v>56.524074554443359</v>
      </c>
    </row>
    <row r="776" spans="1:6" x14ac:dyDescent="0.25">
      <c r="A776" s="72">
        <v>45092</v>
      </c>
      <c r="B776">
        <v>89.989036560058594</v>
      </c>
      <c r="C776">
        <v>116.81092834472656</v>
      </c>
      <c r="D776">
        <v>78.33935546875</v>
      </c>
      <c r="E776">
        <v>140.47850036621094</v>
      </c>
      <c r="F776">
        <v>57.049968719482422</v>
      </c>
    </row>
    <row r="777" spans="1:6" x14ac:dyDescent="0.25">
      <c r="A777" s="72">
        <v>45093</v>
      </c>
      <c r="B777">
        <v>89.387550354003906</v>
      </c>
      <c r="C777">
        <v>115.84555816650391</v>
      </c>
      <c r="D777">
        <v>78.838165283203125</v>
      </c>
      <c r="E777">
        <v>139.42863464355469</v>
      </c>
      <c r="F777">
        <v>56.728588104248047</v>
      </c>
    </row>
    <row r="778" spans="1:6" x14ac:dyDescent="0.25">
      <c r="A778" s="72">
        <v>45096</v>
      </c>
      <c r="B778">
        <v>89.1644287109375</v>
      </c>
      <c r="C778">
        <v>115.95282745361328</v>
      </c>
      <c r="D778">
        <v>77.595680236816406</v>
      </c>
      <c r="E778">
        <v>140.80368041992188</v>
      </c>
      <c r="F778">
        <v>57.741424560546875</v>
      </c>
    </row>
    <row r="779" spans="1:6" x14ac:dyDescent="0.25">
      <c r="A779" s="72">
        <v>45097</v>
      </c>
      <c r="B779">
        <v>89.096511840820313</v>
      </c>
      <c r="C779">
        <v>117.86408233642578</v>
      </c>
      <c r="D779">
        <v>76.616218566894531</v>
      </c>
      <c r="E779">
        <v>140.72006225585938</v>
      </c>
      <c r="F779">
        <v>58.277061462402344</v>
      </c>
    </row>
    <row r="780" spans="1:6" x14ac:dyDescent="0.25">
      <c r="A780" s="72">
        <v>45098</v>
      </c>
      <c r="B780">
        <v>89.659187316894531</v>
      </c>
      <c r="C780">
        <v>117.50328063964844</v>
      </c>
      <c r="D780">
        <v>75.926963806152344</v>
      </c>
      <c r="E780">
        <v>140.51567077636719</v>
      </c>
      <c r="F780">
        <v>58.325752258300781</v>
      </c>
    </row>
    <row r="781" spans="1:6" x14ac:dyDescent="0.25">
      <c r="A781" s="72">
        <v>45099</v>
      </c>
      <c r="B781">
        <v>88.640556335449219</v>
      </c>
      <c r="C781">
        <v>116.908447265625</v>
      </c>
      <c r="D781">
        <v>75.818138122558594</v>
      </c>
      <c r="E781">
        <v>140.76651000976563</v>
      </c>
      <c r="F781">
        <v>58.15045166015625</v>
      </c>
    </row>
    <row r="782" spans="1:6" x14ac:dyDescent="0.25">
      <c r="A782" s="72">
        <v>45100</v>
      </c>
      <c r="B782">
        <v>89.077110290527344</v>
      </c>
      <c r="C782">
        <v>117.42527008056641</v>
      </c>
      <c r="D782">
        <v>75.4100341796875</v>
      </c>
      <c r="E782">
        <v>138.76898193359375</v>
      </c>
      <c r="F782">
        <v>56.679897308349609</v>
      </c>
    </row>
    <row r="783" spans="1:6" x14ac:dyDescent="0.25">
      <c r="A783" s="72">
        <v>45103</v>
      </c>
      <c r="B783">
        <v>87.942070007324219</v>
      </c>
      <c r="C783">
        <v>117.30825042724609</v>
      </c>
      <c r="D783">
        <v>76.362281799316406</v>
      </c>
      <c r="E783">
        <v>136.60420227050781</v>
      </c>
      <c r="F783">
        <v>55.939743041992188</v>
      </c>
    </row>
    <row r="784" spans="1:6" x14ac:dyDescent="0.25">
      <c r="A784" s="72">
        <v>45104</v>
      </c>
      <c r="B784">
        <v>88.301010131835938</v>
      </c>
      <c r="C784">
        <v>118.92696380615234</v>
      </c>
      <c r="D784">
        <v>76.389503479003906</v>
      </c>
      <c r="E784">
        <v>134.59736633300781</v>
      </c>
      <c r="F784">
        <v>56.085826873779297</v>
      </c>
    </row>
    <row r="785" spans="1:6" x14ac:dyDescent="0.25">
      <c r="A785" s="72">
        <v>45105</v>
      </c>
      <c r="B785">
        <v>88.000267028808594</v>
      </c>
      <c r="C785">
        <v>117.76082611083984</v>
      </c>
      <c r="D785">
        <v>75.763717651367188</v>
      </c>
      <c r="E785">
        <v>133.52891540527344</v>
      </c>
      <c r="F785">
        <v>54.673694610595703</v>
      </c>
    </row>
    <row r="786" spans="1:6" x14ac:dyDescent="0.25">
      <c r="A786" s="72">
        <v>45106</v>
      </c>
      <c r="B786">
        <v>88.446525573730469</v>
      </c>
      <c r="C786">
        <v>119.06416320800781</v>
      </c>
      <c r="D786">
        <v>74.512176513671875</v>
      </c>
      <c r="E786">
        <v>132.46046447753906</v>
      </c>
      <c r="F786">
        <v>55.219070434570313</v>
      </c>
    </row>
    <row r="787" spans="1:6" x14ac:dyDescent="0.25">
      <c r="A787" s="72">
        <v>45107</v>
      </c>
      <c r="B787">
        <v>89.193534851074219</v>
      </c>
      <c r="C787">
        <v>121.22005462646484</v>
      </c>
      <c r="D787">
        <v>74.639144897460938</v>
      </c>
      <c r="E787">
        <v>132.80421447753906</v>
      </c>
      <c r="F787">
        <v>54.29388427734375</v>
      </c>
    </row>
    <row r="788" spans="1:6" x14ac:dyDescent="0.25">
      <c r="A788" s="72">
        <v>45110</v>
      </c>
      <c r="B788">
        <v>90.22186279296875</v>
      </c>
      <c r="C788">
        <v>123.00356292724609</v>
      </c>
      <c r="D788">
        <v>77.332672119140625</v>
      </c>
      <c r="E788">
        <v>133.90054321289063</v>
      </c>
      <c r="F788">
        <v>55.3359375</v>
      </c>
    </row>
    <row r="789" spans="1:6" x14ac:dyDescent="0.25">
      <c r="A789" s="72">
        <v>45111</v>
      </c>
      <c r="B789">
        <v>89.688285827636719</v>
      </c>
      <c r="C789">
        <v>121.36705780029297</v>
      </c>
      <c r="D789">
        <v>76.616218566894531</v>
      </c>
      <c r="E789">
        <v>130.5465087890625</v>
      </c>
      <c r="F789">
        <v>55.014560699462891</v>
      </c>
    </row>
    <row r="790" spans="1:6" x14ac:dyDescent="0.25">
      <c r="A790" s="72">
        <v>45112</v>
      </c>
      <c r="B790">
        <v>88.204002380371094</v>
      </c>
      <c r="C790">
        <v>121.59243774414063</v>
      </c>
      <c r="D790">
        <v>75.500709533691406</v>
      </c>
      <c r="E790">
        <v>132.60911560058594</v>
      </c>
      <c r="F790">
        <v>56.77728271484375</v>
      </c>
    </row>
    <row r="791" spans="1:6" x14ac:dyDescent="0.25">
      <c r="A791" s="72">
        <v>45113</v>
      </c>
      <c r="B791">
        <v>86.244346618652344</v>
      </c>
      <c r="C791">
        <v>122.07261657714844</v>
      </c>
      <c r="D791">
        <v>73.795707702636719</v>
      </c>
      <c r="E791">
        <v>130.44430541992188</v>
      </c>
      <c r="F791">
        <v>56.231910705566406</v>
      </c>
    </row>
    <row r="792" spans="1:6" x14ac:dyDescent="0.25">
      <c r="A792" s="72">
        <v>45114</v>
      </c>
      <c r="B792">
        <v>86.186134338378906</v>
      </c>
      <c r="C792">
        <v>120.72028350830078</v>
      </c>
      <c r="D792">
        <v>75.546058654785156</v>
      </c>
      <c r="E792">
        <v>130.03553771972656</v>
      </c>
      <c r="F792">
        <v>56.592243194580078</v>
      </c>
    </row>
    <row r="793" spans="1:6" x14ac:dyDescent="0.25">
      <c r="A793" s="72">
        <v>45117</v>
      </c>
      <c r="B793">
        <v>84.895866394042969</v>
      </c>
      <c r="C793">
        <v>119.69132995605469</v>
      </c>
      <c r="D793">
        <v>76.434829711914063</v>
      </c>
      <c r="E793">
        <v>128.36317443847656</v>
      </c>
      <c r="F793">
        <v>57.26422119140625</v>
      </c>
    </row>
    <row r="794" spans="1:6" x14ac:dyDescent="0.25">
      <c r="A794" s="72">
        <v>45118</v>
      </c>
      <c r="B794">
        <v>86.962234497070313</v>
      </c>
      <c r="C794">
        <v>121.47484588623047</v>
      </c>
      <c r="D794">
        <v>76.978981018066406</v>
      </c>
      <c r="E794">
        <v>128.35386657714844</v>
      </c>
      <c r="F794">
        <v>55.998176574707031</v>
      </c>
    </row>
    <row r="795" spans="1:6" x14ac:dyDescent="0.25">
      <c r="A795" s="72">
        <v>45119</v>
      </c>
      <c r="B795">
        <v>85.681663513183594</v>
      </c>
      <c r="C795">
        <v>122.21961212158203</v>
      </c>
      <c r="D795">
        <v>77.269187927246094</v>
      </c>
      <c r="E795">
        <v>130.00764465332031</v>
      </c>
      <c r="F795">
        <v>56.485115051269531</v>
      </c>
    </row>
    <row r="796" spans="1:6" x14ac:dyDescent="0.25">
      <c r="A796" s="72">
        <v>45120</v>
      </c>
      <c r="B796">
        <v>87.030143737792969</v>
      </c>
      <c r="C796">
        <v>124.84587860107422</v>
      </c>
      <c r="D796">
        <v>77.867759704589844</v>
      </c>
      <c r="E796">
        <v>133.13870239257813</v>
      </c>
      <c r="F796">
        <v>57.322654724121094</v>
      </c>
    </row>
    <row r="797" spans="1:6" x14ac:dyDescent="0.25">
      <c r="A797" s="72">
        <v>45121</v>
      </c>
      <c r="B797">
        <v>86.952529907226563</v>
      </c>
      <c r="C797">
        <v>123.37595367431641</v>
      </c>
      <c r="D797">
        <v>77.813346862792969</v>
      </c>
      <c r="E797">
        <v>131.31768798828125</v>
      </c>
      <c r="F797">
        <v>57.118141174316406</v>
      </c>
    </row>
    <row r="798" spans="1:6" x14ac:dyDescent="0.25">
      <c r="A798" s="72">
        <v>45124</v>
      </c>
      <c r="B798">
        <v>86.060012817382813</v>
      </c>
      <c r="C798">
        <v>123.90512847900391</v>
      </c>
      <c r="D798">
        <v>77.105949401855469</v>
      </c>
      <c r="E798">
        <v>130.12843322753906</v>
      </c>
      <c r="F798">
        <v>56.660415649414063</v>
      </c>
    </row>
    <row r="799" spans="1:6" x14ac:dyDescent="0.25">
      <c r="A799" s="72">
        <v>45125</v>
      </c>
      <c r="B799">
        <v>87.796539306640625</v>
      </c>
      <c r="C799">
        <v>126.88417053222656</v>
      </c>
      <c r="D799">
        <v>77.541275024414063</v>
      </c>
      <c r="E799">
        <v>130.5465087890625</v>
      </c>
      <c r="F799">
        <v>56.533809661865234</v>
      </c>
    </row>
    <row r="800" spans="1:6" x14ac:dyDescent="0.25">
      <c r="A800" s="72">
        <v>45126</v>
      </c>
      <c r="B800">
        <v>85.148086547851563</v>
      </c>
      <c r="C800">
        <v>126.21781921386719</v>
      </c>
      <c r="D800">
        <v>76.462043762207031</v>
      </c>
      <c r="E800">
        <v>129.75679016113281</v>
      </c>
      <c r="F800">
        <v>55.355415344238281</v>
      </c>
    </row>
    <row r="801" spans="1:6" x14ac:dyDescent="0.25">
      <c r="A801" s="72">
        <v>45127</v>
      </c>
      <c r="B801">
        <v>84.439903259277344</v>
      </c>
      <c r="C801">
        <v>125.58084106445313</v>
      </c>
      <c r="D801">
        <v>76.462043762207031</v>
      </c>
      <c r="E801">
        <v>129.65460205078125</v>
      </c>
      <c r="F801">
        <v>54.537353515625</v>
      </c>
    </row>
    <row r="802" spans="1:6" x14ac:dyDescent="0.25">
      <c r="A802" s="72">
        <v>45128</v>
      </c>
      <c r="B802">
        <v>86.069717407226563</v>
      </c>
      <c r="C802">
        <v>125.54164886474609</v>
      </c>
      <c r="D802">
        <v>77.6319580078125</v>
      </c>
      <c r="E802">
        <v>131.73574829101563</v>
      </c>
      <c r="F802">
        <v>54.508140563964844</v>
      </c>
    </row>
    <row r="803" spans="1:6" x14ac:dyDescent="0.25">
      <c r="A803" s="72">
        <v>45131</v>
      </c>
      <c r="B803">
        <v>84.255577087402344</v>
      </c>
      <c r="C803">
        <v>127.36436462402344</v>
      </c>
      <c r="D803">
        <v>77.949371337890625</v>
      </c>
      <c r="E803">
        <v>127.96366119384766</v>
      </c>
      <c r="F803">
        <v>54.800304412841797</v>
      </c>
    </row>
    <row r="804" spans="1:6" x14ac:dyDescent="0.25">
      <c r="A804" s="72">
        <v>45132</v>
      </c>
      <c r="B804">
        <v>85.2451171875</v>
      </c>
      <c r="C804">
        <v>128.07972717285156</v>
      </c>
      <c r="D804">
        <v>81.531692504882813</v>
      </c>
      <c r="E804">
        <v>129.1064453125</v>
      </c>
      <c r="F804">
        <v>55.608619689941406</v>
      </c>
    </row>
    <row r="805" spans="1:6" x14ac:dyDescent="0.25">
      <c r="A805" s="72">
        <v>45133</v>
      </c>
      <c r="B805">
        <v>85.322715759277344</v>
      </c>
      <c r="C805">
        <v>129.35366821289063</v>
      </c>
      <c r="D805">
        <v>79.790420532226563</v>
      </c>
      <c r="E805">
        <v>133.18515014648438</v>
      </c>
      <c r="F805">
        <v>56.222171783447266</v>
      </c>
    </row>
    <row r="806" spans="1:6" x14ac:dyDescent="0.25">
      <c r="A806" s="72">
        <v>45134</v>
      </c>
      <c r="B806">
        <v>84.3428955078125</v>
      </c>
      <c r="C806">
        <v>129.44184875488281</v>
      </c>
      <c r="D806">
        <v>79.808555603027344</v>
      </c>
      <c r="E806">
        <v>131.30836486816406</v>
      </c>
      <c r="F806">
        <v>57.020751953125</v>
      </c>
    </row>
    <row r="807" spans="1:6" x14ac:dyDescent="0.25">
      <c r="A807" s="72">
        <v>45135</v>
      </c>
      <c r="B807">
        <v>86.09881591796875</v>
      </c>
      <c r="C807">
        <v>130.3336181640625</v>
      </c>
      <c r="D807">
        <v>78.439109802246094</v>
      </c>
      <c r="E807">
        <v>131.43844604492188</v>
      </c>
      <c r="F807">
        <v>57.429782867431641</v>
      </c>
    </row>
    <row r="808" spans="1:6" x14ac:dyDescent="0.25">
      <c r="A808" s="72">
        <v>45138</v>
      </c>
      <c r="B808">
        <v>84.430198669433594</v>
      </c>
      <c r="C808">
        <v>130.51979064941406</v>
      </c>
      <c r="D808">
        <v>79.00140380859375</v>
      </c>
      <c r="E808">
        <v>131.08540344238281</v>
      </c>
      <c r="F808">
        <v>56.757804870605469</v>
      </c>
    </row>
    <row r="809" spans="1:6" x14ac:dyDescent="0.25">
      <c r="A809" s="72">
        <v>45139</v>
      </c>
      <c r="B809">
        <v>81.034751892089844</v>
      </c>
      <c r="C809">
        <v>126.83517456054688</v>
      </c>
      <c r="D809">
        <v>77.368949890136719</v>
      </c>
      <c r="E809">
        <v>131.1968994140625</v>
      </c>
      <c r="F809">
        <v>56.261123657226563</v>
      </c>
    </row>
    <row r="810" spans="1:6" x14ac:dyDescent="0.25">
      <c r="A810" s="72">
        <v>45140</v>
      </c>
      <c r="B810">
        <v>80.57879638671875</v>
      </c>
      <c r="C810">
        <v>123.37595367431641</v>
      </c>
      <c r="D810">
        <v>75.446296691894531</v>
      </c>
      <c r="E810">
        <v>130.5372314453125</v>
      </c>
      <c r="F810">
        <v>55.141159057617188</v>
      </c>
    </row>
    <row r="811" spans="1:6" x14ac:dyDescent="0.25">
      <c r="A811" s="72">
        <v>45141</v>
      </c>
      <c r="B811">
        <v>84.430198669433594</v>
      </c>
      <c r="C811">
        <v>126.43341064453125</v>
      </c>
      <c r="D811">
        <v>78.330284118652344</v>
      </c>
      <c r="E811">
        <v>130.07267761230469</v>
      </c>
      <c r="F811">
        <v>55.783920288085938</v>
      </c>
    </row>
    <row r="812" spans="1:6" x14ac:dyDescent="0.25">
      <c r="A812" s="72">
        <v>45142</v>
      </c>
      <c r="B812">
        <v>86.933135986328125</v>
      </c>
      <c r="C812">
        <v>129.83384704589844</v>
      </c>
      <c r="D812">
        <v>77.396156311035156</v>
      </c>
      <c r="E812">
        <v>128.95777893066406</v>
      </c>
      <c r="F812">
        <v>56.894142150878906</v>
      </c>
    </row>
    <row r="813" spans="1:6" x14ac:dyDescent="0.25">
      <c r="A813" s="72">
        <v>45145</v>
      </c>
      <c r="B813">
        <v>86.448066711425781</v>
      </c>
      <c r="C813">
        <v>125.94342803955078</v>
      </c>
      <c r="D813">
        <v>77.232925415039063</v>
      </c>
      <c r="E813">
        <v>130.07267761230469</v>
      </c>
      <c r="F813">
        <v>57.332393646240234</v>
      </c>
    </row>
    <row r="814" spans="1:6" x14ac:dyDescent="0.25">
      <c r="A814" s="72">
        <v>45146</v>
      </c>
      <c r="B814">
        <v>84.973472595214844</v>
      </c>
      <c r="C814">
        <v>125.32605743408203</v>
      </c>
      <c r="D814">
        <v>76.634346008300781</v>
      </c>
      <c r="E814">
        <v>128.74411010742188</v>
      </c>
      <c r="F814">
        <v>56.972057342529297</v>
      </c>
    </row>
    <row r="815" spans="1:6" x14ac:dyDescent="0.25">
      <c r="A815" s="72">
        <v>45147</v>
      </c>
      <c r="B815">
        <v>86.884628295898438</v>
      </c>
      <c r="C815">
        <v>126.44320678710938</v>
      </c>
      <c r="D815">
        <v>77.7861328125</v>
      </c>
      <c r="E815">
        <v>130.37928771972656</v>
      </c>
      <c r="F815">
        <v>57.030490875244141</v>
      </c>
    </row>
    <row r="816" spans="1:6" x14ac:dyDescent="0.25">
      <c r="A816" s="72">
        <v>45148</v>
      </c>
      <c r="B816">
        <v>86.797309875488281</v>
      </c>
      <c r="C816">
        <v>127.06056976318359</v>
      </c>
      <c r="D816">
        <v>76.326011657714844</v>
      </c>
      <c r="E816">
        <v>130.76950073242188</v>
      </c>
      <c r="F816">
        <v>59.319110870361328</v>
      </c>
    </row>
    <row r="817" spans="1:6" x14ac:dyDescent="0.25">
      <c r="A817" s="72">
        <v>45149</v>
      </c>
      <c r="B817">
        <v>85.963005065917969</v>
      </c>
      <c r="C817">
        <v>125.36524963378906</v>
      </c>
      <c r="D817">
        <v>75.001899719238281</v>
      </c>
      <c r="E817">
        <v>130.39788818359375</v>
      </c>
      <c r="F817">
        <v>61.091575622558594</v>
      </c>
    </row>
    <row r="818" spans="1:6" x14ac:dyDescent="0.25">
      <c r="A818" s="72">
        <v>45152</v>
      </c>
      <c r="B818">
        <v>85.807777404785156</v>
      </c>
      <c r="C818">
        <v>125.86502838134766</v>
      </c>
      <c r="D818">
        <v>72.961341857910156</v>
      </c>
      <c r="E818">
        <v>131.02964782714844</v>
      </c>
      <c r="F818">
        <v>61.549301147460938</v>
      </c>
    </row>
    <row r="819" spans="1:6" x14ac:dyDescent="0.25">
      <c r="A819" s="72">
        <v>45153</v>
      </c>
      <c r="B819">
        <v>86.884628295898438</v>
      </c>
      <c r="C819">
        <v>129.44184875488281</v>
      </c>
      <c r="D819">
        <v>72.380912780761719</v>
      </c>
      <c r="E819">
        <v>132.23745727539063</v>
      </c>
      <c r="F819">
        <v>64.276168823242188</v>
      </c>
    </row>
    <row r="820" spans="1:6" x14ac:dyDescent="0.25">
      <c r="A820" s="72">
        <v>45154</v>
      </c>
      <c r="B820">
        <v>88.136085510253906</v>
      </c>
      <c r="C820">
        <v>131.8917236328125</v>
      </c>
      <c r="D820">
        <v>73.351318359375</v>
      </c>
      <c r="E820">
        <v>133.73329162597656</v>
      </c>
      <c r="F820">
        <v>62.786128997802734</v>
      </c>
    </row>
    <row r="821" spans="1:6" x14ac:dyDescent="0.25">
      <c r="A821" s="72">
        <v>45155</v>
      </c>
      <c r="B821">
        <v>87.301780700683594</v>
      </c>
      <c r="C821">
        <v>130.235595703125</v>
      </c>
      <c r="D821">
        <v>73.469223022460938</v>
      </c>
      <c r="E821">
        <v>134.69027709960938</v>
      </c>
      <c r="F821">
        <v>59.796318054199219</v>
      </c>
    </row>
    <row r="822" spans="1:6" x14ac:dyDescent="0.25">
      <c r="A822" s="72">
        <v>45156</v>
      </c>
      <c r="B822">
        <v>86.157020568847656</v>
      </c>
      <c r="C822">
        <v>131.2547607421875</v>
      </c>
      <c r="D822">
        <v>74.004287719726563</v>
      </c>
      <c r="E822">
        <v>137.35676574707031</v>
      </c>
      <c r="F822">
        <v>57.566123962402344</v>
      </c>
    </row>
    <row r="823" spans="1:6" x14ac:dyDescent="0.25">
      <c r="A823" s="72">
        <v>45159</v>
      </c>
      <c r="B823">
        <v>85.846588134765625</v>
      </c>
      <c r="C823">
        <v>127.12916564941406</v>
      </c>
      <c r="D823">
        <v>74.475906372070313</v>
      </c>
      <c r="E823">
        <v>135.19197082519531</v>
      </c>
      <c r="F823">
        <v>57.235008239746094</v>
      </c>
    </row>
    <row r="824" spans="1:6" x14ac:dyDescent="0.25">
      <c r="A824" s="72">
        <v>45160</v>
      </c>
      <c r="B824">
        <v>85.982406616210938</v>
      </c>
      <c r="C824">
        <v>127.39374542236328</v>
      </c>
      <c r="D824">
        <v>75.827201843261719</v>
      </c>
      <c r="E824">
        <v>135.12693786621094</v>
      </c>
      <c r="F824">
        <v>58.734786987304688</v>
      </c>
    </row>
    <row r="825" spans="1:6" x14ac:dyDescent="0.25">
      <c r="A825" s="72">
        <v>45161</v>
      </c>
      <c r="B825">
        <v>86.855522155761719</v>
      </c>
      <c r="C825">
        <v>132.78349304199219</v>
      </c>
      <c r="D825">
        <v>76.498313903808594</v>
      </c>
      <c r="E825">
        <v>135.7215576171875</v>
      </c>
      <c r="F825">
        <v>59.085376739501953</v>
      </c>
    </row>
    <row r="826" spans="1:6" x14ac:dyDescent="0.25">
      <c r="A826" s="72">
        <v>45162</v>
      </c>
      <c r="B826">
        <v>86.079421997070313</v>
      </c>
      <c r="C826">
        <v>130.225830078125</v>
      </c>
      <c r="D826">
        <v>74.813613891601563</v>
      </c>
      <c r="E826">
        <v>134.40226745605469</v>
      </c>
      <c r="F826">
        <v>58.442619323730469</v>
      </c>
    </row>
    <row r="827" spans="1:6" x14ac:dyDescent="0.25">
      <c r="A827" s="72">
        <v>45163</v>
      </c>
      <c r="B827">
        <v>84.255577087402344</v>
      </c>
      <c r="C827">
        <v>134.63558959960938</v>
      </c>
      <c r="D827">
        <v>74.712898254394531</v>
      </c>
      <c r="E827">
        <v>135.647216796875</v>
      </c>
      <c r="F827">
        <v>58.325752258300781</v>
      </c>
    </row>
    <row r="828" spans="1:6" x14ac:dyDescent="0.25">
      <c r="A828" s="72">
        <v>45166</v>
      </c>
      <c r="B828">
        <v>85.274215698242188</v>
      </c>
      <c r="C828">
        <v>134.73359680175781</v>
      </c>
      <c r="D828">
        <v>74.987579345703125</v>
      </c>
      <c r="E828">
        <v>135.2198486328125</v>
      </c>
      <c r="F828">
        <v>57.371349334716797</v>
      </c>
    </row>
    <row r="829" spans="1:6" x14ac:dyDescent="0.25">
      <c r="A829" s="72">
        <v>45167</v>
      </c>
      <c r="B829">
        <v>85.5943603515625</v>
      </c>
      <c r="C829">
        <v>135.32156372070313</v>
      </c>
      <c r="D829">
        <v>77.771003723144531</v>
      </c>
      <c r="E829">
        <v>137.18023681640625</v>
      </c>
      <c r="F829">
        <v>58.432880401611328</v>
      </c>
    </row>
    <row r="830" spans="1:6" x14ac:dyDescent="0.25">
      <c r="A830" s="72">
        <v>45168</v>
      </c>
      <c r="B830">
        <v>85.351829528808594</v>
      </c>
      <c r="C830">
        <v>137.34027099609375</v>
      </c>
      <c r="D830">
        <v>75.921493530273438</v>
      </c>
      <c r="E830">
        <v>138.72251892089844</v>
      </c>
      <c r="F830">
        <v>58.997730255126953</v>
      </c>
    </row>
    <row r="831" spans="1:6" x14ac:dyDescent="0.25">
      <c r="A831" s="72">
        <v>45169</v>
      </c>
      <c r="B831">
        <v>81.384002685546875</v>
      </c>
      <c r="C831">
        <v>132.07794189453125</v>
      </c>
      <c r="D831">
        <v>74.621330261230469</v>
      </c>
      <c r="E831">
        <v>134.43940734863281</v>
      </c>
      <c r="F831">
        <v>58.647136688232422</v>
      </c>
    </row>
    <row r="832" spans="1:6" x14ac:dyDescent="0.25">
      <c r="A832" s="72">
        <v>45170</v>
      </c>
      <c r="B832">
        <v>82.092193603515625</v>
      </c>
      <c r="C832">
        <v>129.36344909667969</v>
      </c>
      <c r="D832">
        <v>75.637649536132813</v>
      </c>
      <c r="E832">
        <v>134.45799255371094</v>
      </c>
      <c r="F832">
        <v>58.335491180419922</v>
      </c>
    </row>
    <row r="833" spans="1:6" x14ac:dyDescent="0.25">
      <c r="A833" s="72">
        <v>45173</v>
      </c>
      <c r="B833">
        <v>81.490715026855469</v>
      </c>
      <c r="C833">
        <v>133.195068359375</v>
      </c>
      <c r="D833">
        <v>75.536933898925781</v>
      </c>
      <c r="E833">
        <v>131.10397338867188</v>
      </c>
      <c r="F833">
        <v>58.471836090087891</v>
      </c>
    </row>
    <row r="834" spans="1:6" x14ac:dyDescent="0.25">
      <c r="A834" s="72">
        <v>45174</v>
      </c>
      <c r="B834">
        <v>81.403404235839844</v>
      </c>
      <c r="C834">
        <v>133.77323913574219</v>
      </c>
      <c r="D834">
        <v>74.731216430664063</v>
      </c>
      <c r="E834">
        <v>134.78318786621094</v>
      </c>
      <c r="F834">
        <v>58.725044250488281</v>
      </c>
    </row>
    <row r="835" spans="1:6" x14ac:dyDescent="0.25">
      <c r="A835" s="72">
        <v>45175</v>
      </c>
      <c r="B835">
        <v>81.946678161621094</v>
      </c>
      <c r="C835">
        <v>131.03916931152344</v>
      </c>
      <c r="D835">
        <v>76.241958618164063</v>
      </c>
      <c r="E835">
        <v>136.02815246582031</v>
      </c>
      <c r="F835">
        <v>58.637393951416016</v>
      </c>
    </row>
    <row r="836" spans="1:6" x14ac:dyDescent="0.25">
      <c r="A836" s="72">
        <v>45176</v>
      </c>
      <c r="B836">
        <v>80.666107177734375</v>
      </c>
      <c r="C836">
        <v>134.63558959960938</v>
      </c>
      <c r="D836">
        <v>75.582710266113281</v>
      </c>
      <c r="E836">
        <v>134.50445556640625</v>
      </c>
      <c r="F836">
        <v>58.871124267578125</v>
      </c>
    </row>
    <row r="837" spans="1:6" x14ac:dyDescent="0.25">
      <c r="A837" s="72">
        <v>45177</v>
      </c>
      <c r="B837">
        <v>81.180274963378906</v>
      </c>
      <c r="C837">
        <v>133.98883056640625</v>
      </c>
      <c r="D837">
        <v>75.628494262695313</v>
      </c>
      <c r="E837">
        <v>133.08294677734375</v>
      </c>
      <c r="F837">
        <v>58.763999938964844</v>
      </c>
    </row>
    <row r="838" spans="1:6" x14ac:dyDescent="0.25">
      <c r="A838" s="72">
        <v>45180</v>
      </c>
      <c r="B838">
        <v>82.092193603515625</v>
      </c>
      <c r="C838">
        <v>134.11622619628906</v>
      </c>
      <c r="D838">
        <v>75.738365173339844</v>
      </c>
      <c r="E838">
        <v>132.33036804199219</v>
      </c>
      <c r="F838">
        <v>59.221725463867188</v>
      </c>
    </row>
    <row r="839" spans="1:6" x14ac:dyDescent="0.25">
      <c r="A839" s="72">
        <v>45181</v>
      </c>
      <c r="B839">
        <v>81.393699645996094</v>
      </c>
      <c r="C839">
        <v>136.11531066894531</v>
      </c>
      <c r="D839">
        <v>74.419914245605469</v>
      </c>
      <c r="E839">
        <v>127.60131072998047</v>
      </c>
      <c r="F839">
        <v>58.617916107177734</v>
      </c>
    </row>
    <row r="840" spans="1:6" x14ac:dyDescent="0.25">
      <c r="A840" s="72">
        <v>45182</v>
      </c>
      <c r="B840">
        <v>80.132530212402344</v>
      </c>
      <c r="C840">
        <v>134.13581848144531</v>
      </c>
      <c r="D840">
        <v>74.777000427246094</v>
      </c>
      <c r="E840">
        <v>127.61989593505859</v>
      </c>
      <c r="F840">
        <v>58.432880401611328</v>
      </c>
    </row>
    <row r="841" spans="1:6" x14ac:dyDescent="0.25">
      <c r="A841" s="72">
        <v>45183</v>
      </c>
      <c r="B841">
        <v>79.734786987304688</v>
      </c>
      <c r="C841">
        <v>134.99818420410156</v>
      </c>
      <c r="D841">
        <v>74.291709899902344</v>
      </c>
      <c r="E841">
        <v>128.23309326171875</v>
      </c>
      <c r="F841">
        <v>58.822433471679688</v>
      </c>
    </row>
    <row r="842" spans="1:6" x14ac:dyDescent="0.25">
      <c r="A842" s="72">
        <v>45184</v>
      </c>
      <c r="B842">
        <v>79.453445434570313</v>
      </c>
      <c r="C842">
        <v>142.09304809570313</v>
      </c>
      <c r="D842">
        <v>73.678268432617188</v>
      </c>
      <c r="E842">
        <v>126.19837951660156</v>
      </c>
      <c r="F842">
        <v>58.296535491943359</v>
      </c>
    </row>
    <row r="843" spans="1:6" x14ac:dyDescent="0.25">
      <c r="A843" s="72">
        <v>45187</v>
      </c>
      <c r="B843">
        <v>80.161636352539063</v>
      </c>
      <c r="C843">
        <v>135.41957092285156</v>
      </c>
      <c r="D843">
        <v>73.595863342285156</v>
      </c>
      <c r="E843">
        <v>126.81158447265625</v>
      </c>
      <c r="F843">
        <v>58.939296722412109</v>
      </c>
    </row>
    <row r="844" spans="1:6" x14ac:dyDescent="0.25">
      <c r="A844" s="72">
        <v>45188</v>
      </c>
      <c r="B844">
        <v>80.22955322265625</v>
      </c>
      <c r="C844">
        <v>137.85963439941406</v>
      </c>
      <c r="D844">
        <v>75.784133911132813</v>
      </c>
      <c r="E844">
        <v>129.38516235351563</v>
      </c>
      <c r="F844">
        <v>60.0787353515625</v>
      </c>
    </row>
    <row r="845" spans="1:6" x14ac:dyDescent="0.25">
      <c r="A845" s="72">
        <v>45189</v>
      </c>
      <c r="B845">
        <v>80.860137939453125</v>
      </c>
      <c r="C845">
        <v>140.62310791015625</v>
      </c>
      <c r="D845">
        <v>77.358985900878906</v>
      </c>
      <c r="E845">
        <v>129.05998229980469</v>
      </c>
      <c r="F845">
        <v>60.585155487060547</v>
      </c>
    </row>
    <row r="846" spans="1:6" x14ac:dyDescent="0.25">
      <c r="A846" s="72">
        <v>45190</v>
      </c>
      <c r="B846">
        <v>79.598968505859375</v>
      </c>
      <c r="C846">
        <v>135.39015197753906</v>
      </c>
      <c r="D846">
        <v>75.637649536132813</v>
      </c>
      <c r="E846">
        <v>126.66292572021484</v>
      </c>
      <c r="F846">
        <v>60.400123596191406</v>
      </c>
    </row>
    <row r="847" spans="1:6" x14ac:dyDescent="0.25">
      <c r="A847" s="72">
        <v>45191</v>
      </c>
      <c r="B847">
        <v>79.977317810058594</v>
      </c>
      <c r="C847">
        <v>134.30242919921875</v>
      </c>
      <c r="D847">
        <v>74.447372436523438</v>
      </c>
      <c r="E847">
        <v>125.97539520263672</v>
      </c>
      <c r="F847">
        <v>62.386837005615234</v>
      </c>
    </row>
    <row r="848" spans="1:6" x14ac:dyDescent="0.25">
      <c r="A848" s="72">
        <v>45194</v>
      </c>
      <c r="B848">
        <v>80.539993286132813</v>
      </c>
      <c r="C848">
        <v>127.42315673828125</v>
      </c>
      <c r="D848">
        <v>74.712898254394531</v>
      </c>
      <c r="E848">
        <v>126.30986022949219</v>
      </c>
      <c r="F848">
        <v>62.5621337890625</v>
      </c>
    </row>
    <row r="849" spans="1:6" x14ac:dyDescent="0.25">
      <c r="A849" s="72">
        <v>45195</v>
      </c>
      <c r="B849">
        <v>82.528755187988281</v>
      </c>
      <c r="C849">
        <v>127.12916564941406</v>
      </c>
      <c r="D849">
        <v>73.605026245117188</v>
      </c>
      <c r="E849">
        <v>125.33432006835938</v>
      </c>
      <c r="F849">
        <v>61.744075775146484</v>
      </c>
    </row>
    <row r="850" spans="1:6" x14ac:dyDescent="0.25">
      <c r="A850" s="72">
        <v>45196</v>
      </c>
      <c r="B850">
        <v>83.236953735351563</v>
      </c>
      <c r="C850">
        <v>127.20756530761719</v>
      </c>
      <c r="D850">
        <v>74.987579345703125</v>
      </c>
      <c r="E850">
        <v>124.37736511230469</v>
      </c>
      <c r="F850">
        <v>61.685646057128906</v>
      </c>
    </row>
    <row r="851" spans="1:6" x14ac:dyDescent="0.25">
      <c r="A851" s="72">
        <v>45197</v>
      </c>
      <c r="B851">
        <v>82.286224365234375</v>
      </c>
      <c r="C851">
        <v>126.57059478759766</v>
      </c>
      <c r="D851">
        <v>75.38128662109375</v>
      </c>
      <c r="E851">
        <v>127.87075042724609</v>
      </c>
      <c r="F851">
        <v>61.763553619384766</v>
      </c>
    </row>
    <row r="852" spans="1:6" x14ac:dyDescent="0.25">
      <c r="A852" s="72">
        <v>45198</v>
      </c>
      <c r="B852">
        <v>81.277290344238281</v>
      </c>
      <c r="C852">
        <v>123.99331665039063</v>
      </c>
      <c r="D852">
        <v>75.40875244140625</v>
      </c>
      <c r="E852">
        <v>126.46781921386719</v>
      </c>
      <c r="F852">
        <v>61.938850402832031</v>
      </c>
    </row>
    <row r="853" spans="1:6" x14ac:dyDescent="0.25">
      <c r="A853" s="72">
        <v>45201</v>
      </c>
      <c r="B853">
        <v>80.510879516601563</v>
      </c>
      <c r="C853">
        <v>123.05255889892578</v>
      </c>
      <c r="D853">
        <v>76.379295349121094</v>
      </c>
      <c r="E853">
        <v>127.62915802001953</v>
      </c>
      <c r="F853">
        <v>61.34478759765625</v>
      </c>
    </row>
    <row r="854" spans="1:6" x14ac:dyDescent="0.25">
      <c r="A854" s="72">
        <v>45202</v>
      </c>
      <c r="B854">
        <v>79.443740844726563</v>
      </c>
      <c r="C854">
        <v>123.60134124755859</v>
      </c>
      <c r="D854">
        <v>73.476837158203125</v>
      </c>
      <c r="E854">
        <v>127.22039794921875</v>
      </c>
      <c r="F854">
        <v>61.705123901367188</v>
      </c>
    </row>
    <row r="855" spans="1:6" x14ac:dyDescent="0.25">
      <c r="A855" s="72">
        <v>45203</v>
      </c>
      <c r="B855">
        <v>78.851966857910156</v>
      </c>
      <c r="C855">
        <v>121.19065856933594</v>
      </c>
      <c r="D855">
        <v>73.421913146972656</v>
      </c>
      <c r="E855">
        <v>127.07171630859375</v>
      </c>
      <c r="F855">
        <v>62.532920837402344</v>
      </c>
    </row>
    <row r="856" spans="1:6" x14ac:dyDescent="0.25">
      <c r="A856" s="72">
        <v>45204</v>
      </c>
      <c r="B856">
        <v>80.336257934570313</v>
      </c>
      <c r="C856">
        <v>126.12962341308594</v>
      </c>
      <c r="D856">
        <v>71.178672790527344</v>
      </c>
      <c r="E856">
        <v>128.07514953613281</v>
      </c>
      <c r="F856">
        <v>61.929115295410156</v>
      </c>
    </row>
    <row r="857" spans="1:6" x14ac:dyDescent="0.25">
      <c r="A857" s="72">
        <v>45205</v>
      </c>
      <c r="B857">
        <v>79.928810119628906</v>
      </c>
      <c r="C857">
        <v>126.58039093017578</v>
      </c>
      <c r="D857">
        <v>72.561241149902344</v>
      </c>
      <c r="E857">
        <v>126.41207122802734</v>
      </c>
      <c r="F857">
        <v>62.240756988525391</v>
      </c>
    </row>
    <row r="858" spans="1:6" x14ac:dyDescent="0.25">
      <c r="A858" s="72">
        <v>45208</v>
      </c>
      <c r="B858">
        <v>79.036293029785156</v>
      </c>
      <c r="C858">
        <v>127.30557250976563</v>
      </c>
      <c r="D858">
        <v>70.675117492675781</v>
      </c>
      <c r="E858">
        <v>125.80815887451172</v>
      </c>
      <c r="F858">
        <v>61.656429290771484</v>
      </c>
    </row>
    <row r="859" spans="1:6" x14ac:dyDescent="0.25">
      <c r="A859" s="72">
        <v>45209</v>
      </c>
      <c r="B859">
        <v>79.841499328613281</v>
      </c>
      <c r="C859">
        <v>130.66679382324219</v>
      </c>
      <c r="D859">
        <v>71.883697509765625</v>
      </c>
      <c r="E859">
        <v>127.65704345703125</v>
      </c>
      <c r="F859">
        <v>63.204898834228516</v>
      </c>
    </row>
    <row r="860" spans="1:6" x14ac:dyDescent="0.25">
      <c r="A860" s="72">
        <v>45210</v>
      </c>
      <c r="B860">
        <v>77.425880432128906</v>
      </c>
      <c r="C860">
        <v>130.87258911132813</v>
      </c>
      <c r="D860">
        <v>71.782989501953125</v>
      </c>
      <c r="E860">
        <v>126.61647033691406</v>
      </c>
      <c r="F860">
        <v>62.14337158203125</v>
      </c>
    </row>
    <row r="861" spans="1:6" x14ac:dyDescent="0.25">
      <c r="A861" s="72">
        <v>45211</v>
      </c>
      <c r="B861">
        <v>76.562469482421875</v>
      </c>
      <c r="C861">
        <v>130.36299133300781</v>
      </c>
      <c r="D861">
        <v>70.290550231933594</v>
      </c>
      <c r="E861">
        <v>126.50498199462891</v>
      </c>
      <c r="F861">
        <v>60.7896728515625</v>
      </c>
    </row>
    <row r="862" spans="1:6" x14ac:dyDescent="0.25">
      <c r="A862" s="72">
        <v>45212</v>
      </c>
      <c r="B862">
        <v>75.883384704589844</v>
      </c>
      <c r="C862">
        <v>124.51268768310547</v>
      </c>
      <c r="D862">
        <v>70.427886962890625</v>
      </c>
      <c r="E862">
        <v>123.25316619873047</v>
      </c>
      <c r="F862">
        <v>59.406761169433594</v>
      </c>
    </row>
    <row r="863" spans="1:6" x14ac:dyDescent="0.25">
      <c r="A863" s="72">
        <v>45215</v>
      </c>
      <c r="B863">
        <v>76.261734008789063</v>
      </c>
      <c r="C863">
        <v>127.20756530761719</v>
      </c>
      <c r="D863">
        <v>70.79412841796875</v>
      </c>
      <c r="E863">
        <v>124.51673126220703</v>
      </c>
      <c r="F863">
        <v>60.302730560302734</v>
      </c>
    </row>
    <row r="864" spans="1:6" x14ac:dyDescent="0.25">
      <c r="A864" s="72">
        <v>45216</v>
      </c>
      <c r="B864">
        <v>76.125907897949219</v>
      </c>
      <c r="C864">
        <v>125.6396484375</v>
      </c>
      <c r="D864">
        <v>70.592697143554688</v>
      </c>
      <c r="E864">
        <v>125.39008331298828</v>
      </c>
      <c r="F864">
        <v>60.565677642822266</v>
      </c>
    </row>
    <row r="865" spans="1:6" x14ac:dyDescent="0.25">
      <c r="A865" s="72">
        <v>45217</v>
      </c>
      <c r="B865">
        <v>75.272193908691406</v>
      </c>
      <c r="C865">
        <v>128.77549743652344</v>
      </c>
      <c r="D865">
        <v>69.814437866210938</v>
      </c>
      <c r="E865">
        <v>123.04875946044922</v>
      </c>
      <c r="F865">
        <v>59.903438568115234</v>
      </c>
    </row>
    <row r="866" spans="1:6" x14ac:dyDescent="0.25">
      <c r="A866" s="72">
        <v>45218</v>
      </c>
      <c r="B866">
        <v>72.846870422363281</v>
      </c>
      <c r="C866">
        <v>125.82582092285156</v>
      </c>
      <c r="D866">
        <v>69.594696044921875</v>
      </c>
      <c r="E866">
        <v>120.35440063476563</v>
      </c>
      <c r="F866">
        <v>60.039787292480469</v>
      </c>
    </row>
    <row r="867" spans="1:6" x14ac:dyDescent="0.25">
      <c r="A867" s="72">
        <v>45219</v>
      </c>
      <c r="B867">
        <v>71.197654724121094</v>
      </c>
      <c r="C867">
        <v>126.61959075927734</v>
      </c>
      <c r="D867">
        <v>68.303695678710938</v>
      </c>
      <c r="E867">
        <v>117.74365234375</v>
      </c>
      <c r="F867">
        <v>58.169929504394531</v>
      </c>
    </row>
    <row r="868" spans="1:6" x14ac:dyDescent="0.25">
      <c r="A868" s="72">
        <v>45222</v>
      </c>
      <c r="B868">
        <v>72.662559509277344</v>
      </c>
      <c r="C868">
        <v>122.06281280517578</v>
      </c>
      <c r="D868">
        <v>68.431892395019531</v>
      </c>
      <c r="E868">
        <v>120.53092193603516</v>
      </c>
      <c r="F868">
        <v>57.702468872070313</v>
      </c>
    </row>
    <row r="869" spans="1:6" x14ac:dyDescent="0.25">
      <c r="A869" s="72">
        <v>45223</v>
      </c>
      <c r="B869">
        <v>71.556617736816406</v>
      </c>
      <c r="C869">
        <v>117.89802551269531</v>
      </c>
      <c r="D869">
        <v>68.514289855957031</v>
      </c>
      <c r="E869">
        <v>123.65267181396484</v>
      </c>
      <c r="F869">
        <v>57.478477478027344</v>
      </c>
    </row>
    <row r="870" spans="1:6" x14ac:dyDescent="0.25">
      <c r="A870" s="72">
        <v>45224</v>
      </c>
      <c r="B870">
        <v>73.040908813476563</v>
      </c>
      <c r="C870">
        <v>117.57463836669922</v>
      </c>
      <c r="D870">
        <v>70.327178955078125</v>
      </c>
      <c r="E870">
        <v>125.33432006835938</v>
      </c>
      <c r="F870">
        <v>60.185867309570313</v>
      </c>
    </row>
    <row r="871" spans="1:6" x14ac:dyDescent="0.25">
      <c r="A871" s="72">
        <v>45225</v>
      </c>
      <c r="B871">
        <v>72.856575012207031</v>
      </c>
      <c r="C871">
        <v>118.15280914306641</v>
      </c>
      <c r="D871">
        <v>70.977249145507813</v>
      </c>
      <c r="E871">
        <v>128.46534729003906</v>
      </c>
      <c r="F871">
        <v>61.03314208984375</v>
      </c>
    </row>
    <row r="872" spans="1:6" x14ac:dyDescent="0.25">
      <c r="A872" s="72">
        <v>45226</v>
      </c>
      <c r="B872">
        <v>70.450668334960938</v>
      </c>
      <c r="C872">
        <v>117.33945465087891</v>
      </c>
      <c r="D872">
        <v>69.677093505859375</v>
      </c>
      <c r="E872">
        <v>126.33773040771484</v>
      </c>
      <c r="F872">
        <v>60.351428985595703</v>
      </c>
    </row>
    <row r="873" spans="1:6" x14ac:dyDescent="0.25">
      <c r="A873" s="72">
        <v>45229</v>
      </c>
      <c r="B873">
        <v>67.918632507324219</v>
      </c>
      <c r="C873">
        <v>114.43878936767578</v>
      </c>
      <c r="D873">
        <v>69.292549133300781</v>
      </c>
      <c r="E873">
        <v>129.951904296875</v>
      </c>
      <c r="F873">
        <v>60.088478088378906</v>
      </c>
    </row>
    <row r="874" spans="1:6" x14ac:dyDescent="0.25">
      <c r="A874" s="72">
        <v>45230</v>
      </c>
      <c r="B874">
        <v>70.993934631347656</v>
      </c>
      <c r="C874">
        <v>113.24324798583984</v>
      </c>
      <c r="D874">
        <v>68.550918579101563</v>
      </c>
      <c r="E874">
        <v>130.03727722167969</v>
      </c>
      <c r="F874">
        <v>58.277061462402344</v>
      </c>
    </row>
    <row r="875" spans="1:6" x14ac:dyDescent="0.25">
      <c r="A875" s="72">
        <v>45231</v>
      </c>
      <c r="B875">
        <v>73.584175109863281</v>
      </c>
      <c r="C875">
        <v>114.64457702636719</v>
      </c>
      <c r="D875">
        <v>67.223289489746094</v>
      </c>
      <c r="E875">
        <v>129.80007934570313</v>
      </c>
      <c r="F875">
        <v>58.608177185058594</v>
      </c>
    </row>
    <row r="876" spans="1:6" x14ac:dyDescent="0.25">
      <c r="A876" s="72">
        <v>45233</v>
      </c>
      <c r="B876">
        <v>76.319931030273438</v>
      </c>
      <c r="C876">
        <v>125.32605743408203</v>
      </c>
      <c r="D876">
        <v>68.752349853515625</v>
      </c>
      <c r="E876">
        <v>134.87599182128906</v>
      </c>
      <c r="F876">
        <v>61.042881011962891</v>
      </c>
    </row>
    <row r="877" spans="1:6" x14ac:dyDescent="0.25">
      <c r="A877" s="72">
        <v>45236</v>
      </c>
      <c r="B877">
        <v>79.792991638183594</v>
      </c>
      <c r="C877">
        <v>130.80398559570313</v>
      </c>
      <c r="D877">
        <v>69.741188049316406</v>
      </c>
      <c r="E877">
        <v>136.6217041015625</v>
      </c>
      <c r="F877">
        <v>60.604633331298828</v>
      </c>
    </row>
    <row r="878" spans="1:6" x14ac:dyDescent="0.25">
      <c r="A878" s="72">
        <v>45237</v>
      </c>
      <c r="B878">
        <v>78.366905212402344</v>
      </c>
      <c r="C878">
        <v>125.42404937744141</v>
      </c>
      <c r="D878">
        <v>69.12774658203125</v>
      </c>
      <c r="E878">
        <v>137.23838806152344</v>
      </c>
      <c r="F878">
        <v>59.854743957519531</v>
      </c>
    </row>
    <row r="879" spans="1:6" x14ac:dyDescent="0.25">
      <c r="A879" s="72">
        <v>45238</v>
      </c>
      <c r="B879">
        <v>77.649009704589844</v>
      </c>
      <c r="C879">
        <v>125.40444946289063</v>
      </c>
      <c r="D879">
        <v>68.624160766601563</v>
      </c>
      <c r="E879">
        <v>138.07330322265625</v>
      </c>
      <c r="F879">
        <v>59.221725463867188</v>
      </c>
    </row>
    <row r="880" spans="1:6" x14ac:dyDescent="0.25">
      <c r="A880" s="72">
        <v>45239</v>
      </c>
      <c r="B880">
        <v>78.279594421386719</v>
      </c>
      <c r="C880">
        <v>122.99376678466797</v>
      </c>
      <c r="D880">
        <v>68.990402221679688</v>
      </c>
      <c r="E880">
        <v>139.5628662109375</v>
      </c>
      <c r="F880">
        <v>59.552841186523438</v>
      </c>
    </row>
    <row r="881" spans="1:6" x14ac:dyDescent="0.25">
      <c r="A881" s="72">
        <v>45240</v>
      </c>
      <c r="B881">
        <v>78.095268249511719</v>
      </c>
      <c r="C881">
        <v>122.10201263427734</v>
      </c>
      <c r="D881">
        <v>67.241607666015625</v>
      </c>
      <c r="E881">
        <v>138.29151916503906</v>
      </c>
      <c r="F881">
        <v>59.406761169433594</v>
      </c>
    </row>
    <row r="882" spans="1:6" x14ac:dyDescent="0.25">
      <c r="A882" s="72">
        <v>45243</v>
      </c>
      <c r="B882">
        <v>77.454978942871094</v>
      </c>
      <c r="C882">
        <v>124.60089874267578</v>
      </c>
      <c r="D882">
        <v>67.204994201660156</v>
      </c>
      <c r="E882">
        <v>138.71847534179688</v>
      </c>
      <c r="F882">
        <v>59.474929809570313</v>
      </c>
    </row>
    <row r="883" spans="1:6" x14ac:dyDescent="0.25">
      <c r="A883" s="72">
        <v>45244</v>
      </c>
      <c r="B883">
        <v>80.219856262207031</v>
      </c>
      <c r="C883">
        <v>130.31401062011719</v>
      </c>
      <c r="D883">
        <v>69.677093505859375</v>
      </c>
      <c r="E883">
        <v>139.98031616210938</v>
      </c>
      <c r="F883">
        <v>59.552841186523438</v>
      </c>
    </row>
    <row r="884" spans="1:6" x14ac:dyDescent="0.25">
      <c r="A884" s="72">
        <v>45245</v>
      </c>
      <c r="B884">
        <v>80.763114929199219</v>
      </c>
      <c r="C884">
        <v>131.80354309082031</v>
      </c>
      <c r="D884">
        <v>71.187850952148438</v>
      </c>
      <c r="E884">
        <v>138.31048583984375</v>
      </c>
      <c r="F884">
        <v>60.263778686523438</v>
      </c>
    </row>
    <row r="885" spans="1:6" x14ac:dyDescent="0.25">
      <c r="A885" s="72">
        <v>45246</v>
      </c>
      <c r="B885">
        <v>81.209381103515625</v>
      </c>
      <c r="C885">
        <v>135.05699157714844</v>
      </c>
      <c r="D885">
        <v>70.885696411132813</v>
      </c>
      <c r="E885">
        <v>139.27822875976563</v>
      </c>
      <c r="F885">
        <v>58.647136688232422</v>
      </c>
    </row>
    <row r="886" spans="1:6" x14ac:dyDescent="0.25">
      <c r="A886" s="72">
        <v>45247</v>
      </c>
      <c r="B886">
        <v>80.94744873046875</v>
      </c>
      <c r="C886">
        <v>134.1064453125</v>
      </c>
      <c r="D886">
        <v>71.590705871582031</v>
      </c>
      <c r="E886">
        <v>137.91203308105469</v>
      </c>
      <c r="F886">
        <v>58.793212890625</v>
      </c>
    </row>
    <row r="887" spans="1:6" x14ac:dyDescent="0.25">
      <c r="A887" s="72">
        <v>45251</v>
      </c>
      <c r="B887">
        <v>82.441444396972656</v>
      </c>
      <c r="C887">
        <v>134.65518188476563</v>
      </c>
      <c r="D887">
        <v>71.6090087890625</v>
      </c>
      <c r="E887">
        <v>138.04486083984375</v>
      </c>
      <c r="F887">
        <v>58.910083770751953</v>
      </c>
    </row>
    <row r="888" spans="1:6" x14ac:dyDescent="0.25">
      <c r="A888" s="72">
        <v>45252</v>
      </c>
      <c r="B888">
        <v>82.460838317871094</v>
      </c>
      <c r="C888">
        <v>133.48905944824219</v>
      </c>
      <c r="D888">
        <v>71.819610595703125</v>
      </c>
      <c r="E888">
        <v>139.58184814453125</v>
      </c>
      <c r="F888">
        <v>59.095119476318359</v>
      </c>
    </row>
    <row r="889" spans="1:6" x14ac:dyDescent="0.25">
      <c r="A889" s="72">
        <v>45253</v>
      </c>
      <c r="B889">
        <v>82.810089111328125</v>
      </c>
      <c r="C889">
        <v>135.595947265625</v>
      </c>
      <c r="D889">
        <v>71.801055908203125</v>
      </c>
      <c r="E889">
        <v>139.27822875976563</v>
      </c>
      <c r="F889">
        <v>58.656871795654297</v>
      </c>
    </row>
    <row r="890" spans="1:6" x14ac:dyDescent="0.25">
      <c r="A890" s="72">
        <v>45254</v>
      </c>
      <c r="B890">
        <v>83.314552307128906</v>
      </c>
      <c r="C890">
        <v>134.94918823242188</v>
      </c>
      <c r="D890">
        <v>71.680496215820313</v>
      </c>
      <c r="E890">
        <v>142.58940124511719</v>
      </c>
      <c r="F890">
        <v>58.160194396972656</v>
      </c>
    </row>
    <row r="891" spans="1:6" x14ac:dyDescent="0.25">
      <c r="A891" s="72">
        <v>45257</v>
      </c>
      <c r="B891">
        <v>83.411567687988281</v>
      </c>
      <c r="C891">
        <v>137.30107116699219</v>
      </c>
      <c r="D891">
        <v>68.443794250488281</v>
      </c>
      <c r="E891">
        <v>139.21182250976563</v>
      </c>
      <c r="F891">
        <v>58.949031829833984</v>
      </c>
    </row>
    <row r="892" spans="1:6" x14ac:dyDescent="0.25">
      <c r="A892" s="72">
        <v>45258</v>
      </c>
      <c r="B892">
        <v>83.43096923828125</v>
      </c>
      <c r="C892">
        <v>138.28103637695313</v>
      </c>
      <c r="D892">
        <v>67.516372680664063</v>
      </c>
      <c r="E892">
        <v>138.367431640625</v>
      </c>
      <c r="F892">
        <v>58.773735046386719</v>
      </c>
    </row>
    <row r="893" spans="1:6" x14ac:dyDescent="0.25">
      <c r="A893" s="72">
        <v>45259</v>
      </c>
      <c r="B893">
        <v>83.935432434082031</v>
      </c>
      <c r="C893">
        <v>146.03244018554688</v>
      </c>
      <c r="D893">
        <v>70.001869201660156</v>
      </c>
      <c r="E893">
        <v>137.56098937988281</v>
      </c>
      <c r="F893">
        <v>59.260677337646484</v>
      </c>
    </row>
    <row r="894" spans="1:6" x14ac:dyDescent="0.25">
      <c r="A894" s="72">
        <v>45260</v>
      </c>
      <c r="B894">
        <v>84.6727294921875</v>
      </c>
      <c r="C894">
        <v>154.38163757324219</v>
      </c>
      <c r="D894">
        <v>73.999038696289063</v>
      </c>
      <c r="E894">
        <v>139.34463500976563</v>
      </c>
      <c r="F894">
        <v>59.202247619628906</v>
      </c>
    </row>
    <row r="895" spans="1:6" x14ac:dyDescent="0.25">
      <c r="A895" s="72">
        <v>45261</v>
      </c>
      <c r="B895">
        <v>84.663032531738281</v>
      </c>
      <c r="C895">
        <v>153.87205505371094</v>
      </c>
      <c r="D895">
        <v>73.618804931640625</v>
      </c>
      <c r="E895">
        <v>139.9044189453125</v>
      </c>
      <c r="F895">
        <v>58.208889007568359</v>
      </c>
    </row>
    <row r="896" spans="1:6" x14ac:dyDescent="0.25">
      <c r="A896" s="72">
        <v>45264</v>
      </c>
      <c r="B896">
        <v>84.798851013183594</v>
      </c>
      <c r="C896">
        <v>154.32284545898438</v>
      </c>
      <c r="D896">
        <v>74.648239135742188</v>
      </c>
      <c r="E896">
        <v>142.532470703125</v>
      </c>
      <c r="F896">
        <v>58.695827484130859</v>
      </c>
    </row>
    <row r="897" spans="1:6" x14ac:dyDescent="0.25">
      <c r="A897" s="72">
        <v>45265</v>
      </c>
      <c r="B897">
        <v>86.273445129394531</v>
      </c>
      <c r="C897">
        <v>159.90855407714844</v>
      </c>
      <c r="D897">
        <v>73.090171813964844</v>
      </c>
      <c r="E897">
        <v>143.91767883300781</v>
      </c>
      <c r="F897">
        <v>58.910083770751953</v>
      </c>
    </row>
    <row r="898" spans="1:6" x14ac:dyDescent="0.25">
      <c r="A898" s="72">
        <v>45266</v>
      </c>
      <c r="B898">
        <v>86.341354370117188</v>
      </c>
      <c r="C898">
        <v>157.59588623046875</v>
      </c>
      <c r="D898">
        <v>73.108734130859375</v>
      </c>
      <c r="E898">
        <v>145.59700012207031</v>
      </c>
      <c r="F898">
        <v>59.864486694335938</v>
      </c>
    </row>
    <row r="899" spans="1:6" x14ac:dyDescent="0.25">
      <c r="A899" s="72">
        <v>45267</v>
      </c>
      <c r="B899">
        <v>86.283149719238281</v>
      </c>
      <c r="C899">
        <v>161.43730163574219</v>
      </c>
      <c r="D899">
        <v>73.943397521972656</v>
      </c>
      <c r="E899">
        <v>146.07138061523438</v>
      </c>
      <c r="F899">
        <v>60.283256530761719</v>
      </c>
    </row>
    <row r="900" spans="1:6" x14ac:dyDescent="0.25">
      <c r="A900" s="72">
        <v>45268</v>
      </c>
      <c r="B900">
        <v>84.556327819824219</v>
      </c>
      <c r="C900">
        <v>157.34109497070313</v>
      </c>
      <c r="D900">
        <v>74.286544799804688</v>
      </c>
      <c r="E900">
        <v>145.76776123046875</v>
      </c>
      <c r="F900">
        <v>60.361164093017578</v>
      </c>
    </row>
    <row r="901" spans="1:6" x14ac:dyDescent="0.25">
      <c r="A901" s="72">
        <v>45271</v>
      </c>
      <c r="B901">
        <v>84.449607849121094</v>
      </c>
      <c r="C901">
        <v>160.02615356445313</v>
      </c>
      <c r="D901">
        <v>73.989768981933594</v>
      </c>
      <c r="E901">
        <v>148.83226013183594</v>
      </c>
      <c r="F901">
        <v>59.864486694335938</v>
      </c>
    </row>
    <row r="902" spans="1:6" x14ac:dyDescent="0.25">
      <c r="A902" s="72">
        <v>45273</v>
      </c>
      <c r="B902">
        <v>85.74957275390625</v>
      </c>
      <c r="C902">
        <v>163.57356262207031</v>
      </c>
      <c r="D902">
        <v>75.306716918945313</v>
      </c>
      <c r="E902">
        <v>153.00682067871094</v>
      </c>
      <c r="F902">
        <v>59.9910888671875</v>
      </c>
    </row>
    <row r="903" spans="1:6" x14ac:dyDescent="0.25">
      <c r="A903" s="72">
        <v>45274</v>
      </c>
      <c r="B903">
        <v>85.507049560546875</v>
      </c>
      <c r="C903">
        <v>166.76821899414063</v>
      </c>
      <c r="D903">
        <v>78.932937622070313</v>
      </c>
      <c r="E903">
        <v>156.73544311523438</v>
      </c>
      <c r="F903">
        <v>60.312469482421875</v>
      </c>
    </row>
    <row r="904" spans="1:6" x14ac:dyDescent="0.25">
      <c r="A904" s="72">
        <v>45275</v>
      </c>
      <c r="B904">
        <v>85.895095825195313</v>
      </c>
      <c r="C904">
        <v>177.30270385742188</v>
      </c>
      <c r="D904">
        <v>81.993431091308594</v>
      </c>
      <c r="E904">
        <v>157.96884155273438</v>
      </c>
      <c r="F904">
        <v>59.621013641357422</v>
      </c>
    </row>
    <row r="905" spans="1:6" x14ac:dyDescent="0.25">
      <c r="A905" s="72">
        <v>45278</v>
      </c>
      <c r="B905">
        <v>86.583885192871094</v>
      </c>
      <c r="C905">
        <v>175.95571899414063</v>
      </c>
      <c r="D905">
        <v>82.586997985839844</v>
      </c>
      <c r="E905">
        <v>159.50582885742188</v>
      </c>
      <c r="F905">
        <v>60.565677642822266</v>
      </c>
    </row>
    <row r="906" spans="1:6" x14ac:dyDescent="0.25">
      <c r="A906" s="72">
        <v>45279</v>
      </c>
      <c r="B906">
        <v>84.692138671875</v>
      </c>
      <c r="C906">
        <v>175.98521423339844</v>
      </c>
      <c r="D906">
        <v>83.9039306640625</v>
      </c>
      <c r="E906">
        <v>159.84739685058594</v>
      </c>
      <c r="F906">
        <v>61.403217315673828</v>
      </c>
    </row>
    <row r="907" spans="1:6" x14ac:dyDescent="0.25">
      <c r="A907" s="72">
        <v>45280</v>
      </c>
      <c r="B907">
        <v>84.139167785644531</v>
      </c>
      <c r="C907">
        <v>173.20272827148438</v>
      </c>
      <c r="D907">
        <v>81.325691223144531</v>
      </c>
      <c r="E907">
        <v>156.30850219726563</v>
      </c>
      <c r="F907">
        <v>61.3642578125</v>
      </c>
    </row>
    <row r="908" spans="1:6" x14ac:dyDescent="0.25">
      <c r="A908" s="72">
        <v>45281</v>
      </c>
      <c r="B908">
        <v>85.526451110839844</v>
      </c>
      <c r="C908">
        <v>177.47967529296875</v>
      </c>
      <c r="D908">
        <v>83.013595581054688</v>
      </c>
      <c r="E908">
        <v>155.14152526855469</v>
      </c>
      <c r="F908">
        <v>62.698478698730469</v>
      </c>
    </row>
    <row r="909" spans="1:6" x14ac:dyDescent="0.25">
      <c r="A909" s="72">
        <v>45282</v>
      </c>
      <c r="B909">
        <v>86.011512756347656</v>
      </c>
      <c r="C909">
        <v>178.07943725585938</v>
      </c>
      <c r="D909">
        <v>85.87005615234375</v>
      </c>
      <c r="E909">
        <v>153.60452270507813</v>
      </c>
      <c r="F909">
        <v>63.156204223632813</v>
      </c>
    </row>
    <row r="910" spans="1:6" x14ac:dyDescent="0.25">
      <c r="A910" s="72">
        <v>45286</v>
      </c>
      <c r="B910">
        <v>85.604057312011719</v>
      </c>
      <c r="C910">
        <v>180.38017272949219</v>
      </c>
      <c r="D910">
        <v>85.842239379882813</v>
      </c>
      <c r="E910">
        <v>153.87966918945313</v>
      </c>
      <c r="F910">
        <v>62.776390075683594</v>
      </c>
    </row>
    <row r="911" spans="1:6" x14ac:dyDescent="0.25">
      <c r="A911" s="72">
        <v>45287</v>
      </c>
      <c r="B911">
        <v>85.060783386230469</v>
      </c>
      <c r="C911">
        <v>180.63581848144531</v>
      </c>
      <c r="D911">
        <v>86.96441650390625</v>
      </c>
      <c r="E911">
        <v>153.70889282226563</v>
      </c>
      <c r="F911">
        <v>62.435531616210938</v>
      </c>
    </row>
    <row r="912" spans="1:6" x14ac:dyDescent="0.25">
      <c r="A912" s="72">
        <v>45288</v>
      </c>
      <c r="B912">
        <v>84.721237182617188</v>
      </c>
      <c r="C912">
        <v>185.10942077636719</v>
      </c>
      <c r="D912">
        <v>87.149894714355469</v>
      </c>
      <c r="E912">
        <v>152.89295959472656</v>
      </c>
      <c r="F912">
        <v>62.318668365478516</v>
      </c>
    </row>
    <row r="913" spans="1:6" x14ac:dyDescent="0.25">
      <c r="A913" s="72">
        <v>45289</v>
      </c>
      <c r="B913">
        <v>83.295150756835938</v>
      </c>
      <c r="C913">
        <v>186.04347229003906</v>
      </c>
      <c r="D913">
        <v>87.530136108398438</v>
      </c>
      <c r="E913">
        <v>152.96885681152344</v>
      </c>
      <c r="F913">
        <v>62.669261932373047</v>
      </c>
    </row>
    <row r="914" spans="1:6" x14ac:dyDescent="0.25">
      <c r="A914" s="72">
        <v>45293</v>
      </c>
      <c r="B914">
        <v>84.391395568847656</v>
      </c>
      <c r="C914">
        <v>183.37895202636719</v>
      </c>
      <c r="D914">
        <v>86.686195373535156</v>
      </c>
      <c r="E914">
        <v>150.41668701171875</v>
      </c>
      <c r="F914">
        <v>61.714859008789063</v>
      </c>
    </row>
    <row r="915" spans="1:6" x14ac:dyDescent="0.25">
      <c r="A915" s="72">
        <v>45294</v>
      </c>
      <c r="B915">
        <v>82.150398254394531</v>
      </c>
      <c r="C915">
        <v>176.85043334960938</v>
      </c>
      <c r="D915">
        <v>83.477310180664063</v>
      </c>
      <c r="E915">
        <v>148.38633728027344</v>
      </c>
      <c r="F915">
        <v>62.269969940185547</v>
      </c>
    </row>
    <row r="916" spans="1:6" x14ac:dyDescent="0.25">
      <c r="A916" s="72">
        <v>45295</v>
      </c>
      <c r="B916">
        <v>82.237709045410156</v>
      </c>
      <c r="C916">
        <v>175.19863891601563</v>
      </c>
      <c r="D916">
        <v>82.030525207519531</v>
      </c>
      <c r="E916">
        <v>146.35598754882813</v>
      </c>
      <c r="F916">
        <v>60.8773193359375</v>
      </c>
    </row>
    <row r="917" spans="1:6" x14ac:dyDescent="0.25">
      <c r="A917" s="72">
        <v>45296</v>
      </c>
      <c r="B917">
        <v>85.701065063476563</v>
      </c>
      <c r="C917">
        <v>179.73124694824219</v>
      </c>
      <c r="D917">
        <v>84.395454406738281</v>
      </c>
      <c r="E917">
        <v>145.13211059570313</v>
      </c>
      <c r="F917">
        <v>61.237659454345703</v>
      </c>
    </row>
    <row r="918" spans="1:6" x14ac:dyDescent="0.25">
      <c r="A918" s="72">
        <v>45299</v>
      </c>
      <c r="B918">
        <v>83.537689208984375</v>
      </c>
      <c r="C918">
        <v>180.47848510742188</v>
      </c>
      <c r="D918">
        <v>85.193038940429688</v>
      </c>
      <c r="E918">
        <v>143.89869689941406</v>
      </c>
      <c r="F918">
        <v>60.984447479248047</v>
      </c>
    </row>
    <row r="919" spans="1:6" x14ac:dyDescent="0.25">
      <c r="A919" s="72">
        <v>45300</v>
      </c>
      <c r="B919">
        <v>81.907875061035156</v>
      </c>
      <c r="C919">
        <v>171.59025573730469</v>
      </c>
      <c r="D919">
        <v>81.492630004882813</v>
      </c>
      <c r="E919">
        <v>145.06565856933594</v>
      </c>
      <c r="F919">
        <v>60.215084075927734</v>
      </c>
    </row>
    <row r="920" spans="1:6" x14ac:dyDescent="0.25">
      <c r="A920" s="72">
        <v>45301</v>
      </c>
      <c r="B920">
        <v>81.616828918457031</v>
      </c>
      <c r="C920">
        <v>173.22238159179688</v>
      </c>
      <c r="D920">
        <v>80.2498779296875</v>
      </c>
      <c r="E920">
        <v>146.09033203125</v>
      </c>
      <c r="F920">
        <v>59.815788269042969</v>
      </c>
    </row>
    <row r="921" spans="1:6" x14ac:dyDescent="0.25">
      <c r="A921" s="72">
        <v>45302</v>
      </c>
      <c r="B921">
        <v>82.179512023925781</v>
      </c>
      <c r="C921">
        <v>173.18305969238281</v>
      </c>
      <c r="D921">
        <v>78.7845458984375</v>
      </c>
      <c r="E921">
        <v>144.09796142578125</v>
      </c>
      <c r="F921">
        <v>59.767093658447266</v>
      </c>
    </row>
    <row r="922" spans="1:6" x14ac:dyDescent="0.25">
      <c r="A922" s="72">
        <v>45303</v>
      </c>
      <c r="B922">
        <v>82.945907592773438</v>
      </c>
      <c r="C922">
        <v>170.69552612304688</v>
      </c>
      <c r="D922">
        <v>79.786163330078125</v>
      </c>
      <c r="E922">
        <v>148.95559692382813</v>
      </c>
      <c r="F922">
        <v>60.273513793945313</v>
      </c>
    </row>
    <row r="923" spans="1:6" x14ac:dyDescent="0.25">
      <c r="A923" s="72">
        <v>45306</v>
      </c>
      <c r="B923">
        <v>82.208610534667969</v>
      </c>
      <c r="C923">
        <v>166.55619812011719</v>
      </c>
      <c r="D923">
        <v>80.481735229492188</v>
      </c>
      <c r="E923">
        <v>147.80758666992188</v>
      </c>
      <c r="F923">
        <v>59.689186096191406</v>
      </c>
    </row>
    <row r="924" spans="1:6" x14ac:dyDescent="0.25">
      <c r="A924" s="72">
        <v>45307</v>
      </c>
      <c r="B924">
        <v>84.410797119140625</v>
      </c>
      <c r="C924">
        <v>165.04205322265625</v>
      </c>
      <c r="D924">
        <v>77.903488159179688</v>
      </c>
      <c r="E924">
        <v>149.27818298339844</v>
      </c>
      <c r="F924">
        <v>59.698925018310547</v>
      </c>
    </row>
    <row r="925" spans="1:6" x14ac:dyDescent="0.25">
      <c r="A925" s="72">
        <v>45308</v>
      </c>
      <c r="B925">
        <v>83.333961486816406</v>
      </c>
      <c r="C925">
        <v>159.5458984375</v>
      </c>
      <c r="D925">
        <v>77.523246765136719</v>
      </c>
      <c r="E925">
        <v>148.35787963867188</v>
      </c>
      <c r="F925">
        <v>60.672805786132813</v>
      </c>
    </row>
    <row r="926" spans="1:6" x14ac:dyDescent="0.25">
      <c r="A926" s="72">
        <v>45309</v>
      </c>
      <c r="B926">
        <v>81.975776672363281</v>
      </c>
      <c r="C926">
        <v>150.71662902832031</v>
      </c>
      <c r="D926">
        <v>77.597450256347656</v>
      </c>
      <c r="E926">
        <v>148.39584350585938</v>
      </c>
      <c r="F926">
        <v>62.455009460449219</v>
      </c>
    </row>
    <row r="927" spans="1:6" x14ac:dyDescent="0.25">
      <c r="A927" s="72">
        <v>45310</v>
      </c>
      <c r="B927">
        <v>81.733245849609375</v>
      </c>
      <c r="C927">
        <v>156.07516479492188</v>
      </c>
      <c r="D927">
        <v>78.7845458984375</v>
      </c>
      <c r="E927">
        <v>147.77912902832031</v>
      </c>
      <c r="F927">
        <v>62.396575927734375</v>
      </c>
    </row>
    <row r="928" spans="1:6" x14ac:dyDescent="0.25">
      <c r="A928" s="72">
        <v>45313</v>
      </c>
      <c r="B928">
        <v>75.970687866210938</v>
      </c>
      <c r="C928">
        <v>150.7952880859375</v>
      </c>
      <c r="D928">
        <v>76.252685546875</v>
      </c>
      <c r="E928">
        <v>146.36549377441406</v>
      </c>
      <c r="F928">
        <v>62.708217620849609</v>
      </c>
    </row>
    <row r="929" spans="1:6" x14ac:dyDescent="0.25">
      <c r="A929" s="72">
        <v>45314</v>
      </c>
      <c r="B929">
        <v>75.728157043457031</v>
      </c>
      <c r="C929">
        <v>156.26194763183594</v>
      </c>
      <c r="D929">
        <v>78.756721496582031</v>
      </c>
      <c r="E929">
        <v>148.92715454101563</v>
      </c>
      <c r="F929">
        <v>62.318668365478516</v>
      </c>
    </row>
    <row r="930" spans="1:6" x14ac:dyDescent="0.25">
      <c r="A930" s="72">
        <v>45315</v>
      </c>
      <c r="B930">
        <v>75.087875366210938</v>
      </c>
      <c r="C930">
        <v>160.29313659667969</v>
      </c>
      <c r="D930">
        <v>80.963996887207031</v>
      </c>
      <c r="E930">
        <v>146.82089233398438</v>
      </c>
      <c r="F930">
        <v>63.302288055419922</v>
      </c>
    </row>
    <row r="931" spans="1:6" x14ac:dyDescent="0.25">
      <c r="A931" s="72">
        <v>45316</v>
      </c>
      <c r="B931">
        <v>74.641616821289063</v>
      </c>
      <c r="C931">
        <v>158.75933837890625</v>
      </c>
      <c r="D931">
        <v>81.158760070800781</v>
      </c>
      <c r="E931">
        <v>148.53814697265625</v>
      </c>
      <c r="F931">
        <v>63.263332366943359</v>
      </c>
    </row>
    <row r="932" spans="1:6" x14ac:dyDescent="0.25">
      <c r="A932" s="72">
        <v>45317</v>
      </c>
      <c r="B932">
        <v>76.678886413574219</v>
      </c>
      <c r="C932">
        <v>162.77084350585938</v>
      </c>
      <c r="D932">
        <v>81.798667907714844</v>
      </c>
      <c r="E932">
        <v>149.40151977539063</v>
      </c>
      <c r="F932">
        <v>65.026054382324219</v>
      </c>
    </row>
    <row r="933" spans="1:6" x14ac:dyDescent="0.25">
      <c r="A933" s="72">
        <v>45320</v>
      </c>
      <c r="B933">
        <v>77.163948059082031</v>
      </c>
      <c r="C933">
        <v>165.24853515625</v>
      </c>
      <c r="D933">
        <v>83.078506469726563</v>
      </c>
      <c r="E933">
        <v>151.36544799804688</v>
      </c>
      <c r="F933">
        <v>66.223930358886719</v>
      </c>
    </row>
    <row r="934" spans="1:6" x14ac:dyDescent="0.25">
      <c r="A934" s="72">
        <v>45321</v>
      </c>
      <c r="B934">
        <v>75.272193908691406</v>
      </c>
      <c r="C934">
        <v>163.20344543457031</v>
      </c>
      <c r="D934">
        <v>82.271659851074219</v>
      </c>
      <c r="E934">
        <v>152.02009582519531</v>
      </c>
      <c r="F934">
        <v>65.629859924316406</v>
      </c>
    </row>
    <row r="935" spans="1:6" x14ac:dyDescent="0.25">
      <c r="A935" s="72">
        <v>45322</v>
      </c>
      <c r="B935">
        <v>75.922187805175781</v>
      </c>
      <c r="C935">
        <v>158.47418212890625</v>
      </c>
      <c r="D935">
        <v>82.280937194824219</v>
      </c>
      <c r="E935">
        <v>155.19845581054688</v>
      </c>
      <c r="F935">
        <v>65.766204833984375</v>
      </c>
    </row>
    <row r="936" spans="1:6" x14ac:dyDescent="0.25">
      <c r="A936" s="72">
        <v>45323</v>
      </c>
      <c r="B936">
        <v>76.174407958984375</v>
      </c>
      <c r="C936">
        <v>152.41761779785156</v>
      </c>
      <c r="D936">
        <v>84.5809326171875</v>
      </c>
      <c r="E936">
        <v>158.95555114746094</v>
      </c>
      <c r="F936">
        <v>66.516098022460938</v>
      </c>
    </row>
    <row r="937" spans="1:6" x14ac:dyDescent="0.25">
      <c r="A937" s="72">
        <v>45324</v>
      </c>
      <c r="B937">
        <v>75.572944641113281</v>
      </c>
      <c r="C937">
        <v>152.62406921386719</v>
      </c>
      <c r="D937">
        <v>82.726097106933594</v>
      </c>
      <c r="E937">
        <v>166.19459533691406</v>
      </c>
      <c r="F937">
        <v>65.026054382324219</v>
      </c>
    </row>
    <row r="938" spans="1:6" x14ac:dyDescent="0.25">
      <c r="A938" s="72">
        <v>45328</v>
      </c>
      <c r="B938">
        <v>78.9683837890625</v>
      </c>
      <c r="C938">
        <v>158.59217834472656</v>
      </c>
      <c r="D938">
        <v>82.7724609375</v>
      </c>
      <c r="E938">
        <v>158.67092895507813</v>
      </c>
      <c r="F938">
        <v>65.337692260742188</v>
      </c>
    </row>
    <row r="939" spans="1:6" x14ac:dyDescent="0.25">
      <c r="A939" s="72">
        <v>45329</v>
      </c>
      <c r="B939">
        <v>77.086334228515625</v>
      </c>
      <c r="C939">
        <v>150.83462524414063</v>
      </c>
      <c r="D939">
        <v>83.375297546386719</v>
      </c>
      <c r="E939">
        <v>157.98782348632813</v>
      </c>
      <c r="F939">
        <v>65.707778930664063</v>
      </c>
    </row>
    <row r="940" spans="1:6" x14ac:dyDescent="0.25">
      <c r="A940" s="72">
        <v>45330</v>
      </c>
      <c r="B940">
        <v>77.193046569824219</v>
      </c>
      <c r="C940">
        <v>151.21807861328125</v>
      </c>
      <c r="D940">
        <v>80.778511047363281</v>
      </c>
      <c r="E940">
        <v>159.22120666503906</v>
      </c>
      <c r="F940">
        <v>64.354080200195313</v>
      </c>
    </row>
    <row r="941" spans="1:6" x14ac:dyDescent="0.25">
      <c r="A941" s="72">
        <v>45331</v>
      </c>
      <c r="B941">
        <v>76.222923278808594</v>
      </c>
      <c r="C941">
        <v>148.54374694824219</v>
      </c>
      <c r="D941">
        <v>79.211166381835938</v>
      </c>
      <c r="E941">
        <v>157.97833251953125</v>
      </c>
      <c r="F941">
        <v>64.841018676757813</v>
      </c>
    </row>
    <row r="942" spans="1:6" x14ac:dyDescent="0.25">
      <c r="A942" s="72">
        <v>45334</v>
      </c>
      <c r="B942">
        <v>76.45574951171875</v>
      </c>
      <c r="C942">
        <v>149.4384765625</v>
      </c>
      <c r="D942">
        <v>79.971656799316406</v>
      </c>
      <c r="E942">
        <v>158.76579284667969</v>
      </c>
      <c r="F942">
        <v>63.935310363769531</v>
      </c>
    </row>
    <row r="943" spans="1:6" x14ac:dyDescent="0.25">
      <c r="A943" s="72">
        <v>45335</v>
      </c>
      <c r="B943">
        <v>75.699050903320313</v>
      </c>
      <c r="C943">
        <v>147.01976013183594</v>
      </c>
      <c r="D943">
        <v>78.571243286132813</v>
      </c>
      <c r="E943">
        <v>158.57603454589844</v>
      </c>
      <c r="F943">
        <v>63.380195617675781</v>
      </c>
    </row>
    <row r="944" spans="1:6" x14ac:dyDescent="0.25">
      <c r="A944" s="72">
        <v>45336</v>
      </c>
      <c r="B944">
        <v>75.340110778808594</v>
      </c>
      <c r="C944">
        <v>151.32624816894531</v>
      </c>
      <c r="D944">
        <v>79.387374877929688</v>
      </c>
      <c r="E944">
        <v>158.99349975585938</v>
      </c>
      <c r="F944">
        <v>63.350982666015625</v>
      </c>
    </row>
    <row r="945" spans="1:6" x14ac:dyDescent="0.25">
      <c r="A945" s="72">
        <v>45337</v>
      </c>
      <c r="B945">
        <v>76.329635620117188</v>
      </c>
      <c r="C945">
        <v>147.19676208496094</v>
      </c>
      <c r="D945">
        <v>79.758331298828125</v>
      </c>
      <c r="E945">
        <v>162.579833984375</v>
      </c>
      <c r="F945">
        <v>65.006576538085938</v>
      </c>
    </row>
    <row r="946" spans="1:6" x14ac:dyDescent="0.25">
      <c r="A946" s="72">
        <v>45338</v>
      </c>
      <c r="B946">
        <v>75.301307678222656</v>
      </c>
      <c r="C946">
        <v>147.15742492675781</v>
      </c>
      <c r="D946">
        <v>80.361175537109375</v>
      </c>
      <c r="E946">
        <v>162.72213745117188</v>
      </c>
      <c r="F946">
        <v>65.698036193847656</v>
      </c>
    </row>
    <row r="947" spans="1:6" x14ac:dyDescent="0.25">
      <c r="A947" s="72">
        <v>45341</v>
      </c>
      <c r="B947">
        <v>76.775894165039063</v>
      </c>
      <c r="C947">
        <v>150.05789184570313</v>
      </c>
      <c r="D947">
        <v>81.613189697265625</v>
      </c>
      <c r="E947">
        <v>168.94602966308594</v>
      </c>
      <c r="F947">
        <v>65.581169128417969</v>
      </c>
    </row>
    <row r="948" spans="1:6" x14ac:dyDescent="0.25">
      <c r="A948" s="72">
        <v>45342</v>
      </c>
      <c r="B948">
        <v>73.836410522460938</v>
      </c>
      <c r="C948">
        <v>151.73919677734375</v>
      </c>
      <c r="D948">
        <v>80.472450256347656</v>
      </c>
      <c r="E948">
        <v>162.91189575195313</v>
      </c>
      <c r="F948">
        <v>66.126548767089844</v>
      </c>
    </row>
    <row r="949" spans="1:6" x14ac:dyDescent="0.25">
      <c r="A949" s="72">
        <v>45343</v>
      </c>
      <c r="B949">
        <v>72.51702880859375</v>
      </c>
      <c r="C949">
        <v>145.22048950195313</v>
      </c>
      <c r="D949">
        <v>79.860366821289063</v>
      </c>
      <c r="E949">
        <v>162.94036865234375</v>
      </c>
      <c r="F949">
        <v>65.250053405761719</v>
      </c>
    </row>
    <row r="950" spans="1:6" x14ac:dyDescent="0.25">
      <c r="A950" s="72">
        <v>45344</v>
      </c>
      <c r="B950">
        <v>70.693199157714844</v>
      </c>
      <c r="C950">
        <v>145.49578857421875</v>
      </c>
      <c r="D950">
        <v>79.804710388183594</v>
      </c>
      <c r="E950">
        <v>163.81321716308594</v>
      </c>
      <c r="F950">
        <v>63.555500030517578</v>
      </c>
    </row>
    <row r="951" spans="1:6" x14ac:dyDescent="0.25">
      <c r="A951" s="72">
        <v>45345</v>
      </c>
      <c r="B951">
        <v>71.430488586425781</v>
      </c>
      <c r="C951">
        <v>145.12217712402344</v>
      </c>
      <c r="D951">
        <v>79.238998413085938</v>
      </c>
      <c r="E951">
        <v>160.95744323730469</v>
      </c>
      <c r="F951">
        <v>62.951690673828125</v>
      </c>
    </row>
    <row r="952" spans="1:6" x14ac:dyDescent="0.25">
      <c r="A952" s="72">
        <v>45348</v>
      </c>
      <c r="B952">
        <v>70.508865356445313</v>
      </c>
      <c r="C952">
        <v>144.79771423339844</v>
      </c>
      <c r="D952">
        <v>78.812370300292969</v>
      </c>
      <c r="E952">
        <v>160.25535583496094</v>
      </c>
      <c r="F952">
        <v>63.760013580322266</v>
      </c>
    </row>
    <row r="953" spans="1:6" x14ac:dyDescent="0.25">
      <c r="A953" s="72">
        <v>45349</v>
      </c>
      <c r="B953">
        <v>71.10064697265625</v>
      </c>
      <c r="C953">
        <v>148.47491455078125</v>
      </c>
      <c r="D953">
        <v>79.266815185546875</v>
      </c>
      <c r="E953">
        <v>161.95362854003906</v>
      </c>
      <c r="F953">
        <v>64.217735290527344</v>
      </c>
    </row>
    <row r="954" spans="1:6" x14ac:dyDescent="0.25">
      <c r="A954" s="72">
        <v>45350</v>
      </c>
      <c r="B954">
        <v>70.120819091796875</v>
      </c>
      <c r="C954">
        <v>144.75837707519531</v>
      </c>
      <c r="D954">
        <v>76.465980529785156</v>
      </c>
      <c r="E954">
        <v>156.68800354003906</v>
      </c>
      <c r="F954">
        <v>63.088035583496094</v>
      </c>
    </row>
    <row r="955" spans="1:6" x14ac:dyDescent="0.25">
      <c r="A955" s="72">
        <v>45351</v>
      </c>
      <c r="B955">
        <v>69.179794311523438</v>
      </c>
      <c r="C955">
        <v>145.15165710449219</v>
      </c>
      <c r="D955">
        <v>77.833297729492188</v>
      </c>
      <c r="E955">
        <v>157.5513916015625</v>
      </c>
      <c r="F955">
        <v>63.808700561523438</v>
      </c>
    </row>
    <row r="956" spans="1:6" x14ac:dyDescent="0.25">
      <c r="A956" s="72">
        <v>45352</v>
      </c>
      <c r="B956">
        <v>69.441734313964844</v>
      </c>
      <c r="C956">
        <v>144.63056945800781</v>
      </c>
      <c r="D956">
        <v>77.833297729492188</v>
      </c>
      <c r="E956">
        <v>156.24209594726563</v>
      </c>
      <c r="F956">
        <v>64.938407897949219</v>
      </c>
    </row>
    <row r="957" spans="1:6" x14ac:dyDescent="0.25">
      <c r="A957" s="72">
        <v>45355</v>
      </c>
      <c r="B957">
        <v>69.577552795410156</v>
      </c>
      <c r="C957">
        <v>143.57852172851563</v>
      </c>
      <c r="D957">
        <v>78.854080200195313</v>
      </c>
      <c r="E957">
        <v>154.36355590820313</v>
      </c>
      <c r="F957">
        <v>65.142921447753906</v>
      </c>
    </row>
    <row r="958" spans="1:6" x14ac:dyDescent="0.25">
      <c r="A958" s="72">
        <v>45356</v>
      </c>
      <c r="B958">
        <v>70.314849853515625</v>
      </c>
      <c r="C958">
        <v>145.42697143554688</v>
      </c>
      <c r="D958">
        <v>78.32965087890625</v>
      </c>
      <c r="E958">
        <v>156.147216796875</v>
      </c>
      <c r="F958">
        <v>65.922027587890625</v>
      </c>
    </row>
    <row r="959" spans="1:6" x14ac:dyDescent="0.25">
      <c r="A959" s="72">
        <v>45357</v>
      </c>
      <c r="B959">
        <v>69.752174377441406</v>
      </c>
      <c r="C959">
        <v>145.50563049316406</v>
      </c>
      <c r="D959">
        <v>76.887428283691406</v>
      </c>
      <c r="E959">
        <v>154.51535034179688</v>
      </c>
      <c r="F959">
        <v>65.68829345703125</v>
      </c>
    </row>
    <row r="960" spans="1:6" x14ac:dyDescent="0.25">
      <c r="A960" s="72">
        <v>45358</v>
      </c>
      <c r="B960">
        <v>69.84918212890625</v>
      </c>
      <c r="C960">
        <v>141.07133483886719</v>
      </c>
      <c r="D960">
        <v>78.516944885253906</v>
      </c>
      <c r="E960">
        <v>154.0599365234375</v>
      </c>
      <c r="F960">
        <v>65.941497802734375</v>
      </c>
    </row>
    <row r="961" spans="1:6" x14ac:dyDescent="0.25">
      <c r="A961" s="72">
        <v>45359</v>
      </c>
      <c r="B961">
        <v>69.548446655273438</v>
      </c>
      <c r="C961">
        <v>137.1483154296875</v>
      </c>
      <c r="D961">
        <v>79.041389465332031</v>
      </c>
      <c r="E961">
        <v>152.94039916992188</v>
      </c>
      <c r="F961">
        <v>65.240310668945313</v>
      </c>
    </row>
    <row r="962" spans="1:6" x14ac:dyDescent="0.25">
      <c r="A962" s="72">
        <v>45362</v>
      </c>
      <c r="B962">
        <v>69.829780578613281</v>
      </c>
      <c r="C962">
        <v>140.11761474609375</v>
      </c>
      <c r="D962">
        <v>79.228691101074219</v>
      </c>
      <c r="E962">
        <v>153.57606506347656</v>
      </c>
      <c r="F962">
        <v>65.912284851074219</v>
      </c>
    </row>
    <row r="963" spans="1:6" x14ac:dyDescent="0.25">
      <c r="A963" s="72">
        <v>45363</v>
      </c>
      <c r="B963">
        <v>69.674560546875</v>
      </c>
      <c r="C963">
        <v>140.93368530273438</v>
      </c>
      <c r="D963">
        <v>78.919654846191406</v>
      </c>
      <c r="E963">
        <v>156.63107299804688</v>
      </c>
      <c r="F963">
        <v>66.594001770019531</v>
      </c>
    </row>
    <row r="964" spans="1:6" x14ac:dyDescent="0.25">
      <c r="A964" s="72">
        <v>45364</v>
      </c>
      <c r="B964">
        <v>68.830543518066406</v>
      </c>
      <c r="C964">
        <v>144.05046081542969</v>
      </c>
      <c r="D964">
        <v>84.529342651367188</v>
      </c>
      <c r="E964">
        <v>158.21549987792969</v>
      </c>
      <c r="F964">
        <v>68.161949157714844</v>
      </c>
    </row>
    <row r="965" spans="1:6" x14ac:dyDescent="0.25">
      <c r="A965" s="72">
        <v>45365</v>
      </c>
      <c r="B965">
        <v>69.480537414550781</v>
      </c>
      <c r="C965">
        <v>147.54086303710938</v>
      </c>
      <c r="D965">
        <v>84.641716003417969</v>
      </c>
      <c r="E965">
        <v>158.20603942871094</v>
      </c>
      <c r="F965">
        <v>70.119453430175781</v>
      </c>
    </row>
    <row r="966" spans="1:6" x14ac:dyDescent="0.25">
      <c r="A966" s="72">
        <v>45366</v>
      </c>
      <c r="B966">
        <v>69.053680419921875</v>
      </c>
      <c r="C966">
        <v>140.59939575195313</v>
      </c>
      <c r="D966">
        <v>90.850784301757813</v>
      </c>
      <c r="E966">
        <v>155.85311889648438</v>
      </c>
      <c r="F966">
        <v>72.485984802246094</v>
      </c>
    </row>
    <row r="967" spans="1:6" x14ac:dyDescent="0.25">
      <c r="A967" s="72">
        <v>45370</v>
      </c>
      <c r="B967">
        <v>71.546905517578125</v>
      </c>
      <c r="C967">
        <v>141.23846435546875</v>
      </c>
      <c r="D967">
        <v>86.261871337890625</v>
      </c>
      <c r="E967">
        <v>153.65196228027344</v>
      </c>
      <c r="F967">
        <v>75.358932495117188</v>
      </c>
    </row>
    <row r="968" spans="1:6" x14ac:dyDescent="0.25">
      <c r="A968" s="72">
        <v>45371</v>
      </c>
      <c r="B968">
        <v>75.330406188964844</v>
      </c>
      <c r="C968">
        <v>148.140625</v>
      </c>
      <c r="D968">
        <v>89.108871459960938</v>
      </c>
      <c r="E968">
        <v>155.70130920410156</v>
      </c>
      <c r="F968">
        <v>76.527595520019531</v>
      </c>
    </row>
    <row r="969" spans="1:6" x14ac:dyDescent="0.25">
      <c r="A969" s="72">
        <v>45372</v>
      </c>
      <c r="B969">
        <v>74.040138244628906</v>
      </c>
      <c r="C969">
        <v>144.76821899414063</v>
      </c>
      <c r="D969">
        <v>90.485542297363281</v>
      </c>
      <c r="E969">
        <v>153.90815734863281</v>
      </c>
      <c r="F969">
        <v>76.897666931152344</v>
      </c>
    </row>
    <row r="970" spans="1:6" x14ac:dyDescent="0.25">
      <c r="A970" s="72">
        <v>45373</v>
      </c>
      <c r="B970">
        <v>71.673019409179688</v>
      </c>
      <c r="C970">
        <v>142.33967590332031</v>
      </c>
      <c r="D970">
        <v>91.731086730957031</v>
      </c>
      <c r="E970">
        <v>153.57606506347656</v>
      </c>
      <c r="F970">
        <v>77.21905517578125</v>
      </c>
    </row>
    <row r="971" spans="1:6" x14ac:dyDescent="0.25">
      <c r="A971" s="72">
        <v>45376</v>
      </c>
      <c r="B971">
        <v>75.37890625</v>
      </c>
      <c r="C971">
        <v>142.08403015136719</v>
      </c>
      <c r="D971">
        <v>91.890312194824219</v>
      </c>
      <c r="E971">
        <v>150.05618286132813</v>
      </c>
      <c r="F971">
        <v>76.926887512207031</v>
      </c>
    </row>
    <row r="972" spans="1:6" x14ac:dyDescent="0.25">
      <c r="A972" s="72">
        <v>45377</v>
      </c>
      <c r="B972">
        <v>76.834098815917969</v>
      </c>
      <c r="C972">
        <v>142.37899780273438</v>
      </c>
      <c r="D972">
        <v>91.787284851074219</v>
      </c>
      <c r="E972">
        <v>151.95370483398438</v>
      </c>
      <c r="F972">
        <v>80.247825622558594</v>
      </c>
    </row>
    <row r="973" spans="1:6" x14ac:dyDescent="0.25">
      <c r="A973" s="72">
        <v>45378</v>
      </c>
      <c r="B973">
        <v>76.349037170410156</v>
      </c>
      <c r="C973">
        <v>146.67564392089844</v>
      </c>
      <c r="D973">
        <v>92.058876037597656</v>
      </c>
      <c r="E973">
        <v>151.95370483398438</v>
      </c>
      <c r="F973">
        <v>79.809577941894531</v>
      </c>
    </row>
    <row r="974" spans="1:6" x14ac:dyDescent="0.25">
      <c r="A974" s="72">
        <v>45383</v>
      </c>
      <c r="B974">
        <v>75.136375427246094</v>
      </c>
      <c r="C974">
        <v>145.42697143554688</v>
      </c>
      <c r="D974">
        <v>93.641578674316406</v>
      </c>
      <c r="E974">
        <v>152.10549926757813</v>
      </c>
      <c r="F974">
        <v>80.53997802734375</v>
      </c>
    </row>
    <row r="975" spans="1:6" x14ac:dyDescent="0.25">
      <c r="A975" s="72">
        <v>45384</v>
      </c>
      <c r="B975">
        <v>74.243865966796875</v>
      </c>
      <c r="C975">
        <v>144.59123229980469</v>
      </c>
      <c r="D975">
        <v>92.845542907714844</v>
      </c>
      <c r="E975">
        <v>149.65769958496094</v>
      </c>
      <c r="F975">
        <v>80.267303466796875</v>
      </c>
    </row>
    <row r="976" spans="1:6" x14ac:dyDescent="0.25">
      <c r="A976" s="72">
        <v>45385</v>
      </c>
      <c r="B976">
        <v>71.750633239746094</v>
      </c>
      <c r="C976">
        <v>142.07420349121094</v>
      </c>
      <c r="D976">
        <v>95.589515686035156</v>
      </c>
      <c r="E976">
        <v>147.07707214355469</v>
      </c>
      <c r="F976">
        <v>79.264198303222656</v>
      </c>
    </row>
    <row r="977" spans="1:6" x14ac:dyDescent="0.25">
      <c r="A977" s="72">
        <v>45386</v>
      </c>
      <c r="B977">
        <v>69.781272888183594</v>
      </c>
      <c r="C977">
        <v>142.07420349121094</v>
      </c>
      <c r="D977">
        <v>95.626968383789063</v>
      </c>
      <c r="E977">
        <v>150.76774597167969</v>
      </c>
      <c r="F977">
        <v>76.936630249023438</v>
      </c>
    </row>
    <row r="978" spans="1:6" x14ac:dyDescent="0.25">
      <c r="A978" s="72">
        <v>45387</v>
      </c>
      <c r="B978">
        <v>71.333480834960938</v>
      </c>
      <c r="C978">
        <v>145.34831237792969</v>
      </c>
      <c r="D978">
        <v>97.116020202636719</v>
      </c>
      <c r="E978">
        <v>149.49639892578125</v>
      </c>
      <c r="F978">
        <v>77.180091857910156</v>
      </c>
    </row>
    <row r="979" spans="1:6" x14ac:dyDescent="0.25">
      <c r="A979" s="72">
        <v>45390</v>
      </c>
      <c r="B979">
        <v>69.975303649902344</v>
      </c>
      <c r="C979">
        <v>143.99147033691406</v>
      </c>
      <c r="D979">
        <v>98.960952758789063</v>
      </c>
      <c r="E979">
        <v>148.46224975585938</v>
      </c>
      <c r="F979">
        <v>76.956100463867188</v>
      </c>
    </row>
    <row r="980" spans="1:6" x14ac:dyDescent="0.25">
      <c r="A980" s="72">
        <v>45391</v>
      </c>
      <c r="B980">
        <v>68.597724914550781</v>
      </c>
      <c r="C980">
        <v>142.58549499511719</v>
      </c>
      <c r="D980">
        <v>101.98587799072266</v>
      </c>
      <c r="E980">
        <v>147.77912902832031</v>
      </c>
      <c r="F980">
        <v>74.209754943847656</v>
      </c>
    </row>
    <row r="981" spans="1:6" x14ac:dyDescent="0.25">
      <c r="A981" s="72">
        <v>45392</v>
      </c>
      <c r="B981">
        <v>67.094024658203125</v>
      </c>
      <c r="C981">
        <v>136.01760864257813</v>
      </c>
      <c r="D981">
        <v>99.710159301757813</v>
      </c>
      <c r="E981">
        <v>146.44137573242188</v>
      </c>
      <c r="F981">
        <v>73.674125671386719</v>
      </c>
    </row>
    <row r="982" spans="1:6" x14ac:dyDescent="0.25">
      <c r="A982" s="72">
        <v>45393</v>
      </c>
      <c r="B982">
        <v>67.123130798339844</v>
      </c>
      <c r="C982">
        <v>138.76078796386719</v>
      </c>
      <c r="D982">
        <v>98.736190795898438</v>
      </c>
      <c r="E982">
        <v>148.26301574707031</v>
      </c>
      <c r="F982">
        <v>74.287666320800781</v>
      </c>
    </row>
    <row r="983" spans="1:6" x14ac:dyDescent="0.25">
      <c r="A983" s="72">
        <v>45394</v>
      </c>
      <c r="B983">
        <v>66.64776611328125</v>
      </c>
      <c r="C983">
        <v>141.23846435546875</v>
      </c>
      <c r="D983">
        <v>96.750785827636719</v>
      </c>
      <c r="E983">
        <v>156.69068908691406</v>
      </c>
      <c r="F983">
        <v>71.804275512695313</v>
      </c>
    </row>
    <row r="984" spans="1:6" x14ac:dyDescent="0.25">
      <c r="A984" s="72">
        <v>45397</v>
      </c>
      <c r="B984">
        <v>64.979148864746094</v>
      </c>
      <c r="C984">
        <v>135.53584289550781</v>
      </c>
      <c r="D984">
        <v>97.490623474121094</v>
      </c>
      <c r="E984">
        <v>153.84597778320313</v>
      </c>
      <c r="F984">
        <v>72.320426940917969</v>
      </c>
    </row>
    <row r="985" spans="1:6" x14ac:dyDescent="0.25">
      <c r="A985" s="72">
        <v>45398</v>
      </c>
      <c r="B985">
        <v>65.658233642578125</v>
      </c>
      <c r="C985">
        <v>134.70994567871094</v>
      </c>
      <c r="D985">
        <v>97.734123229980469</v>
      </c>
      <c r="E985">
        <v>153.76856994628906</v>
      </c>
      <c r="F985">
        <v>72.865798950195313</v>
      </c>
    </row>
    <row r="986" spans="1:6" x14ac:dyDescent="0.25">
      <c r="A986" s="72">
        <v>45399</v>
      </c>
      <c r="B986">
        <v>64.14483642578125</v>
      </c>
      <c r="C986">
        <v>134.46412658691406</v>
      </c>
      <c r="D986">
        <v>96.132698059082031</v>
      </c>
      <c r="E986">
        <v>151.22381591796875</v>
      </c>
      <c r="F986">
        <v>73.157966613769531</v>
      </c>
    </row>
    <row r="987" spans="1:6" x14ac:dyDescent="0.25">
      <c r="A987" s="72">
        <v>45400</v>
      </c>
      <c r="B987">
        <v>64.979148864746094</v>
      </c>
      <c r="C987">
        <v>136.90252685546875</v>
      </c>
      <c r="D987">
        <v>97.396980285644531</v>
      </c>
      <c r="E987">
        <v>154.28138732910156</v>
      </c>
      <c r="F987">
        <v>72.038002014160156</v>
      </c>
    </row>
    <row r="988" spans="1:6" x14ac:dyDescent="0.25">
      <c r="A988" s="72">
        <v>45401</v>
      </c>
      <c r="B988">
        <v>66.938804626464844</v>
      </c>
      <c r="C988">
        <v>136.56820678710938</v>
      </c>
      <c r="D988">
        <v>96.507301330566406</v>
      </c>
      <c r="E988">
        <v>155.007080078125</v>
      </c>
      <c r="F988">
        <v>71.76531982421875</v>
      </c>
    </row>
    <row r="989" spans="1:6" x14ac:dyDescent="0.25">
      <c r="A989" s="72">
        <v>45404</v>
      </c>
      <c r="B989">
        <v>68.743240356445313</v>
      </c>
      <c r="C989">
        <v>138.56413269042969</v>
      </c>
      <c r="D989">
        <v>94.325233459472656</v>
      </c>
      <c r="E989">
        <v>157.66792297363281</v>
      </c>
      <c r="F989">
        <v>72.310684204101563</v>
      </c>
    </row>
    <row r="990" spans="1:6" x14ac:dyDescent="0.25">
      <c r="A990" s="72">
        <v>45405</v>
      </c>
      <c r="B990">
        <v>67.055221557617188</v>
      </c>
      <c r="C990">
        <v>138.8099365234375</v>
      </c>
      <c r="D990">
        <v>93.201416015625</v>
      </c>
      <c r="E990">
        <v>155.30702209472656</v>
      </c>
      <c r="F990">
        <v>74.901214599609375</v>
      </c>
    </row>
    <row r="991" spans="1:6" x14ac:dyDescent="0.25">
      <c r="A991" s="72">
        <v>45406</v>
      </c>
      <c r="B991">
        <v>67.191032409667969</v>
      </c>
      <c r="C991">
        <v>132.18309020996094</v>
      </c>
      <c r="D991">
        <v>93.978713989257813</v>
      </c>
      <c r="E991">
        <v>158.03561401367188</v>
      </c>
      <c r="F991">
        <v>72.320426940917969</v>
      </c>
    </row>
    <row r="992" spans="1:6" x14ac:dyDescent="0.25">
      <c r="A992" s="72">
        <v>45407</v>
      </c>
      <c r="B992">
        <v>68.2581787109375</v>
      </c>
      <c r="C992">
        <v>129.45957946777344</v>
      </c>
      <c r="D992">
        <v>96.750785827636719</v>
      </c>
      <c r="E992">
        <v>164.08302307128906</v>
      </c>
      <c r="F992">
        <v>72.505462646484375</v>
      </c>
    </row>
    <row r="993" spans="1:6" x14ac:dyDescent="0.25">
      <c r="A993" s="72">
        <v>45408</v>
      </c>
      <c r="B993">
        <v>66.638069152832031</v>
      </c>
      <c r="C993">
        <v>136.65670776367188</v>
      </c>
      <c r="D993">
        <v>99.916191101074219</v>
      </c>
      <c r="E993">
        <v>165.12800598144531</v>
      </c>
      <c r="F993">
        <v>71.54132080078125</v>
      </c>
    </row>
    <row r="994" spans="1:6" x14ac:dyDescent="0.25">
      <c r="A994" s="72">
        <v>45411</v>
      </c>
      <c r="B994">
        <v>68.025344848632813</v>
      </c>
      <c r="C994">
        <v>137.63993835449219</v>
      </c>
      <c r="D994">
        <v>101.9296875</v>
      </c>
      <c r="E994">
        <v>165.55375671386719</v>
      </c>
      <c r="F994">
        <v>71.064125061035156</v>
      </c>
    </row>
    <row r="995" spans="1:6" x14ac:dyDescent="0.25">
      <c r="A995" s="72">
        <v>45412</v>
      </c>
      <c r="B995">
        <v>69.480537414550781</v>
      </c>
      <c r="C995">
        <v>131.75047302246094</v>
      </c>
      <c r="D995">
        <v>99.138885498046875</v>
      </c>
      <c r="E995">
        <v>164.09268188476563</v>
      </c>
      <c r="F995">
        <v>69.827285766601563</v>
      </c>
    </row>
    <row r="996" spans="1:6" x14ac:dyDescent="0.25">
      <c r="A996" s="72">
        <v>45414</v>
      </c>
      <c r="B996">
        <v>70.431259155273438</v>
      </c>
      <c r="C996">
        <v>138.65263366699219</v>
      </c>
      <c r="D996">
        <v>98.324111938476563</v>
      </c>
      <c r="E996">
        <v>160.39651489257813</v>
      </c>
      <c r="F996">
        <v>70.216835021972656</v>
      </c>
    </row>
    <row r="997" spans="1:6" x14ac:dyDescent="0.25">
      <c r="A997" s="72">
        <v>45415</v>
      </c>
      <c r="B997">
        <v>67.908935546875</v>
      </c>
      <c r="C997">
        <v>139.62600708007813</v>
      </c>
      <c r="D997">
        <v>98.408401489257813</v>
      </c>
      <c r="E997">
        <v>161.79951477050781</v>
      </c>
      <c r="F997">
        <v>70.927780151367188</v>
      </c>
    </row>
    <row r="998" spans="1:6" x14ac:dyDescent="0.25">
      <c r="A998" s="72">
        <v>45418</v>
      </c>
      <c r="B998">
        <v>67.734306335449219</v>
      </c>
      <c r="C998">
        <v>143.27372741699219</v>
      </c>
      <c r="D998">
        <v>99.260635375976563</v>
      </c>
      <c r="E998">
        <v>158.78067016601563</v>
      </c>
      <c r="F998">
        <v>71.775054931640625</v>
      </c>
    </row>
    <row r="999" spans="1:6" x14ac:dyDescent="0.25">
      <c r="A999" s="72">
        <v>45419</v>
      </c>
      <c r="B999">
        <v>69.111885070800781</v>
      </c>
      <c r="C999">
        <v>143.70634460449219</v>
      </c>
      <c r="D999">
        <v>97.846519470214844</v>
      </c>
      <c r="E999">
        <v>162.99932861328125</v>
      </c>
      <c r="F999">
        <v>71.015426635742188</v>
      </c>
    </row>
    <row r="1000" spans="1:6" x14ac:dyDescent="0.25">
      <c r="A1000" s="72">
        <v>45420</v>
      </c>
      <c r="B1000">
        <v>68.61712646484375</v>
      </c>
      <c r="C1000">
        <v>143.96197509765625</v>
      </c>
      <c r="D1000">
        <v>95.261734008789063</v>
      </c>
      <c r="E1000">
        <v>162.47683715820313</v>
      </c>
      <c r="F1000">
        <v>71.599754333496094</v>
      </c>
    </row>
    <row r="1001" spans="1:6" x14ac:dyDescent="0.25">
      <c r="A1001" s="72">
        <v>45421</v>
      </c>
      <c r="B1001">
        <v>70.431259155273438</v>
      </c>
      <c r="C1001">
        <v>147.06892395019531</v>
      </c>
      <c r="D1001">
        <v>97.443801879882813</v>
      </c>
      <c r="E1001">
        <v>164.44102478027344</v>
      </c>
      <c r="F1001">
        <v>71.210205078125</v>
      </c>
    </row>
    <row r="1002" spans="1:6" x14ac:dyDescent="0.25">
      <c r="A1002" s="72">
        <v>45422</v>
      </c>
      <c r="B1002">
        <v>68.642463684082031</v>
      </c>
      <c r="C1002">
        <v>146.84278869628906</v>
      </c>
      <c r="D1002">
        <v>97.209678649902344</v>
      </c>
      <c r="E1002">
        <v>162.74774169921875</v>
      </c>
      <c r="F1002">
        <v>70.210174560546875</v>
      </c>
    </row>
    <row r="1003" spans="1:6" x14ac:dyDescent="0.25">
      <c r="A1003" s="72">
        <v>45425</v>
      </c>
      <c r="B1003">
        <v>69.153556823730469</v>
      </c>
      <c r="C1003">
        <v>145.61376953125</v>
      </c>
      <c r="D1003">
        <v>95.814277648925781</v>
      </c>
      <c r="E1003">
        <v>164.26686096191406</v>
      </c>
      <c r="F1003">
        <v>70.596321105957031</v>
      </c>
    </row>
    <row r="1004" spans="1:6" x14ac:dyDescent="0.25">
      <c r="A1004" s="72">
        <v>45426</v>
      </c>
      <c r="B1004">
        <v>68.465560913085938</v>
      </c>
      <c r="C1004">
        <v>141.19914245605469</v>
      </c>
      <c r="D1004">
        <v>96.94744873046875</v>
      </c>
      <c r="E1004">
        <v>163.87983703613281</v>
      </c>
      <c r="F1004">
        <v>69.764610290527344</v>
      </c>
    </row>
    <row r="1005" spans="1:6" x14ac:dyDescent="0.25">
      <c r="A1005" s="72">
        <v>45427</v>
      </c>
      <c r="B1005">
        <v>69.350120544433594</v>
      </c>
      <c r="C1005">
        <v>148.09146118164063</v>
      </c>
      <c r="D1005">
        <v>97.6966552734375</v>
      </c>
      <c r="E1005">
        <v>162.08010864257813</v>
      </c>
      <c r="F1005">
        <v>69.754707336425781</v>
      </c>
    </row>
    <row r="1006" spans="1:6" x14ac:dyDescent="0.25">
      <c r="A1006" s="72">
        <v>45428</v>
      </c>
      <c r="B1006">
        <v>70.234687805175781</v>
      </c>
      <c r="C1006">
        <v>146.38069152832031</v>
      </c>
      <c r="D1006">
        <v>98.792373657226563</v>
      </c>
      <c r="E1006">
        <v>158.45167541503906</v>
      </c>
      <c r="F1006">
        <v>69.962638854980469</v>
      </c>
    </row>
    <row r="1007" spans="1:6" x14ac:dyDescent="0.25">
      <c r="A1007" s="72">
        <v>45429</v>
      </c>
      <c r="B1007">
        <v>68.691612243652344</v>
      </c>
      <c r="C1007">
        <v>147.19676208496094</v>
      </c>
      <c r="D1007">
        <v>105.44158172607422</v>
      </c>
      <c r="E1007">
        <v>156.75839233398438</v>
      </c>
      <c r="F1007">
        <v>69.5269775390625</v>
      </c>
    </row>
    <row r="1008" spans="1:6" x14ac:dyDescent="0.25">
      <c r="A1008" s="72">
        <v>45432</v>
      </c>
      <c r="B1008">
        <v>68.622810363769531</v>
      </c>
      <c r="C1008">
        <v>141.21881103515625</v>
      </c>
      <c r="D1008">
        <v>107.67985534667969</v>
      </c>
      <c r="E1008">
        <v>155.82952880859375</v>
      </c>
      <c r="F1008">
        <v>69.3487548828125</v>
      </c>
    </row>
    <row r="1009" spans="1:6" x14ac:dyDescent="0.25">
      <c r="A1009" s="72">
        <v>45433</v>
      </c>
      <c r="B1009">
        <v>68.740760803222656</v>
      </c>
      <c r="C1009">
        <v>135.69316101074219</v>
      </c>
      <c r="D1009">
        <v>106.86509704589844</v>
      </c>
      <c r="E1009">
        <v>156.23590087890625</v>
      </c>
      <c r="F1009">
        <v>68.566551208496094</v>
      </c>
    </row>
    <row r="1010" spans="1:6" x14ac:dyDescent="0.25">
      <c r="A1010" s="72">
        <v>45434</v>
      </c>
      <c r="B1010">
        <v>69.084754943847656</v>
      </c>
      <c r="C1010">
        <v>139.21305847167969</v>
      </c>
      <c r="D1010">
        <v>102.50961303710938</v>
      </c>
      <c r="E1010">
        <v>154.40716552734375</v>
      </c>
      <c r="F1010">
        <v>69.130928039550781</v>
      </c>
    </row>
    <row r="1011" spans="1:6" x14ac:dyDescent="0.25">
      <c r="A1011" s="72">
        <v>45435</v>
      </c>
      <c r="B1011">
        <v>66.883163452148438</v>
      </c>
      <c r="C1011">
        <v>139.95045471191406</v>
      </c>
      <c r="D1011">
        <v>100.26101684570313</v>
      </c>
      <c r="E1011">
        <v>155.90695190429688</v>
      </c>
      <c r="F1011">
        <v>68.041786193847656</v>
      </c>
    </row>
    <row r="1012" spans="1:6" x14ac:dyDescent="0.25">
      <c r="A1012" s="72">
        <v>45436</v>
      </c>
      <c r="B1012">
        <v>65.02557373046875</v>
      </c>
      <c r="C1012">
        <v>135.2015380859375</v>
      </c>
      <c r="D1012">
        <v>98.276954650878906</v>
      </c>
      <c r="E1012">
        <v>152.94613647460938</v>
      </c>
      <c r="F1012">
        <v>67.536819458007813</v>
      </c>
    </row>
    <row r="1013" spans="1:6" x14ac:dyDescent="0.25">
      <c r="A1013" s="72">
        <v>45439</v>
      </c>
      <c r="B1013">
        <v>64.868316650390625</v>
      </c>
      <c r="C1013">
        <v>132.73368835449219</v>
      </c>
      <c r="D1013">
        <v>99.675247192382813</v>
      </c>
      <c r="E1013">
        <v>150.30461120605469</v>
      </c>
      <c r="F1013">
        <v>67.804153442382813</v>
      </c>
    </row>
    <row r="1014" spans="1:6" x14ac:dyDescent="0.25">
      <c r="A1014" s="72">
        <v>45440</v>
      </c>
      <c r="B1014">
        <v>65.212310791015625</v>
      </c>
      <c r="C1014">
        <v>134.58212280273438</v>
      </c>
      <c r="D1014">
        <v>99.486297607421875</v>
      </c>
      <c r="E1014">
        <v>152.85903930664063</v>
      </c>
      <c r="F1014">
        <v>66.962539672851563</v>
      </c>
    </row>
    <row r="1015" spans="1:6" x14ac:dyDescent="0.25">
      <c r="A1015" s="72">
        <v>45441</v>
      </c>
      <c r="B1015">
        <v>64.268775939941406</v>
      </c>
      <c r="C1015">
        <v>132.73368835449219</v>
      </c>
      <c r="D1015">
        <v>99.713035583496094</v>
      </c>
      <c r="E1015">
        <v>154.99740600585938</v>
      </c>
      <c r="F1015">
        <v>67.536819458007813</v>
      </c>
    </row>
    <row r="1016" spans="1:6" x14ac:dyDescent="0.25">
      <c r="A1016" s="72">
        <v>45442</v>
      </c>
      <c r="B1016">
        <v>64.367057800292969</v>
      </c>
      <c r="C1016">
        <v>136.23391723632813</v>
      </c>
      <c r="D1016">
        <v>99.873649597167969</v>
      </c>
      <c r="E1016">
        <v>155.92626953125</v>
      </c>
      <c r="F1016">
        <v>67.497207641601563</v>
      </c>
    </row>
    <row r="1017" spans="1:6" x14ac:dyDescent="0.25">
      <c r="A1017" s="72">
        <v>45443</v>
      </c>
      <c r="B1017">
        <v>62.706035614013672</v>
      </c>
      <c r="C1017">
        <v>128.68284606933594</v>
      </c>
      <c r="D1017">
        <v>98.900520324707031</v>
      </c>
      <c r="E1017">
        <v>153.31381225585938</v>
      </c>
      <c r="F1017">
        <v>66.586288452148438</v>
      </c>
    </row>
    <row r="1018" spans="1:6" x14ac:dyDescent="0.25">
      <c r="A1018" s="72">
        <v>45446</v>
      </c>
      <c r="B1018">
        <v>62.932090759277344</v>
      </c>
      <c r="C1018">
        <v>124.06175994873047</v>
      </c>
      <c r="D1018">
        <v>92.466506958007813</v>
      </c>
      <c r="E1018">
        <v>151.79470825195313</v>
      </c>
      <c r="F1018">
        <v>61.536624908447266</v>
      </c>
    </row>
    <row r="1019" spans="1:6" x14ac:dyDescent="0.25">
      <c r="A1019" s="72">
        <v>45447</v>
      </c>
      <c r="B1019">
        <v>67.384414672851563</v>
      </c>
      <c r="C1019">
        <v>130.69844055175781</v>
      </c>
      <c r="D1019">
        <v>89.991165161132813</v>
      </c>
      <c r="E1019">
        <v>156.73904418945313</v>
      </c>
      <c r="F1019">
        <v>63.833728790283203</v>
      </c>
    </row>
    <row r="1020" spans="1:6" x14ac:dyDescent="0.25">
      <c r="A1020" s="72">
        <v>45448</v>
      </c>
      <c r="B1020">
        <v>69.448410034179688</v>
      </c>
      <c r="C1020">
        <v>137.45310974121094</v>
      </c>
      <c r="D1020">
        <v>92.882209777832031</v>
      </c>
      <c r="E1020">
        <v>157.9678955078125</v>
      </c>
      <c r="F1020">
        <v>67.853660583496094</v>
      </c>
    </row>
    <row r="1021" spans="1:6" x14ac:dyDescent="0.25">
      <c r="A1021" s="72">
        <v>45449</v>
      </c>
      <c r="B1021">
        <v>68.514701843261719</v>
      </c>
      <c r="C1021">
        <v>137.51210021972656</v>
      </c>
      <c r="D1021">
        <v>93.959274291992188</v>
      </c>
      <c r="E1021">
        <v>160.00949096679688</v>
      </c>
      <c r="F1021">
        <v>66.833824157714844</v>
      </c>
    </row>
    <row r="1022" spans="1:6" x14ac:dyDescent="0.25">
      <c r="A1022" s="72">
        <v>45450</v>
      </c>
      <c r="B1022">
        <v>66.725906372070313</v>
      </c>
      <c r="C1022">
        <v>131.26869201660156</v>
      </c>
      <c r="D1022">
        <v>90.189567565917969</v>
      </c>
      <c r="E1022">
        <v>160.14495849609375</v>
      </c>
      <c r="F1022">
        <v>62.635669708251953</v>
      </c>
    </row>
    <row r="1023" spans="1:6" x14ac:dyDescent="0.25">
      <c r="A1023" s="72">
        <v>45453</v>
      </c>
      <c r="B1023">
        <v>69.684295654296875</v>
      </c>
      <c r="C1023">
        <v>137.26629638671875</v>
      </c>
      <c r="D1023">
        <v>90.898162841796875</v>
      </c>
      <c r="E1023">
        <v>156.41973876953125</v>
      </c>
      <c r="F1023">
        <v>61.526721954345703</v>
      </c>
    </row>
    <row r="1024" spans="1:6" x14ac:dyDescent="0.25">
      <c r="A1024" s="72">
        <v>45454</v>
      </c>
      <c r="B1024">
        <v>68.229667663574219</v>
      </c>
      <c r="C1024">
        <v>143.01809692382813</v>
      </c>
      <c r="D1024">
        <v>90.652511596679688</v>
      </c>
      <c r="E1024">
        <v>156.71002197265625</v>
      </c>
      <c r="F1024">
        <v>60.992050170898438</v>
      </c>
    </row>
    <row r="1025" spans="1:6" x14ac:dyDescent="0.25">
      <c r="A1025" s="72">
        <v>45455</v>
      </c>
      <c r="B1025">
        <v>68.141220092773438</v>
      </c>
      <c r="C1025">
        <v>139.07540893554688</v>
      </c>
      <c r="D1025">
        <v>89.405380249023438</v>
      </c>
      <c r="E1025">
        <v>156.43910217285156</v>
      </c>
      <c r="F1025">
        <v>60.695011138916016</v>
      </c>
    </row>
    <row r="1026" spans="1:6" x14ac:dyDescent="0.25">
      <c r="A1026" s="72">
        <v>45456</v>
      </c>
      <c r="B1026">
        <v>66.372077941894531</v>
      </c>
      <c r="C1026">
        <v>133.42193603515625</v>
      </c>
      <c r="D1026">
        <v>89.197540283203125</v>
      </c>
      <c r="E1026">
        <v>153.10092163085938</v>
      </c>
      <c r="F1026">
        <v>60.506889343261719</v>
      </c>
    </row>
    <row r="1027" spans="1:6" x14ac:dyDescent="0.25">
      <c r="A1027" s="72">
        <v>45457</v>
      </c>
      <c r="B1027">
        <v>65.900314331054688</v>
      </c>
      <c r="C1027">
        <v>131.26869201660156</v>
      </c>
      <c r="D1027">
        <v>88.385017395019531</v>
      </c>
      <c r="E1027">
        <v>151.68826293945313</v>
      </c>
      <c r="F1027">
        <v>60.259357452392578</v>
      </c>
    </row>
    <row r="1028" spans="1:6" x14ac:dyDescent="0.25">
      <c r="A1028" s="72">
        <v>45460</v>
      </c>
      <c r="B1028">
        <v>65.566139221191406</v>
      </c>
      <c r="C1028">
        <v>127.21786499023438</v>
      </c>
      <c r="D1028">
        <v>88.630653381347656</v>
      </c>
      <c r="E1028">
        <v>151.41734313964844</v>
      </c>
      <c r="F1028">
        <v>59.338535308837891</v>
      </c>
    </row>
    <row r="1029" spans="1:6" x14ac:dyDescent="0.25">
      <c r="A1029" s="72">
        <v>45461</v>
      </c>
      <c r="B1029">
        <v>68.495040893554688</v>
      </c>
      <c r="C1029">
        <v>132.50755310058594</v>
      </c>
      <c r="D1029">
        <v>92.258651733398438</v>
      </c>
      <c r="E1029">
        <v>152.49136352539063</v>
      </c>
      <c r="F1029">
        <v>59.992019653320313</v>
      </c>
    </row>
    <row r="1030" spans="1:6" x14ac:dyDescent="0.25">
      <c r="A1030" s="72">
        <v>45462</v>
      </c>
      <c r="B1030">
        <v>69.084754943847656</v>
      </c>
      <c r="C1030">
        <v>133.61857604980469</v>
      </c>
      <c r="D1030">
        <v>90.22735595703125</v>
      </c>
      <c r="E1030">
        <v>151.70761108398438</v>
      </c>
      <c r="F1030">
        <v>59.219718933105469</v>
      </c>
    </row>
    <row r="1031" spans="1:6" x14ac:dyDescent="0.25">
      <c r="A1031" s="72">
        <v>45463</v>
      </c>
      <c r="B1031">
        <v>69.330467224121094</v>
      </c>
      <c r="C1031">
        <v>135.67349243164063</v>
      </c>
      <c r="D1031">
        <v>94.469459533691406</v>
      </c>
      <c r="E1031">
        <v>150.323974609375</v>
      </c>
      <c r="F1031">
        <v>59.170211791992188</v>
      </c>
    </row>
    <row r="1032" spans="1:6" x14ac:dyDescent="0.25">
      <c r="A1032" s="72">
        <v>45464</v>
      </c>
      <c r="B1032">
        <v>66.834022521972656</v>
      </c>
      <c r="C1032">
        <v>131.11138916015625</v>
      </c>
      <c r="D1032">
        <v>91.550064086914063</v>
      </c>
      <c r="E1032">
        <v>146.66650390625</v>
      </c>
      <c r="F1032">
        <v>61.526721954345703</v>
      </c>
    </row>
    <row r="1033" spans="1:6" x14ac:dyDescent="0.25">
      <c r="A1033" s="72">
        <v>45467</v>
      </c>
      <c r="B1033">
        <v>64.642257690429688</v>
      </c>
      <c r="C1033">
        <v>131.06224060058594</v>
      </c>
      <c r="D1033">
        <v>90.841461181640625</v>
      </c>
      <c r="E1033">
        <v>147.06320190429688</v>
      </c>
      <c r="F1033">
        <v>62.279224395751953</v>
      </c>
    </row>
    <row r="1034" spans="1:6" x14ac:dyDescent="0.25">
      <c r="A1034" s="72">
        <v>45468</v>
      </c>
      <c r="B1034">
        <v>63.610263824462891</v>
      </c>
      <c r="C1034">
        <v>130.62960815429688</v>
      </c>
      <c r="D1034">
        <v>89.594345092773438</v>
      </c>
      <c r="E1034">
        <v>149.5595703125</v>
      </c>
      <c r="F1034">
        <v>62.279224395751953</v>
      </c>
    </row>
    <row r="1035" spans="1:6" x14ac:dyDescent="0.25">
      <c r="A1035" s="72">
        <v>45469</v>
      </c>
      <c r="B1035">
        <v>64.288436889648438</v>
      </c>
      <c r="C1035">
        <v>128.75167846679688</v>
      </c>
      <c r="D1035">
        <v>91.162696838378906</v>
      </c>
      <c r="E1035">
        <v>148.50489807128906</v>
      </c>
      <c r="F1035">
        <v>61.873271942138672</v>
      </c>
    </row>
    <row r="1036" spans="1:6" x14ac:dyDescent="0.25">
      <c r="A1036" s="72">
        <v>45470</v>
      </c>
      <c r="B1036">
        <v>64.249114990234375</v>
      </c>
      <c r="C1036">
        <v>128.26432800292969</v>
      </c>
      <c r="D1036">
        <v>90.813133239746094</v>
      </c>
      <c r="E1036">
        <v>151.41734313964844</v>
      </c>
      <c r="F1036">
        <v>63.200046539306641</v>
      </c>
    </row>
    <row r="1037" spans="1:6" x14ac:dyDescent="0.25">
      <c r="A1037" s="72">
        <v>45471</v>
      </c>
      <c r="B1037">
        <v>63.502147674560547</v>
      </c>
      <c r="C1037">
        <v>125.13130950927734</v>
      </c>
      <c r="D1037">
        <v>93.2601318359375</v>
      </c>
      <c r="E1037">
        <v>152.25914001464844</v>
      </c>
      <c r="F1037">
        <v>62.972312927246094</v>
      </c>
    </row>
    <row r="1038" spans="1:6" x14ac:dyDescent="0.25">
      <c r="A1038" s="72">
        <v>45474</v>
      </c>
      <c r="B1038">
        <v>65.438369750976563</v>
      </c>
      <c r="C1038">
        <v>130.31321716308594</v>
      </c>
      <c r="D1038">
        <v>95.433143615722656</v>
      </c>
      <c r="E1038">
        <v>147.34379577636719</v>
      </c>
      <c r="F1038">
        <v>64.101058959960938</v>
      </c>
    </row>
    <row r="1039" spans="1:6" x14ac:dyDescent="0.25">
      <c r="A1039" s="72">
        <v>45475</v>
      </c>
      <c r="B1039">
        <v>62.077011108398438</v>
      </c>
      <c r="C1039">
        <v>125.4495849609375</v>
      </c>
      <c r="D1039">
        <v>96.028358459472656</v>
      </c>
      <c r="E1039">
        <v>143.66697692871094</v>
      </c>
      <c r="F1039">
        <v>62.784187316894531</v>
      </c>
    </row>
    <row r="1040" spans="1:6" x14ac:dyDescent="0.25">
      <c r="A1040" s="72">
        <v>45476</v>
      </c>
      <c r="B1040">
        <v>62.312896728515625</v>
      </c>
      <c r="C1040">
        <v>129.59709167480469</v>
      </c>
      <c r="D1040">
        <v>100.44051361083984</v>
      </c>
      <c r="E1040">
        <v>147.52764892578125</v>
      </c>
      <c r="F1040">
        <v>63.546588897705078</v>
      </c>
    </row>
    <row r="1041" spans="1:6" x14ac:dyDescent="0.25">
      <c r="A1041" s="72">
        <v>45477</v>
      </c>
      <c r="B1041">
        <v>62.204780578613281</v>
      </c>
      <c r="C1041">
        <v>130.45245361328125</v>
      </c>
      <c r="D1041">
        <v>100.06261444091797</v>
      </c>
      <c r="E1041">
        <v>148.80487060546875</v>
      </c>
      <c r="F1041">
        <v>62.338630676269531</v>
      </c>
    </row>
    <row r="1042" spans="1:6" x14ac:dyDescent="0.25">
      <c r="A1042" s="72">
        <v>45478</v>
      </c>
      <c r="B1042">
        <v>61.919754028320313</v>
      </c>
      <c r="C1042">
        <v>127.18020629882813</v>
      </c>
      <c r="D1042">
        <v>100.73341369628906</v>
      </c>
      <c r="E1042">
        <v>143.59925842285156</v>
      </c>
      <c r="F1042">
        <v>61.407909393310547</v>
      </c>
    </row>
    <row r="1043" spans="1:6" x14ac:dyDescent="0.25">
      <c r="A1043" s="72">
        <v>45481</v>
      </c>
      <c r="B1043">
        <v>62.332550048828125</v>
      </c>
      <c r="C1043">
        <v>130.90997314453125</v>
      </c>
      <c r="D1043">
        <v>102.207275390625</v>
      </c>
      <c r="E1043">
        <v>145.91177368164063</v>
      </c>
      <c r="F1043">
        <v>61.378204345703125</v>
      </c>
    </row>
    <row r="1044" spans="1:6" x14ac:dyDescent="0.25">
      <c r="A1044" s="72">
        <v>45482</v>
      </c>
      <c r="B1044">
        <v>62.627410888671875</v>
      </c>
      <c r="C1044">
        <v>131.04920959472656</v>
      </c>
      <c r="D1044">
        <v>103.45440673828125</v>
      </c>
      <c r="E1044">
        <v>144.46040344238281</v>
      </c>
      <c r="F1044">
        <v>60.774223327636719</v>
      </c>
    </row>
    <row r="1045" spans="1:6" x14ac:dyDescent="0.25">
      <c r="A1045" s="72">
        <v>45483</v>
      </c>
      <c r="B1045">
        <v>62.902606964111328</v>
      </c>
      <c r="C1045">
        <v>134.46072387695313</v>
      </c>
      <c r="D1045">
        <v>105.71244812011719</v>
      </c>
      <c r="E1045">
        <v>146.80195617675781</v>
      </c>
      <c r="F1045">
        <v>61.259387969970703</v>
      </c>
    </row>
    <row r="1046" spans="1:6" x14ac:dyDescent="0.25">
      <c r="A1046" s="72">
        <v>45484</v>
      </c>
      <c r="B1046">
        <v>62.912437438964844</v>
      </c>
      <c r="C1046">
        <v>127.51837921142578</v>
      </c>
      <c r="D1046">
        <v>105.46680450439453</v>
      </c>
      <c r="E1046">
        <v>148.51458740234375</v>
      </c>
      <c r="F1046">
        <v>61.516822814941406</v>
      </c>
    </row>
    <row r="1047" spans="1:6" x14ac:dyDescent="0.25">
      <c r="A1047" s="72">
        <v>45485</v>
      </c>
      <c r="B1047">
        <v>63.836315155029297</v>
      </c>
      <c r="C1047">
        <v>133.35670471191406</v>
      </c>
      <c r="D1047">
        <v>105.41011810302734</v>
      </c>
      <c r="E1047">
        <v>152.82032775878906</v>
      </c>
      <c r="F1047">
        <v>62.803993225097656</v>
      </c>
    </row>
    <row r="1048" spans="1:6" x14ac:dyDescent="0.25">
      <c r="A1048" s="72">
        <v>45488</v>
      </c>
      <c r="B1048">
        <v>63.7576904296875</v>
      </c>
      <c r="C1048">
        <v>130.54197692871094</v>
      </c>
      <c r="D1048">
        <v>103.62445831298828</v>
      </c>
      <c r="E1048">
        <v>148.26300048828125</v>
      </c>
      <c r="F1048">
        <v>61.249488830566406</v>
      </c>
    </row>
    <row r="1049" spans="1:6" x14ac:dyDescent="0.25">
      <c r="A1049" s="72">
        <v>45489</v>
      </c>
      <c r="B1049">
        <v>63.826492309570313</v>
      </c>
      <c r="C1049">
        <v>131.03927612304688</v>
      </c>
      <c r="D1049">
        <v>100.33659362792969</v>
      </c>
      <c r="E1049">
        <v>150.51747131347656</v>
      </c>
      <c r="F1049">
        <v>60.912841796875</v>
      </c>
    </row>
    <row r="1050" spans="1:6" x14ac:dyDescent="0.25">
      <c r="A1050" s="72">
        <v>45490</v>
      </c>
      <c r="B1050">
        <v>63.620094299316406</v>
      </c>
      <c r="C1050">
        <v>126.31489562988281</v>
      </c>
      <c r="D1050">
        <v>99.864204406738281</v>
      </c>
      <c r="E1050">
        <v>150.82711791992188</v>
      </c>
      <c r="F1050">
        <v>60.982151031494141</v>
      </c>
    </row>
    <row r="1051" spans="1:6" x14ac:dyDescent="0.25">
      <c r="A1051" s="72">
        <v>45491</v>
      </c>
      <c r="B1051">
        <v>62.578262329101563</v>
      </c>
      <c r="C1051">
        <v>125.38991546630859</v>
      </c>
      <c r="D1051">
        <v>96.122833251953125</v>
      </c>
      <c r="E1051">
        <v>149.47247314453125</v>
      </c>
      <c r="F1051">
        <v>60.289058685302734</v>
      </c>
    </row>
    <row r="1052" spans="1:6" x14ac:dyDescent="0.25">
      <c r="A1052" s="72">
        <v>45492</v>
      </c>
      <c r="B1052">
        <v>63.964088439941406</v>
      </c>
      <c r="C1052">
        <v>127.58798980712891</v>
      </c>
      <c r="D1052">
        <v>97.549468994140625</v>
      </c>
      <c r="E1052">
        <v>154.91032409667969</v>
      </c>
      <c r="F1052">
        <v>61.506919860839844</v>
      </c>
    </row>
    <row r="1053" spans="1:6" x14ac:dyDescent="0.25">
      <c r="A1053" s="72">
        <v>45495</v>
      </c>
      <c r="B1053">
        <v>63.816661834716797</v>
      </c>
      <c r="C1053">
        <v>129.30865478515625</v>
      </c>
      <c r="D1053">
        <v>98.154144287109375</v>
      </c>
      <c r="E1053">
        <v>160.30943298339844</v>
      </c>
      <c r="F1053">
        <v>61.249488830566406</v>
      </c>
    </row>
    <row r="1054" spans="1:6" x14ac:dyDescent="0.25">
      <c r="A1054" s="72">
        <v>45496</v>
      </c>
      <c r="B1054">
        <v>63.964088439941406</v>
      </c>
      <c r="C1054">
        <v>125.86732482910156</v>
      </c>
      <c r="D1054">
        <v>96.60467529296875</v>
      </c>
      <c r="E1054">
        <v>154.81355285644531</v>
      </c>
      <c r="F1054">
        <v>60.833629608154297</v>
      </c>
    </row>
    <row r="1055" spans="1:6" x14ac:dyDescent="0.25">
      <c r="A1055" s="72">
        <v>45497</v>
      </c>
      <c r="B1055">
        <v>64.327743530273438</v>
      </c>
      <c r="C1055">
        <v>125.61867523193359</v>
      </c>
      <c r="D1055">
        <v>97.540023803710938</v>
      </c>
      <c r="E1055">
        <v>152.10430908203125</v>
      </c>
      <c r="F1055">
        <v>57.6256103515625</v>
      </c>
    </row>
    <row r="1056" spans="1:6" x14ac:dyDescent="0.25">
      <c r="A1056" s="72">
        <v>45498</v>
      </c>
      <c r="B1056">
        <v>67.836524963378906</v>
      </c>
      <c r="C1056">
        <v>121.35181427001953</v>
      </c>
      <c r="D1056">
        <v>96.151176452636719</v>
      </c>
      <c r="E1056">
        <v>151.78501892089844</v>
      </c>
      <c r="F1056">
        <v>54.853244781494141</v>
      </c>
    </row>
    <row r="1057" spans="1:6" x14ac:dyDescent="0.25">
      <c r="A1057" s="72">
        <v>45499</v>
      </c>
      <c r="B1057">
        <v>66.391738891601563</v>
      </c>
      <c r="C1057">
        <v>119.88974761962891</v>
      </c>
      <c r="D1057">
        <v>97.549468994140625</v>
      </c>
      <c r="E1057">
        <v>156.27461242675781</v>
      </c>
      <c r="F1057">
        <v>54.576004028320313</v>
      </c>
    </row>
    <row r="1058" spans="1:6" x14ac:dyDescent="0.25">
      <c r="A1058" s="72">
        <v>45502</v>
      </c>
      <c r="B1058">
        <v>67.020767211914063</v>
      </c>
      <c r="C1058">
        <v>117.59220886230469</v>
      </c>
      <c r="D1058">
        <v>96.878669738769531</v>
      </c>
      <c r="E1058">
        <v>158.55810546875</v>
      </c>
      <c r="F1058">
        <v>54.061134338378906</v>
      </c>
    </row>
    <row r="1059" spans="1:6" x14ac:dyDescent="0.25">
      <c r="A1059" s="72">
        <v>45503</v>
      </c>
      <c r="B1059">
        <v>63.816661834716797</v>
      </c>
      <c r="C1059">
        <v>117.44301605224609</v>
      </c>
      <c r="D1059">
        <v>97.303825378417969</v>
      </c>
      <c r="E1059">
        <v>161.24800109863281</v>
      </c>
      <c r="F1059">
        <v>54.684917449951172</v>
      </c>
    </row>
    <row r="1060" spans="1:6" x14ac:dyDescent="0.25">
      <c r="A1060" s="72">
        <v>45504</v>
      </c>
      <c r="B1060">
        <v>64.465339660644531</v>
      </c>
      <c r="C1060">
        <v>120.04888153076172</v>
      </c>
      <c r="D1060">
        <v>98.9949951171875</v>
      </c>
      <c r="E1060">
        <v>162.88320922851563</v>
      </c>
      <c r="F1060">
        <v>55.467124938964844</v>
      </c>
    </row>
    <row r="1061" spans="1:6" x14ac:dyDescent="0.25">
      <c r="A1061" s="72">
        <v>45505</v>
      </c>
      <c r="B1061">
        <v>64.337570190429688</v>
      </c>
      <c r="C1061">
        <v>118.73600006103516</v>
      </c>
      <c r="D1061">
        <v>95.196945190429688</v>
      </c>
      <c r="E1061">
        <v>160.52229309082031</v>
      </c>
      <c r="F1061">
        <v>54.813636779785156</v>
      </c>
    </row>
    <row r="1062" spans="1:6" x14ac:dyDescent="0.25">
      <c r="A1062" s="72">
        <v>45506</v>
      </c>
      <c r="B1062">
        <v>65.851165771484375</v>
      </c>
      <c r="C1062">
        <v>119.11395263671875</v>
      </c>
      <c r="D1062">
        <v>95.537071228027344</v>
      </c>
      <c r="E1062">
        <v>161.96400451660156</v>
      </c>
      <c r="F1062">
        <v>54.684917449951172</v>
      </c>
    </row>
    <row r="1063" spans="1:6" x14ac:dyDescent="0.25">
      <c r="A1063" s="72">
        <v>45509</v>
      </c>
      <c r="B1063">
        <v>63.983745574951172</v>
      </c>
      <c r="C1063">
        <v>115.42396545410156</v>
      </c>
      <c r="D1063">
        <v>95.584304809570313</v>
      </c>
      <c r="E1063">
        <v>159.87400817871094</v>
      </c>
      <c r="F1063">
        <v>53.863113403320313</v>
      </c>
    </row>
    <row r="1064" spans="1:6" x14ac:dyDescent="0.25">
      <c r="A1064" s="72">
        <v>45510</v>
      </c>
      <c r="B1064">
        <v>65.841339111328125</v>
      </c>
      <c r="C1064">
        <v>117.68171691894531</v>
      </c>
      <c r="D1064">
        <v>95.017440795898438</v>
      </c>
      <c r="E1064">
        <v>160.60940551757813</v>
      </c>
      <c r="F1064">
        <v>54.467090606689453</v>
      </c>
    </row>
    <row r="1065" spans="1:6" x14ac:dyDescent="0.25">
      <c r="A1065" s="72">
        <v>45511</v>
      </c>
      <c r="B1065">
        <v>66.411392211914063</v>
      </c>
      <c r="C1065">
        <v>115.07585144042969</v>
      </c>
      <c r="D1065">
        <v>97.284927368164063</v>
      </c>
      <c r="E1065">
        <v>161.36410522460938</v>
      </c>
      <c r="F1065">
        <v>54.476993560791016</v>
      </c>
    </row>
    <row r="1066" spans="1:6" x14ac:dyDescent="0.25">
      <c r="A1066" s="72">
        <v>45512</v>
      </c>
      <c r="B1066">
        <v>67.404075622558594</v>
      </c>
      <c r="C1066">
        <v>117.91048431396484</v>
      </c>
      <c r="D1066">
        <v>98.947761535644531</v>
      </c>
      <c r="E1066">
        <v>159.19671630859375</v>
      </c>
      <c r="F1066">
        <v>54.486892700195313</v>
      </c>
    </row>
    <row r="1067" spans="1:6" x14ac:dyDescent="0.25">
      <c r="A1067" s="72">
        <v>45513</v>
      </c>
      <c r="B1067">
        <v>67.895500183105469</v>
      </c>
      <c r="C1067">
        <v>118.39783477783203</v>
      </c>
      <c r="D1067">
        <v>99.287879943847656</v>
      </c>
      <c r="E1067">
        <v>160.84161376953125</v>
      </c>
      <c r="F1067">
        <v>54.457191467285156</v>
      </c>
    </row>
    <row r="1068" spans="1:6" x14ac:dyDescent="0.25">
      <c r="A1068" s="72">
        <v>45516</v>
      </c>
      <c r="B1068">
        <v>67.433563232421875</v>
      </c>
      <c r="C1068">
        <v>118.05966949462891</v>
      </c>
      <c r="D1068">
        <v>100.20432281494141</v>
      </c>
      <c r="E1068">
        <v>160.66744995117188</v>
      </c>
      <c r="F1068">
        <v>54.457191467285156</v>
      </c>
    </row>
    <row r="1069" spans="1:6" x14ac:dyDescent="0.25">
      <c r="A1069" s="72">
        <v>45517</v>
      </c>
      <c r="B1069">
        <v>69.045440673828125</v>
      </c>
      <c r="C1069">
        <v>120.18812561035156</v>
      </c>
      <c r="D1069">
        <v>101.27194213867188</v>
      </c>
      <c r="E1069">
        <v>162.49618530273438</v>
      </c>
      <c r="F1069">
        <v>55.120574951171875</v>
      </c>
    </row>
    <row r="1070" spans="1:6" x14ac:dyDescent="0.25">
      <c r="A1070" s="72">
        <v>45518</v>
      </c>
      <c r="B1070">
        <v>68.809555053710938</v>
      </c>
      <c r="C1070">
        <v>116.86614227294922</v>
      </c>
      <c r="D1070">
        <v>99.646903991699219</v>
      </c>
      <c r="E1070">
        <v>163.33798217773438</v>
      </c>
      <c r="F1070">
        <v>55.566135406494141</v>
      </c>
    </row>
    <row r="1071" spans="1:6" x14ac:dyDescent="0.25">
      <c r="A1071" s="72">
        <v>45519</v>
      </c>
      <c r="B1071">
        <v>68.278816223144531</v>
      </c>
      <c r="C1071">
        <v>120.13839721679688</v>
      </c>
      <c r="D1071">
        <v>102.78359985351563</v>
      </c>
      <c r="E1071">
        <v>163.54118347167969</v>
      </c>
      <c r="F1071">
        <v>55.635444641113281</v>
      </c>
    </row>
    <row r="1072" spans="1:6" x14ac:dyDescent="0.25">
      <c r="A1072" s="72">
        <v>45520</v>
      </c>
      <c r="B1072">
        <v>68.691612243652344</v>
      </c>
      <c r="C1072">
        <v>119.55157470703125</v>
      </c>
      <c r="D1072">
        <v>102.02776336669922</v>
      </c>
      <c r="E1072">
        <v>161.5576171875</v>
      </c>
      <c r="F1072">
        <v>55.803768157958984</v>
      </c>
    </row>
    <row r="1073" spans="1:6" x14ac:dyDescent="0.25">
      <c r="A1073" s="72">
        <v>45523</v>
      </c>
      <c r="B1073">
        <v>69.20269775390625</v>
      </c>
      <c r="C1073">
        <v>120.09860992431641</v>
      </c>
      <c r="D1073">
        <v>100.57279968261719</v>
      </c>
      <c r="E1073">
        <v>162.30267333984375</v>
      </c>
      <c r="F1073">
        <v>56.69488525390625</v>
      </c>
    </row>
    <row r="1074" spans="1:6" x14ac:dyDescent="0.25">
      <c r="A1074" s="72">
        <v>45524</v>
      </c>
      <c r="B1074">
        <v>69.19287109375</v>
      </c>
      <c r="C1074">
        <v>120.34725952148438</v>
      </c>
      <c r="D1074">
        <v>97.795120239257813</v>
      </c>
      <c r="E1074">
        <v>164.67323303222656</v>
      </c>
      <c r="F1074">
        <v>57.417682647705078</v>
      </c>
    </row>
    <row r="1075" spans="1:6" x14ac:dyDescent="0.25">
      <c r="A1075" s="72">
        <v>45525</v>
      </c>
      <c r="B1075">
        <v>67.954475402832031</v>
      </c>
      <c r="C1075">
        <v>118.49729919433594</v>
      </c>
      <c r="D1075">
        <v>100.14763641357422</v>
      </c>
      <c r="E1075">
        <v>165.05059814453125</v>
      </c>
      <c r="F1075">
        <v>55.853275299072266</v>
      </c>
    </row>
    <row r="1076" spans="1:6" x14ac:dyDescent="0.25">
      <c r="A1076" s="72">
        <v>45526</v>
      </c>
      <c r="B1076">
        <v>67.345100402832031</v>
      </c>
      <c r="C1076">
        <v>118.09944915771484</v>
      </c>
      <c r="D1076">
        <v>98.361991882324219</v>
      </c>
      <c r="E1076">
        <v>165.59245300292969</v>
      </c>
      <c r="F1076">
        <v>55.516628265380859</v>
      </c>
    </row>
    <row r="1077" spans="1:6" x14ac:dyDescent="0.25">
      <c r="A1077" s="72">
        <v>45527</v>
      </c>
      <c r="B1077">
        <v>67.561332702636719</v>
      </c>
      <c r="C1077">
        <v>121.01364898681641</v>
      </c>
      <c r="D1077">
        <v>100.59169006347656</v>
      </c>
      <c r="E1077">
        <v>164.91513061523438</v>
      </c>
      <c r="F1077">
        <v>55.952285766601563</v>
      </c>
    </row>
    <row r="1078" spans="1:6" x14ac:dyDescent="0.25">
      <c r="A1078" s="72">
        <v>45530</v>
      </c>
      <c r="B1078">
        <v>68.996292114257813</v>
      </c>
      <c r="C1078">
        <v>119.54163360595703</v>
      </c>
      <c r="D1078">
        <v>99.22174072265625</v>
      </c>
      <c r="E1078">
        <v>164.32492065429688</v>
      </c>
      <c r="F1078">
        <v>54.833438873291016</v>
      </c>
    </row>
    <row r="1079" spans="1:6" x14ac:dyDescent="0.25">
      <c r="A1079" s="72">
        <v>45531</v>
      </c>
      <c r="B1079">
        <v>66.598136901855469</v>
      </c>
      <c r="C1079">
        <v>115.89142608642578</v>
      </c>
      <c r="D1079">
        <v>97.683059692382813</v>
      </c>
      <c r="E1079">
        <v>164.66357421875</v>
      </c>
      <c r="F1079">
        <v>54.734424591064453</v>
      </c>
    </row>
    <row r="1080" spans="1:6" x14ac:dyDescent="0.25">
      <c r="A1080" s="72">
        <v>45532</v>
      </c>
      <c r="B1080">
        <v>66.942131042480469</v>
      </c>
      <c r="C1080">
        <v>115.67262268066406</v>
      </c>
      <c r="D1080">
        <v>94.901939392089844</v>
      </c>
      <c r="E1080">
        <v>164.89579772949219</v>
      </c>
      <c r="F1080">
        <v>56.090908050537109</v>
      </c>
    </row>
    <row r="1081" spans="1:6" x14ac:dyDescent="0.25">
      <c r="A1081" s="72">
        <v>45533</v>
      </c>
      <c r="B1081">
        <v>68.308296203613281</v>
      </c>
      <c r="C1081">
        <v>116.52798461914063</v>
      </c>
      <c r="D1081">
        <v>97.1383056640625</v>
      </c>
      <c r="E1081">
        <v>162.55422973632813</v>
      </c>
      <c r="F1081">
        <v>55.358207702636719</v>
      </c>
    </row>
    <row r="1082" spans="1:6" x14ac:dyDescent="0.25">
      <c r="A1082" s="72">
        <v>45534</v>
      </c>
      <c r="B1082">
        <v>69.497550964355469</v>
      </c>
      <c r="C1082">
        <v>120.00910186767578</v>
      </c>
      <c r="D1082">
        <v>96.670005798339844</v>
      </c>
      <c r="E1082">
        <v>161.06416320800781</v>
      </c>
      <c r="F1082">
        <v>53.566070556640625</v>
      </c>
    </row>
    <row r="1083" spans="1:6" x14ac:dyDescent="0.25">
      <c r="A1083" s="72">
        <v>45537</v>
      </c>
      <c r="B1083">
        <v>69.045440673828125</v>
      </c>
      <c r="C1083">
        <v>117.34355926513672</v>
      </c>
      <c r="D1083">
        <v>98.743896484375</v>
      </c>
      <c r="E1083">
        <v>160.76419067382813</v>
      </c>
      <c r="F1083">
        <v>55.209686279296875</v>
      </c>
    </row>
    <row r="1084" spans="1:6" x14ac:dyDescent="0.25">
      <c r="A1084" s="72">
        <v>45538</v>
      </c>
      <c r="B1084">
        <v>67.757904052734375</v>
      </c>
      <c r="C1084">
        <v>115.37423706054688</v>
      </c>
      <c r="D1084">
        <v>95.94366455078125</v>
      </c>
      <c r="E1084">
        <v>164.5184326171875</v>
      </c>
      <c r="F1084">
        <v>53.85321044921875</v>
      </c>
    </row>
    <row r="1085" spans="1:6" x14ac:dyDescent="0.25">
      <c r="A1085" s="72">
        <v>45539</v>
      </c>
      <c r="B1085">
        <v>69.772750854492188</v>
      </c>
      <c r="C1085">
        <v>116.93576812744141</v>
      </c>
      <c r="D1085">
        <v>96.507537841796875</v>
      </c>
      <c r="E1085">
        <v>168.37910461425781</v>
      </c>
      <c r="F1085">
        <v>53.189823150634766</v>
      </c>
    </row>
    <row r="1086" spans="1:6" x14ac:dyDescent="0.25">
      <c r="A1086" s="72">
        <v>45540</v>
      </c>
      <c r="B1086">
        <v>68.681777954101563</v>
      </c>
      <c r="C1086">
        <v>115.85164642333984</v>
      </c>
      <c r="D1086">
        <v>96.144363403320313</v>
      </c>
      <c r="E1086">
        <v>166.6761474609375</v>
      </c>
      <c r="F1086">
        <v>52.397716522216797</v>
      </c>
    </row>
    <row r="1087" spans="1:6" x14ac:dyDescent="0.25">
      <c r="A1087" s="72">
        <v>45541</v>
      </c>
      <c r="B1087">
        <v>68.003616333007813</v>
      </c>
      <c r="C1087">
        <v>114.87693023681641</v>
      </c>
      <c r="D1087">
        <v>94.854156494140625</v>
      </c>
      <c r="E1087">
        <v>166.1246337890625</v>
      </c>
      <c r="F1087">
        <v>51.447193145751953</v>
      </c>
    </row>
    <row r="1088" spans="1:6" x14ac:dyDescent="0.25">
      <c r="A1088" s="72">
        <v>45544</v>
      </c>
      <c r="B1088">
        <v>67.915153503417969</v>
      </c>
      <c r="C1088">
        <v>114.32989501953125</v>
      </c>
      <c r="D1088">
        <v>95.542266845703125</v>
      </c>
      <c r="E1088">
        <v>164.07334899902344</v>
      </c>
      <c r="F1088">
        <v>52.684856414794922</v>
      </c>
    </row>
    <row r="1089" spans="1:6" x14ac:dyDescent="0.25">
      <c r="A1089" s="72">
        <v>45545</v>
      </c>
      <c r="B1089">
        <v>67.099388122558594</v>
      </c>
      <c r="C1089">
        <v>115.32450103759766</v>
      </c>
      <c r="D1089">
        <v>96.087013244628906</v>
      </c>
      <c r="E1089">
        <v>162.69935607910156</v>
      </c>
      <c r="F1089">
        <v>50.83331298828125</v>
      </c>
    </row>
    <row r="1090" spans="1:6" x14ac:dyDescent="0.25">
      <c r="A1090" s="72">
        <v>45546</v>
      </c>
      <c r="B1090">
        <v>66.824188232421875</v>
      </c>
      <c r="C1090">
        <v>114.65811920166016</v>
      </c>
      <c r="D1090">
        <v>96.316390991210938</v>
      </c>
      <c r="E1090">
        <v>162.18655395507813</v>
      </c>
      <c r="F1090">
        <v>50.971927642822266</v>
      </c>
    </row>
    <row r="1091" spans="1:6" x14ac:dyDescent="0.25">
      <c r="A1091" s="72">
        <v>45547</v>
      </c>
      <c r="B1091">
        <v>68.151039123535156</v>
      </c>
      <c r="C1091">
        <v>117.21425628662109</v>
      </c>
      <c r="D1091">
        <v>98.256477355957031</v>
      </c>
      <c r="E1091">
        <v>161.18026733398438</v>
      </c>
      <c r="F1091">
        <v>52.090778350830078</v>
      </c>
    </row>
    <row r="1092" spans="1:6" x14ac:dyDescent="0.25">
      <c r="A1092" s="72">
        <v>45548</v>
      </c>
      <c r="B1092">
        <v>67.502357482910156</v>
      </c>
      <c r="C1092">
        <v>116.18981170654297</v>
      </c>
      <c r="D1092">
        <v>98.590980529785156</v>
      </c>
      <c r="E1092">
        <v>162.75743103027344</v>
      </c>
      <c r="F1092">
        <v>52.506629943847656</v>
      </c>
    </row>
    <row r="1093" spans="1:6" x14ac:dyDescent="0.25">
      <c r="A1093" s="72">
        <v>45552</v>
      </c>
      <c r="B1093">
        <v>66.706253051757813</v>
      </c>
      <c r="C1093">
        <v>118.36800384521484</v>
      </c>
      <c r="D1093">
        <v>98.629203796386719</v>
      </c>
      <c r="E1093">
        <v>168.64033508300781</v>
      </c>
      <c r="F1093">
        <v>52.001667022705078</v>
      </c>
    </row>
    <row r="1094" spans="1:6" x14ac:dyDescent="0.25">
      <c r="A1094" s="72">
        <v>45553</v>
      </c>
      <c r="B1094">
        <v>67.276298522949219</v>
      </c>
      <c r="C1094">
        <v>118.24864196777344</v>
      </c>
      <c r="D1094">
        <v>99.871627807617188</v>
      </c>
      <c r="E1094">
        <v>169.48214721679688</v>
      </c>
      <c r="F1094">
        <v>52.397716522216797</v>
      </c>
    </row>
    <row r="1095" spans="1:6" x14ac:dyDescent="0.25">
      <c r="A1095" s="72">
        <v>45554</v>
      </c>
      <c r="B1095">
        <v>68.593330383300781</v>
      </c>
      <c r="C1095">
        <v>121.09321594238281</v>
      </c>
      <c r="D1095">
        <v>101.3338623046875</v>
      </c>
      <c r="E1095">
        <v>171.35926818847656</v>
      </c>
      <c r="F1095">
        <v>52.724460601806641</v>
      </c>
    </row>
    <row r="1096" spans="1:6" x14ac:dyDescent="0.25">
      <c r="A1096" s="72">
        <v>45555</v>
      </c>
      <c r="B1096">
        <v>65.290939331054688</v>
      </c>
      <c r="C1096">
        <v>117.85079956054688</v>
      </c>
      <c r="D1096">
        <v>98.199142456054688</v>
      </c>
      <c r="E1096">
        <v>169.32731628417969</v>
      </c>
      <c r="F1096">
        <v>51.724430084228516</v>
      </c>
    </row>
    <row r="1097" spans="1:6" x14ac:dyDescent="0.25">
      <c r="A1097" s="72">
        <v>45558</v>
      </c>
      <c r="B1097">
        <v>67.158363342285156</v>
      </c>
      <c r="C1097">
        <v>116.06051635742188</v>
      </c>
      <c r="D1097">
        <v>100.25390625</v>
      </c>
      <c r="E1097">
        <v>168.85322570800781</v>
      </c>
      <c r="F1097">
        <v>51.803638458251953</v>
      </c>
    </row>
    <row r="1098" spans="1:6" x14ac:dyDescent="0.25">
      <c r="A1098" s="72">
        <v>45559</v>
      </c>
      <c r="B1098">
        <v>68.652297973632813</v>
      </c>
      <c r="C1098">
        <v>122.41604614257813</v>
      </c>
      <c r="D1098">
        <v>104.84132385253906</v>
      </c>
      <c r="E1098">
        <v>172.8203125</v>
      </c>
      <c r="F1098">
        <v>52.595741271972656</v>
      </c>
    </row>
    <row r="1099" spans="1:6" x14ac:dyDescent="0.25">
      <c r="A1099" s="72">
        <v>45560</v>
      </c>
      <c r="B1099">
        <v>67.472877502441406</v>
      </c>
      <c r="C1099">
        <v>121.40154266357422</v>
      </c>
      <c r="D1099">
        <v>102.92990112304688</v>
      </c>
      <c r="E1099">
        <v>171.11738586425781</v>
      </c>
      <c r="F1099">
        <v>52.853179931640625</v>
      </c>
    </row>
    <row r="1100" spans="1:6" x14ac:dyDescent="0.25">
      <c r="A1100" s="72">
        <v>45561</v>
      </c>
      <c r="B1100">
        <v>68.003616333007813</v>
      </c>
      <c r="C1100">
        <v>124.8031005859375</v>
      </c>
      <c r="D1100">
        <v>107.6893310546875</v>
      </c>
      <c r="E1100">
        <v>174.48455810546875</v>
      </c>
      <c r="F1100">
        <v>52.338310241699219</v>
      </c>
    </row>
    <row r="1101" spans="1:6" x14ac:dyDescent="0.25">
      <c r="A1101" s="72">
        <v>45562</v>
      </c>
      <c r="B1101">
        <v>66.981452941894531</v>
      </c>
      <c r="C1101">
        <v>121.28219604492188</v>
      </c>
      <c r="D1101">
        <v>106.46602630615234</v>
      </c>
      <c r="E1101">
        <v>172.58808898925781</v>
      </c>
      <c r="F1101">
        <v>53.793804168701172</v>
      </c>
    </row>
    <row r="1102" spans="1:6" x14ac:dyDescent="0.25">
      <c r="A1102" s="72">
        <v>45565</v>
      </c>
      <c r="B1102">
        <v>66.548988342285156</v>
      </c>
      <c r="C1102">
        <v>120.88435363769531</v>
      </c>
      <c r="D1102">
        <v>105.12802886962891</v>
      </c>
      <c r="E1102">
        <v>168.34039306640625</v>
      </c>
      <c r="F1102">
        <v>53.665084838867188</v>
      </c>
    </row>
    <row r="1103" spans="1:6" x14ac:dyDescent="0.25">
      <c r="A1103" s="72">
        <v>45567</v>
      </c>
      <c r="B1103">
        <v>65.831512451171875</v>
      </c>
      <c r="C1103">
        <v>121.88890838623047</v>
      </c>
      <c r="D1103">
        <v>107.03945159912109</v>
      </c>
      <c r="E1103">
        <v>167.48892211914063</v>
      </c>
      <c r="F1103">
        <v>53.061103820800781</v>
      </c>
    </row>
    <row r="1104" spans="1:6" x14ac:dyDescent="0.25">
      <c r="A1104" s="72">
        <v>45568</v>
      </c>
      <c r="B1104">
        <v>64.612770080566406</v>
      </c>
      <c r="C1104">
        <v>118.07956695556641</v>
      </c>
      <c r="D1104">
        <v>102.92990112304688</v>
      </c>
      <c r="E1104">
        <v>165.57308959960938</v>
      </c>
      <c r="F1104">
        <v>51.882850646972656</v>
      </c>
    </row>
    <row r="1105" spans="1:6" x14ac:dyDescent="0.25">
      <c r="A1105" s="72">
        <v>45569</v>
      </c>
      <c r="B1105">
        <v>66.185333251953125</v>
      </c>
      <c r="C1105">
        <v>122.91334533691406</v>
      </c>
      <c r="D1105">
        <v>105.07070159912109</v>
      </c>
      <c r="E1105">
        <v>165.35057067871094</v>
      </c>
      <c r="F1105">
        <v>53.031402587890625</v>
      </c>
    </row>
    <row r="1106" spans="1:6" x14ac:dyDescent="0.25">
      <c r="A1106" s="72">
        <v>45572</v>
      </c>
      <c r="B1106">
        <v>65.074714660644531</v>
      </c>
      <c r="C1106">
        <v>122.43593597412109</v>
      </c>
      <c r="D1106">
        <v>105.02290344238281</v>
      </c>
      <c r="E1106">
        <v>162.56390380859375</v>
      </c>
      <c r="F1106">
        <v>53.467060089111328</v>
      </c>
    </row>
    <row r="1107" spans="1:6" x14ac:dyDescent="0.25">
      <c r="A1107" s="72">
        <v>45573</v>
      </c>
      <c r="B1107">
        <v>64.897796630859375</v>
      </c>
      <c r="C1107">
        <v>120.93407440185547</v>
      </c>
      <c r="D1107">
        <v>102.2513427734375</v>
      </c>
      <c r="E1107">
        <v>163.51216125488281</v>
      </c>
      <c r="F1107">
        <v>53.962123870849609</v>
      </c>
    </row>
    <row r="1108" spans="1:6" x14ac:dyDescent="0.25">
      <c r="A1108" s="72">
        <v>45574</v>
      </c>
      <c r="B1108">
        <v>63.541461944580078</v>
      </c>
      <c r="C1108">
        <v>121.50100708007813</v>
      </c>
      <c r="D1108">
        <v>102.52849578857422</v>
      </c>
      <c r="E1108">
        <v>162.79612731933594</v>
      </c>
      <c r="F1108">
        <v>52.674953460693359</v>
      </c>
    </row>
    <row r="1109" spans="1:6" x14ac:dyDescent="0.25">
      <c r="A1109" s="72">
        <v>45575</v>
      </c>
      <c r="B1109">
        <v>63.394035339355469</v>
      </c>
      <c r="C1109">
        <v>123.52999877929688</v>
      </c>
      <c r="D1109">
        <v>104.32523345947266</v>
      </c>
      <c r="E1109">
        <v>166.18269348144531</v>
      </c>
      <c r="F1109">
        <v>53.130413055419922</v>
      </c>
    </row>
    <row r="1110" spans="1:6" x14ac:dyDescent="0.25">
      <c r="A1110" s="72">
        <v>45576</v>
      </c>
      <c r="B1110">
        <v>64.819168090820313</v>
      </c>
      <c r="C1110">
        <v>124.096923828125</v>
      </c>
      <c r="D1110">
        <v>107.77533721923828</v>
      </c>
      <c r="E1110">
        <v>165.59245300292969</v>
      </c>
      <c r="F1110">
        <v>52.813571929931641</v>
      </c>
    </row>
    <row r="1111" spans="1:6" x14ac:dyDescent="0.25">
      <c r="A1111" s="72">
        <v>45579</v>
      </c>
      <c r="B1111">
        <v>63.364547729492188</v>
      </c>
      <c r="C1111">
        <v>123.21172332763672</v>
      </c>
      <c r="D1111">
        <v>105.29049682617188</v>
      </c>
      <c r="E1111">
        <v>163.13479614257813</v>
      </c>
      <c r="F1111">
        <v>52.516532897949219</v>
      </c>
    </row>
    <row r="1112" spans="1:6" x14ac:dyDescent="0.25">
      <c r="A1112" s="72">
        <v>45580</v>
      </c>
      <c r="B1112">
        <v>63.059867858886719</v>
      </c>
      <c r="C1112">
        <v>122.24696350097656</v>
      </c>
      <c r="D1112">
        <v>104.94643402099609</v>
      </c>
      <c r="E1112">
        <v>165.48602294921875</v>
      </c>
      <c r="F1112">
        <v>54.615612030029297</v>
      </c>
    </row>
    <row r="1113" spans="1:6" x14ac:dyDescent="0.25">
      <c r="A1113" s="72">
        <v>45581</v>
      </c>
      <c r="B1113">
        <v>64.219627380371094</v>
      </c>
      <c r="C1113">
        <v>121.23246002197266</v>
      </c>
      <c r="D1113">
        <v>104.43992614746094</v>
      </c>
      <c r="E1113">
        <v>169.18220520019531</v>
      </c>
      <c r="F1113">
        <v>53.843311309814453</v>
      </c>
    </row>
    <row r="1114" spans="1:6" x14ac:dyDescent="0.25">
      <c r="A1114" s="72">
        <v>45582</v>
      </c>
      <c r="B1114">
        <v>64.278602600097656</v>
      </c>
      <c r="C1114">
        <v>120.44672393798828</v>
      </c>
      <c r="D1114">
        <v>104.28701019287109</v>
      </c>
      <c r="E1114">
        <v>166.5697021484375</v>
      </c>
      <c r="F1114">
        <v>53.833404541015625</v>
      </c>
    </row>
    <row r="1115" spans="1:6" x14ac:dyDescent="0.25">
      <c r="A1115" s="72">
        <v>45583</v>
      </c>
      <c r="B1115">
        <v>64.376884460449219</v>
      </c>
      <c r="C1115">
        <v>121.12305450439453</v>
      </c>
      <c r="D1115">
        <v>105.31916809082031</v>
      </c>
      <c r="E1115">
        <v>167.19865417480469</v>
      </c>
      <c r="F1115">
        <v>54.556201934814453</v>
      </c>
    </row>
    <row r="1116" spans="1:6" x14ac:dyDescent="0.25">
      <c r="A1116" s="72">
        <v>45586</v>
      </c>
      <c r="B1116">
        <v>63.551292419433594</v>
      </c>
      <c r="C1116">
        <v>120.42683410644531</v>
      </c>
      <c r="D1116">
        <v>107.36439514160156</v>
      </c>
      <c r="E1116">
        <v>166.9664306640625</v>
      </c>
      <c r="F1116">
        <v>54.368076324462891</v>
      </c>
    </row>
    <row r="1117" spans="1:6" x14ac:dyDescent="0.25">
      <c r="A1117" s="72">
        <v>45587</v>
      </c>
      <c r="B1117">
        <v>63.492317199707031</v>
      </c>
      <c r="C1117">
        <v>118.15913391113281</v>
      </c>
      <c r="D1117">
        <v>105.52943420410156</v>
      </c>
      <c r="E1117">
        <v>163.96693420410156</v>
      </c>
      <c r="F1117">
        <v>53.189823150634766</v>
      </c>
    </row>
    <row r="1118" spans="1:6" x14ac:dyDescent="0.25">
      <c r="A1118" s="72">
        <v>45588</v>
      </c>
      <c r="B1118">
        <v>63.295749664306641</v>
      </c>
      <c r="C1118">
        <v>119.34271240234375</v>
      </c>
      <c r="D1118">
        <v>105.31916809082031</v>
      </c>
      <c r="E1118">
        <v>163.38636779785156</v>
      </c>
      <c r="F1118">
        <v>50.318443298339844</v>
      </c>
    </row>
    <row r="1119" spans="1:6" x14ac:dyDescent="0.25">
      <c r="A1119" s="72">
        <v>45589</v>
      </c>
      <c r="B1119">
        <v>63.069690704345703</v>
      </c>
      <c r="C1119">
        <v>119.52173614501953</v>
      </c>
      <c r="D1119">
        <v>104.20099639892578</v>
      </c>
      <c r="E1119">
        <v>164.14106750488281</v>
      </c>
      <c r="F1119">
        <v>50.853115081787109</v>
      </c>
    </row>
    <row r="1120" spans="1:6" x14ac:dyDescent="0.25">
      <c r="A1120" s="72">
        <v>45590</v>
      </c>
      <c r="B1120">
        <v>62.018035888671875</v>
      </c>
      <c r="C1120">
        <v>118.98464965820313</v>
      </c>
      <c r="D1120">
        <v>105.11846923828125</v>
      </c>
      <c r="E1120">
        <v>166.95675659179688</v>
      </c>
      <c r="F1120">
        <v>49.763969421386719</v>
      </c>
    </row>
    <row r="1121" spans="1:6" x14ac:dyDescent="0.25">
      <c r="A1121" s="72">
        <v>45593</v>
      </c>
      <c r="B1121">
        <v>63.787178039550781</v>
      </c>
      <c r="C1121">
        <v>119.21341705322266</v>
      </c>
      <c r="D1121">
        <v>103.97162628173828</v>
      </c>
      <c r="E1121">
        <v>164.53779602050781</v>
      </c>
      <c r="F1121">
        <v>50.130317687988281</v>
      </c>
    </row>
    <row r="1122" spans="1:6" x14ac:dyDescent="0.25">
      <c r="A1122" s="72">
        <v>45594</v>
      </c>
      <c r="B1122">
        <v>60.936901092529297</v>
      </c>
      <c r="C1122">
        <v>117.23415374755859</v>
      </c>
      <c r="D1122">
        <v>101.20006561279297</v>
      </c>
      <c r="E1122">
        <v>164.66357421875</v>
      </c>
      <c r="F1122">
        <v>48.892654418945313</v>
      </c>
    </row>
    <row r="1123" spans="1:6" x14ac:dyDescent="0.25">
      <c r="A1123" s="72">
        <v>45595</v>
      </c>
      <c r="B1123">
        <v>60.868099212646484</v>
      </c>
      <c r="C1123">
        <v>118.19891357421875</v>
      </c>
      <c r="D1123">
        <v>102.81521606445313</v>
      </c>
      <c r="E1123">
        <v>165.21510314941406</v>
      </c>
      <c r="F1123">
        <v>48.338180541992188</v>
      </c>
    </row>
    <row r="1124" spans="1:6" x14ac:dyDescent="0.25">
      <c r="A1124" s="72">
        <v>45596</v>
      </c>
      <c r="B1124">
        <v>60.907417297363281</v>
      </c>
      <c r="C1124">
        <v>119.93946838378906</v>
      </c>
      <c r="D1124">
        <v>100.33992767333984</v>
      </c>
      <c r="E1124">
        <v>160.21267700195313</v>
      </c>
      <c r="F1124">
        <v>47.833217620849609</v>
      </c>
    </row>
    <row r="1125" spans="1:6" x14ac:dyDescent="0.25">
      <c r="A1125" s="72">
        <v>45597</v>
      </c>
      <c r="B1125">
        <v>60.307876586914063</v>
      </c>
      <c r="C1125">
        <v>122.21711730957031</v>
      </c>
      <c r="D1125">
        <v>99.890739440917969</v>
      </c>
      <c r="E1125">
        <v>160.10623168945313</v>
      </c>
      <c r="F1125">
        <v>48.674827575683594</v>
      </c>
    </row>
    <row r="1126" spans="1:6" x14ac:dyDescent="0.25">
      <c r="A1126" s="72">
        <v>45600</v>
      </c>
      <c r="B1126">
        <v>61.752670288085938</v>
      </c>
      <c r="C1126">
        <v>118.19891357421875</v>
      </c>
      <c r="D1126">
        <v>101.60146331787109</v>
      </c>
      <c r="E1126">
        <v>156.98095703125</v>
      </c>
      <c r="F1126">
        <v>49.952095031738281</v>
      </c>
    </row>
    <row r="1127" spans="1:6" x14ac:dyDescent="0.25">
      <c r="A1127" s="72">
        <v>45601</v>
      </c>
      <c r="B1127">
        <v>61.703525543212891</v>
      </c>
      <c r="C1127">
        <v>117.960205078125</v>
      </c>
      <c r="D1127">
        <v>103.66579437255859</v>
      </c>
      <c r="E1127">
        <v>158.26783752441406</v>
      </c>
      <c r="F1127">
        <v>48.872852325439453</v>
      </c>
    </row>
    <row r="1128" spans="1:6" x14ac:dyDescent="0.25">
      <c r="A1128" s="72">
        <v>45602</v>
      </c>
      <c r="B1128">
        <v>62.312896728515625</v>
      </c>
      <c r="C1128">
        <v>116.34895324707031</v>
      </c>
      <c r="D1128">
        <v>102.19400024414063</v>
      </c>
      <c r="E1128">
        <v>160.14495849609375</v>
      </c>
      <c r="F1128">
        <v>49.783771514892578</v>
      </c>
    </row>
    <row r="1129" spans="1:6" x14ac:dyDescent="0.25">
      <c r="A1129" s="72">
        <v>45603</v>
      </c>
      <c r="B1129">
        <v>65.36956787109375</v>
      </c>
      <c r="C1129">
        <v>123.33107757568359</v>
      </c>
      <c r="D1129">
        <v>104.73619079589844</v>
      </c>
      <c r="E1129">
        <v>159.77726745605469</v>
      </c>
      <c r="F1129">
        <v>49.645153045654297</v>
      </c>
    </row>
    <row r="1130" spans="1:6" x14ac:dyDescent="0.25">
      <c r="A1130" s="72">
        <v>45604</v>
      </c>
      <c r="B1130">
        <v>65.782363891601563</v>
      </c>
      <c r="C1130">
        <v>119.18357849121094</v>
      </c>
      <c r="D1130">
        <v>101.7926025390625</v>
      </c>
      <c r="E1130">
        <v>161.87692260742188</v>
      </c>
      <c r="F1130">
        <v>49.011470794677734</v>
      </c>
    </row>
    <row r="1131" spans="1:6" x14ac:dyDescent="0.25">
      <c r="A1131" s="72">
        <v>45607</v>
      </c>
      <c r="B1131">
        <v>64.180320739746094</v>
      </c>
      <c r="C1131">
        <v>118.69621276855469</v>
      </c>
      <c r="D1131">
        <v>101.18095397949219</v>
      </c>
      <c r="E1131">
        <v>161.02543640136719</v>
      </c>
      <c r="F1131">
        <v>48.159957885742188</v>
      </c>
    </row>
    <row r="1132" spans="1:6" x14ac:dyDescent="0.25">
      <c r="A1132" s="72">
        <v>45608</v>
      </c>
      <c r="B1132">
        <v>61.742839813232422</v>
      </c>
      <c r="C1132">
        <v>117.72150421142578</v>
      </c>
      <c r="D1132">
        <v>98.92547607421875</v>
      </c>
      <c r="E1132">
        <v>159.99014282226563</v>
      </c>
      <c r="F1132">
        <v>47.357955932617188</v>
      </c>
    </row>
    <row r="1133" spans="1:6" x14ac:dyDescent="0.25">
      <c r="A1133" s="72">
        <v>45609</v>
      </c>
      <c r="B1133">
        <v>61.723182678222656</v>
      </c>
      <c r="C1133">
        <v>117.41317749023438</v>
      </c>
      <c r="D1133">
        <v>97.855079650878906</v>
      </c>
      <c r="E1133">
        <v>155.51020812988281</v>
      </c>
      <c r="F1133">
        <v>47.496570587158203</v>
      </c>
    </row>
    <row r="1134" spans="1:6" x14ac:dyDescent="0.25">
      <c r="A1134" s="72">
        <v>45610</v>
      </c>
      <c r="B1134">
        <v>61.565925598144531</v>
      </c>
      <c r="C1134">
        <v>116.45835113525391</v>
      </c>
      <c r="D1134">
        <v>98.180030822753906</v>
      </c>
      <c r="E1134">
        <v>153.49763488769531</v>
      </c>
      <c r="F1134">
        <v>47.120319366455078</v>
      </c>
    </row>
    <row r="1135" spans="1:6" x14ac:dyDescent="0.25">
      <c r="A1135" s="72">
        <v>45611</v>
      </c>
      <c r="B1135">
        <v>62.067184448242188</v>
      </c>
      <c r="C1135">
        <v>117.11479187011719</v>
      </c>
      <c r="D1135">
        <v>97.472801208496094</v>
      </c>
      <c r="E1135">
        <v>153.23638916015625</v>
      </c>
      <c r="F1135">
        <v>47.625286102294922</v>
      </c>
    </row>
    <row r="1136" spans="1:6" x14ac:dyDescent="0.25">
      <c r="A1136" s="72">
        <v>45615</v>
      </c>
      <c r="B1136">
        <v>60.062160491943359</v>
      </c>
      <c r="C1136">
        <v>116.29921722412109</v>
      </c>
      <c r="D1136">
        <v>98.915924072265625</v>
      </c>
      <c r="E1136">
        <v>153.30412292480469</v>
      </c>
      <c r="F1136">
        <v>47.100517272949219</v>
      </c>
    </row>
    <row r="1137" spans="1:6" x14ac:dyDescent="0.25">
      <c r="A1137" s="72">
        <v>45616</v>
      </c>
      <c r="B1137">
        <v>60.337360382080078</v>
      </c>
      <c r="C1137">
        <v>114.75757598876953</v>
      </c>
      <c r="D1137">
        <v>100.21568298339844</v>
      </c>
      <c r="E1137">
        <v>153.81695556640625</v>
      </c>
      <c r="F1137">
        <v>46.852985382080078</v>
      </c>
    </row>
    <row r="1138" spans="1:6" x14ac:dyDescent="0.25">
      <c r="A1138" s="72">
        <v>45617</v>
      </c>
      <c r="B1138">
        <v>59.954048156738281</v>
      </c>
      <c r="C1138">
        <v>117.02528381347656</v>
      </c>
      <c r="D1138">
        <v>99.231300354003906</v>
      </c>
      <c r="E1138">
        <v>153.71051025390625</v>
      </c>
      <c r="F1138">
        <v>46.862888336181641</v>
      </c>
    </row>
    <row r="1139" spans="1:6" x14ac:dyDescent="0.25">
      <c r="A1139" s="72">
        <v>45618</v>
      </c>
      <c r="B1139">
        <v>59.767307281494141</v>
      </c>
      <c r="C1139">
        <v>118.95481109619141</v>
      </c>
      <c r="D1139">
        <v>97.788177490234375</v>
      </c>
      <c r="E1139">
        <v>156.62294006347656</v>
      </c>
      <c r="F1139">
        <v>46.546043395996094</v>
      </c>
    </row>
    <row r="1140" spans="1:6" x14ac:dyDescent="0.25">
      <c r="A1140" s="72">
        <v>45621</v>
      </c>
      <c r="B1140">
        <v>59.28570556640625</v>
      </c>
      <c r="C1140">
        <v>116.55781555175781</v>
      </c>
      <c r="D1140">
        <v>96.810501098632813</v>
      </c>
      <c r="E1140">
        <v>157.26155090332031</v>
      </c>
      <c r="F1140">
        <v>45.120258331298828</v>
      </c>
    </row>
    <row r="1141" spans="1:6" x14ac:dyDescent="0.25">
      <c r="A1141" s="72">
        <v>45622</v>
      </c>
      <c r="B1141">
        <v>58.695995330810547</v>
      </c>
      <c r="C1141">
        <v>115.60299682617188</v>
      </c>
      <c r="D1141">
        <v>96.800819396972656</v>
      </c>
      <c r="E1141">
        <v>157.80339050292969</v>
      </c>
      <c r="F1141">
        <v>45.605422973632813</v>
      </c>
    </row>
    <row r="1142" spans="1:6" x14ac:dyDescent="0.25">
      <c r="A1142" s="72">
        <v>45623</v>
      </c>
      <c r="B1142">
        <v>58.961368560791016</v>
      </c>
      <c r="C1142">
        <v>121.41149139404297</v>
      </c>
      <c r="D1142">
        <v>96.510414123535156</v>
      </c>
      <c r="E1142">
        <v>158.67420959472656</v>
      </c>
      <c r="F1142">
        <v>44.585586547851563</v>
      </c>
    </row>
    <row r="1143" spans="1:6" x14ac:dyDescent="0.25">
      <c r="A1143" s="72">
        <v>45624</v>
      </c>
      <c r="B1143">
        <v>59.187423706054688</v>
      </c>
      <c r="C1143">
        <v>121.44132995605469</v>
      </c>
      <c r="D1143">
        <v>96.907302856445313</v>
      </c>
      <c r="E1143">
        <v>155.25865173339844</v>
      </c>
      <c r="F1143">
        <v>44.575687408447266</v>
      </c>
    </row>
    <row r="1144" spans="1:6" x14ac:dyDescent="0.25">
      <c r="A1144" s="72">
        <v>45625</v>
      </c>
      <c r="B1144">
        <v>58.627197265625</v>
      </c>
      <c r="C1144">
        <v>120.90424346923828</v>
      </c>
      <c r="D1144">
        <v>95.687606811523438</v>
      </c>
      <c r="E1144">
        <v>156.96160888671875</v>
      </c>
      <c r="F1144">
        <v>44.545982360839844</v>
      </c>
    </row>
    <row r="1145" spans="1:6" x14ac:dyDescent="0.25">
      <c r="A1145" s="72">
        <v>45628</v>
      </c>
      <c r="B1145">
        <v>59.826274871826172</v>
      </c>
      <c r="C1145">
        <v>125.81759643554688</v>
      </c>
      <c r="D1145">
        <v>98.417388916015625</v>
      </c>
      <c r="E1145">
        <v>158.98385620117188</v>
      </c>
      <c r="F1145">
        <v>43.922199249267578</v>
      </c>
    </row>
    <row r="1146" spans="1:6" x14ac:dyDescent="0.25">
      <c r="A1146" s="72">
        <v>45629</v>
      </c>
      <c r="B1146">
        <v>58.666507720947266</v>
      </c>
      <c r="C1146">
        <v>126.07619476318359</v>
      </c>
      <c r="D1146">
        <v>99.850044250488281</v>
      </c>
      <c r="E1146">
        <v>160.36750793457031</v>
      </c>
      <c r="F1146">
        <v>45.417293548583984</v>
      </c>
    </row>
    <row r="1147" spans="1:6" x14ac:dyDescent="0.25">
      <c r="A1147" s="72">
        <v>45630</v>
      </c>
      <c r="B1147">
        <v>57.939197540283203</v>
      </c>
      <c r="C1147">
        <v>121.11310577392578</v>
      </c>
      <c r="D1147">
        <v>102.08614349365234</v>
      </c>
      <c r="E1147">
        <v>162.09947204589844</v>
      </c>
      <c r="F1147">
        <v>44.644992828369141</v>
      </c>
    </row>
    <row r="1148" spans="1:6" x14ac:dyDescent="0.25">
      <c r="A1148" s="72">
        <v>45631</v>
      </c>
      <c r="B1148">
        <v>58.017826080322266</v>
      </c>
      <c r="C1148">
        <v>121.77949523925781</v>
      </c>
      <c r="D1148">
        <v>101.61182403564453</v>
      </c>
      <c r="E1148">
        <v>162.44781494140625</v>
      </c>
      <c r="F1148">
        <v>45.298480987548828</v>
      </c>
    </row>
    <row r="1149" spans="1:6" x14ac:dyDescent="0.25">
      <c r="A1149" s="72">
        <v>45632</v>
      </c>
      <c r="B1149">
        <v>57.791770935058594</v>
      </c>
      <c r="C1149">
        <v>121.50100708007813</v>
      </c>
      <c r="D1149">
        <v>98.533554077148438</v>
      </c>
      <c r="E1149">
        <v>159.95143127441406</v>
      </c>
      <c r="F1149">
        <v>45.714332580566406</v>
      </c>
    </row>
    <row r="1150" spans="1:6" x14ac:dyDescent="0.25">
      <c r="A1150" s="72">
        <v>45635</v>
      </c>
      <c r="B1150">
        <v>57.595199584960938</v>
      </c>
      <c r="C1150">
        <v>120.44672393798828</v>
      </c>
      <c r="D1150">
        <v>104.83528900146484</v>
      </c>
      <c r="E1150">
        <v>161.48988342285156</v>
      </c>
      <c r="F1150">
        <v>46.130191802978516</v>
      </c>
    </row>
    <row r="1151" spans="1:6" x14ac:dyDescent="0.25">
      <c r="A1151" s="72">
        <v>45636</v>
      </c>
      <c r="B1151">
        <v>56.858058929443359</v>
      </c>
      <c r="C1151">
        <v>116.96560668945313</v>
      </c>
      <c r="D1151">
        <v>102.01837921142578</v>
      </c>
      <c r="E1151">
        <v>159.30314636230469</v>
      </c>
      <c r="F1151">
        <v>46.635154724121094</v>
      </c>
    </row>
    <row r="1152" spans="1:6" x14ac:dyDescent="0.25">
      <c r="A1152" s="72">
        <v>45637</v>
      </c>
      <c r="B1152">
        <v>57.447772979736328</v>
      </c>
      <c r="C1152">
        <v>115.64277648925781</v>
      </c>
      <c r="D1152">
        <v>102.62822723388672</v>
      </c>
      <c r="E1152">
        <v>158.73228454589844</v>
      </c>
      <c r="F1152">
        <v>45.367790222167969</v>
      </c>
    </row>
    <row r="1153" spans="1:6" x14ac:dyDescent="0.25">
      <c r="A1153" s="72">
        <v>45639</v>
      </c>
      <c r="B1153">
        <v>57.025146484375</v>
      </c>
      <c r="C1153">
        <v>116.70700073242188</v>
      </c>
      <c r="D1153">
        <v>102.58950805664063</v>
      </c>
      <c r="E1153">
        <v>158.45167541503906</v>
      </c>
      <c r="F1153">
        <v>44.130126953125</v>
      </c>
    </row>
    <row r="1154" spans="1:6" x14ac:dyDescent="0.25">
      <c r="A1154" s="72">
        <v>45642</v>
      </c>
      <c r="B1154">
        <v>55.983318328857422</v>
      </c>
      <c r="C1154">
        <v>117.64193725585938</v>
      </c>
      <c r="D1154">
        <v>100.16948699951172</v>
      </c>
      <c r="E1154">
        <v>158.09365844726563</v>
      </c>
      <c r="F1154">
        <v>43.833087921142578</v>
      </c>
    </row>
    <row r="1155" spans="1:6" x14ac:dyDescent="0.25">
      <c r="A1155" s="72">
        <v>45643</v>
      </c>
      <c r="B1155">
        <v>54.921840667724609</v>
      </c>
      <c r="C1155">
        <v>119.02443695068359</v>
      </c>
      <c r="D1155">
        <v>97.865623474121094</v>
      </c>
      <c r="E1155">
        <v>159.82563781738281</v>
      </c>
      <c r="F1155">
        <v>44.684600830078125</v>
      </c>
    </row>
    <row r="1156" spans="1:6" x14ac:dyDescent="0.25">
      <c r="A1156" s="72">
        <v>45644</v>
      </c>
      <c r="B1156">
        <v>54.754753112792969</v>
      </c>
      <c r="C1156">
        <v>116.97554779052734</v>
      </c>
      <c r="D1156">
        <v>96.229690551757813</v>
      </c>
      <c r="E1156">
        <v>155.65534973144531</v>
      </c>
      <c r="F1156">
        <v>43.743976593017578</v>
      </c>
    </row>
    <row r="1157" spans="1:6" x14ac:dyDescent="0.25">
      <c r="A1157" s="72">
        <v>45645</v>
      </c>
      <c r="B1157">
        <v>54.862865447998047</v>
      </c>
      <c r="C1157">
        <v>114.30005645751953</v>
      </c>
      <c r="D1157">
        <v>94.700248718261719</v>
      </c>
      <c r="E1157">
        <v>154.83291625976563</v>
      </c>
      <c r="F1157">
        <v>42.823154449462891</v>
      </c>
    </row>
    <row r="1158" spans="1:6" x14ac:dyDescent="0.25">
      <c r="A1158" s="72">
        <v>45646</v>
      </c>
      <c r="B1158">
        <v>54.78424072265625</v>
      </c>
      <c r="C1158">
        <v>110.79904937744141</v>
      </c>
      <c r="D1158">
        <v>95.890892028808594</v>
      </c>
      <c r="E1158">
        <v>154.87161254882813</v>
      </c>
      <c r="F1158">
        <v>44.852920532226563</v>
      </c>
    </row>
    <row r="1159" spans="1:6" x14ac:dyDescent="0.25">
      <c r="A1159" s="72">
        <v>45649</v>
      </c>
      <c r="B1159">
        <v>54.931667327880859</v>
      </c>
      <c r="C1159">
        <v>111.40576171875</v>
      </c>
      <c r="D1159">
        <v>96.83953857421875</v>
      </c>
      <c r="E1159">
        <v>154.08787536621094</v>
      </c>
      <c r="F1159">
        <v>44.347957611083984</v>
      </c>
    </row>
    <row r="1160" spans="1:6" x14ac:dyDescent="0.25">
      <c r="A1160" s="72">
        <v>45650</v>
      </c>
      <c r="B1160">
        <v>54.587669372558594</v>
      </c>
      <c r="C1160">
        <v>111.71408843994141</v>
      </c>
      <c r="D1160">
        <v>96.229690551757813</v>
      </c>
      <c r="E1160">
        <v>153.50732421875</v>
      </c>
      <c r="F1160">
        <v>43.080585479736328</v>
      </c>
    </row>
    <row r="1161" spans="1:6" x14ac:dyDescent="0.25">
      <c r="A1161" s="72">
        <v>45652</v>
      </c>
      <c r="B1161">
        <v>54.047100067138672</v>
      </c>
      <c r="C1161">
        <v>111.92295074462891</v>
      </c>
      <c r="D1161">
        <v>95.832809448242188</v>
      </c>
      <c r="E1161">
        <v>153.72987365722656</v>
      </c>
      <c r="F1161">
        <v>43.050884246826172</v>
      </c>
    </row>
    <row r="1162" spans="1:6" x14ac:dyDescent="0.25">
      <c r="A1162" s="72">
        <v>45653</v>
      </c>
      <c r="B1162">
        <v>53.889842987060547</v>
      </c>
      <c r="C1162">
        <v>112.68880462646484</v>
      </c>
      <c r="D1162">
        <v>95.745689392089844</v>
      </c>
      <c r="E1162">
        <v>154.56199645996094</v>
      </c>
      <c r="F1162">
        <v>42.486507415771484</v>
      </c>
    </row>
    <row r="1163" spans="1:6" x14ac:dyDescent="0.25">
      <c r="A1163" s="72">
        <v>45656</v>
      </c>
      <c r="B1163">
        <v>53.457386016845703</v>
      </c>
      <c r="C1163">
        <v>111.3858642578125</v>
      </c>
      <c r="D1163">
        <v>94.051681518554688</v>
      </c>
      <c r="E1163">
        <v>154.9683837890625</v>
      </c>
      <c r="F1163">
        <v>42.684535980224609</v>
      </c>
    </row>
    <row r="1164" spans="1:6" x14ac:dyDescent="0.25">
      <c r="A1164" s="72">
        <v>45657</v>
      </c>
      <c r="B1164">
        <v>54.400924682617188</v>
      </c>
      <c r="C1164">
        <v>114.91671752929688</v>
      </c>
      <c r="D1164">
        <v>96.103851318359375</v>
      </c>
      <c r="E1164">
        <v>156.87452697753906</v>
      </c>
      <c r="F1164">
        <v>43.159797668457031</v>
      </c>
    </row>
    <row r="1165" spans="1:6" x14ac:dyDescent="0.25">
      <c r="A1165" s="72">
        <v>45659</v>
      </c>
      <c r="B1165">
        <v>54.224010467529297</v>
      </c>
      <c r="C1165">
        <v>115.06591033935547</v>
      </c>
      <c r="D1165">
        <v>96.762100219726563</v>
      </c>
      <c r="E1165">
        <v>154.83291625976563</v>
      </c>
      <c r="F1165">
        <v>45.447002410888672</v>
      </c>
    </row>
    <row r="1166" spans="1:6" x14ac:dyDescent="0.25">
      <c r="A1166" s="72">
        <v>45660</v>
      </c>
      <c r="B1166">
        <v>53.437728881835938</v>
      </c>
      <c r="C1166">
        <v>112.00252532958984</v>
      </c>
      <c r="D1166">
        <v>94.400154113769531</v>
      </c>
      <c r="E1166">
        <v>152.0849609375</v>
      </c>
      <c r="F1166">
        <v>45.575714111328125</v>
      </c>
    </row>
    <row r="1167" spans="1:6" x14ac:dyDescent="0.25">
      <c r="A1167" s="72">
        <v>45663</v>
      </c>
      <c r="B1167">
        <v>53.506526947021484</v>
      </c>
      <c r="C1167">
        <v>110.68964385986328</v>
      </c>
      <c r="D1167">
        <v>96.800819396972656</v>
      </c>
      <c r="E1167">
        <v>149.5982666015625</v>
      </c>
      <c r="F1167">
        <v>45.031143188476563</v>
      </c>
    </row>
    <row r="1168" spans="1:6" x14ac:dyDescent="0.25">
      <c r="A1168" s="72">
        <v>45664</v>
      </c>
      <c r="B1168">
        <v>53.388587951660156</v>
      </c>
      <c r="C1168">
        <v>112.41030883789063</v>
      </c>
      <c r="D1168">
        <v>97.691383361816406</v>
      </c>
      <c r="E1168">
        <v>149.57893371582031</v>
      </c>
      <c r="F1168">
        <v>46.348018646240234</v>
      </c>
    </row>
    <row r="1169" spans="1:6" x14ac:dyDescent="0.25">
      <c r="A1169" s="72">
        <v>45665</v>
      </c>
      <c r="B1169">
        <v>50.813514709472656</v>
      </c>
      <c r="C1169">
        <v>113.23583221435547</v>
      </c>
      <c r="D1169">
        <v>99.133720397949219</v>
      </c>
      <c r="E1169">
        <v>150.35299682617188</v>
      </c>
      <c r="F1169">
        <v>43.476638793945313</v>
      </c>
    </row>
    <row r="1170" spans="1:6" x14ac:dyDescent="0.25">
      <c r="A1170" s="72">
        <v>45666</v>
      </c>
      <c r="B1170">
        <v>50.518657684326172</v>
      </c>
      <c r="C1170">
        <v>115.49359130859375</v>
      </c>
      <c r="D1170">
        <v>100.43083953857422</v>
      </c>
      <c r="E1170">
        <v>146.376220703125</v>
      </c>
      <c r="F1170">
        <v>43.565750122070313</v>
      </c>
    </row>
    <row r="1171" spans="1:6" x14ac:dyDescent="0.25">
      <c r="A1171" s="72">
        <v>45667</v>
      </c>
      <c r="B1171">
        <v>49.66357421875</v>
      </c>
      <c r="C1171">
        <v>112.63906860351563</v>
      </c>
      <c r="D1171">
        <v>98.930427551269531</v>
      </c>
      <c r="E1171">
        <v>149.26930236816406</v>
      </c>
      <c r="F1171">
        <v>43.605358123779297</v>
      </c>
    </row>
    <row r="1172" spans="1:6" x14ac:dyDescent="0.25">
      <c r="A1172" s="72">
        <v>45670</v>
      </c>
      <c r="B1172">
        <v>49.958431243896484</v>
      </c>
      <c r="C1172">
        <v>113.94200134277344</v>
      </c>
      <c r="D1172">
        <v>97.962425231933594</v>
      </c>
      <c r="E1172">
        <v>152.0462646484375</v>
      </c>
      <c r="F1172">
        <v>41.407264709472656</v>
      </c>
    </row>
    <row r="1173" spans="1:6" x14ac:dyDescent="0.25">
      <c r="A1173" s="72">
        <v>45671</v>
      </c>
      <c r="B1173">
        <v>49.968257904052734</v>
      </c>
      <c r="C1173">
        <v>117.81101989746094</v>
      </c>
      <c r="D1173">
        <v>98.039871215820313</v>
      </c>
      <c r="E1173">
        <v>151.901123046875</v>
      </c>
      <c r="F1173">
        <v>40.506248474121094</v>
      </c>
    </row>
    <row r="1174" spans="1:6" x14ac:dyDescent="0.25">
      <c r="A1174" s="72">
        <v>45672</v>
      </c>
      <c r="B1174">
        <v>49.594772338867188</v>
      </c>
      <c r="C1174">
        <v>119.68087768554688</v>
      </c>
      <c r="D1174">
        <v>99.230522155761719</v>
      </c>
      <c r="E1174">
        <v>151.42701721191406</v>
      </c>
      <c r="F1174">
        <v>39.347797393798828</v>
      </c>
    </row>
    <row r="1175" spans="1:6" x14ac:dyDescent="0.25">
      <c r="A1175" s="72">
        <v>45673</v>
      </c>
      <c r="B1175">
        <v>48.464492797851563</v>
      </c>
      <c r="C1175">
        <v>116.56775665283203</v>
      </c>
      <c r="D1175">
        <v>99.6370849609375</v>
      </c>
      <c r="E1175">
        <v>154.07818603515625</v>
      </c>
      <c r="F1175">
        <v>40.318122863769531</v>
      </c>
    </row>
    <row r="1176" spans="1:6" x14ac:dyDescent="0.25">
      <c r="A1176" s="72">
        <v>45674</v>
      </c>
      <c r="B1176">
        <v>51.186996459960938</v>
      </c>
      <c r="C1176">
        <v>115.93121337890625</v>
      </c>
      <c r="D1176">
        <v>99.346672058105469</v>
      </c>
      <c r="E1176">
        <v>152.73324584960938</v>
      </c>
      <c r="F1176">
        <v>40.951808929443359</v>
      </c>
    </row>
    <row r="1177" spans="1:6" x14ac:dyDescent="0.25">
      <c r="A1177" s="72">
        <v>45677</v>
      </c>
      <c r="B1177">
        <v>51.304939270019531</v>
      </c>
      <c r="C1177">
        <v>116.36884307861328</v>
      </c>
      <c r="D1177">
        <v>100.56637573242188</v>
      </c>
      <c r="E1177">
        <v>154.08787536621094</v>
      </c>
      <c r="F1177">
        <v>40.486446380615234</v>
      </c>
    </row>
    <row r="1178" spans="1:6" x14ac:dyDescent="0.25">
      <c r="A1178" s="72">
        <v>45678</v>
      </c>
      <c r="B1178">
        <v>52.091220855712891</v>
      </c>
      <c r="C1178">
        <v>116.18981170654297</v>
      </c>
      <c r="D1178">
        <v>100.97293090820313</v>
      </c>
      <c r="E1178">
        <v>150.66261291503906</v>
      </c>
      <c r="F1178">
        <v>40.229011535644531</v>
      </c>
    </row>
    <row r="1179" spans="1:6" x14ac:dyDescent="0.25">
      <c r="A1179" s="72">
        <v>45679</v>
      </c>
      <c r="B1179">
        <v>53.771900177001953</v>
      </c>
      <c r="C1179">
        <v>117.9801025390625</v>
      </c>
      <c r="D1179">
        <v>101.93126678466797</v>
      </c>
      <c r="E1179">
        <v>149.06610107421875</v>
      </c>
      <c r="F1179">
        <v>41.337959289550781</v>
      </c>
    </row>
    <row r="1180" spans="1:6" x14ac:dyDescent="0.25">
      <c r="A1180" s="72">
        <v>45680</v>
      </c>
      <c r="B1180">
        <v>53.044589996337891</v>
      </c>
      <c r="C1180">
        <v>119.57147216796875</v>
      </c>
      <c r="D1180">
        <v>101.94094085693359</v>
      </c>
      <c r="E1180">
        <v>148.57264709472656</v>
      </c>
      <c r="F1180">
        <v>41.833023071289063</v>
      </c>
    </row>
    <row r="1181" spans="1:6" x14ac:dyDescent="0.25">
      <c r="A1181" s="72">
        <v>45681</v>
      </c>
      <c r="B1181">
        <v>53.388587951660156</v>
      </c>
      <c r="C1181">
        <v>121.03354644775391</v>
      </c>
      <c r="D1181">
        <v>100.78901672363281</v>
      </c>
      <c r="E1181">
        <v>149.89822387695313</v>
      </c>
      <c r="F1181">
        <v>43.169696807861328</v>
      </c>
    </row>
    <row r="1182" spans="1:6" x14ac:dyDescent="0.25">
      <c r="A1182" s="72">
        <v>45684</v>
      </c>
      <c r="B1182">
        <v>52.798877716064453</v>
      </c>
      <c r="C1182">
        <v>118.47740936279297</v>
      </c>
      <c r="D1182">
        <v>100.55669403076172</v>
      </c>
      <c r="E1182">
        <v>155.65534973144531</v>
      </c>
      <c r="F1182">
        <v>44.21923828125</v>
      </c>
    </row>
    <row r="1183" spans="1:6" x14ac:dyDescent="0.25">
      <c r="A1183" s="72">
        <v>45685</v>
      </c>
      <c r="B1183">
        <v>53.477043151855469</v>
      </c>
      <c r="C1183">
        <v>119.34271240234375</v>
      </c>
      <c r="D1183">
        <v>97.991470336914063</v>
      </c>
      <c r="E1183">
        <v>154.81355285644531</v>
      </c>
      <c r="F1183">
        <v>44.110321044921875</v>
      </c>
    </row>
    <row r="1184" spans="1:6" x14ac:dyDescent="0.25">
      <c r="A1184" s="72">
        <v>45686</v>
      </c>
      <c r="B1184">
        <v>53.290302276611328</v>
      </c>
      <c r="C1184">
        <v>119.14379119873047</v>
      </c>
      <c r="D1184">
        <v>98.5045166015625</v>
      </c>
      <c r="E1184">
        <v>157.60020446777344</v>
      </c>
      <c r="F1184">
        <v>43.842987060546875</v>
      </c>
    </row>
    <row r="1185" spans="1:6" x14ac:dyDescent="0.25">
      <c r="A1185" s="72">
        <v>45687</v>
      </c>
      <c r="B1185">
        <v>54.007785797119141</v>
      </c>
      <c r="C1185">
        <v>120.18812561035156</v>
      </c>
      <c r="D1185">
        <v>99.00787353515625</v>
      </c>
      <c r="E1185">
        <v>158.80000305175781</v>
      </c>
      <c r="F1185">
        <v>44.367759704589844</v>
      </c>
    </row>
    <row r="1186" spans="1:6" x14ac:dyDescent="0.25">
      <c r="A1186" s="72">
        <v>45688</v>
      </c>
      <c r="B1186">
        <v>53.368930816650391</v>
      </c>
      <c r="C1186">
        <v>117.04517364501953</v>
      </c>
      <c r="D1186">
        <v>97.914031982421875</v>
      </c>
      <c r="E1186">
        <v>156.95191955566406</v>
      </c>
      <c r="F1186">
        <v>43.763778686523438</v>
      </c>
    </row>
    <row r="1187" spans="1:6" x14ac:dyDescent="0.25">
      <c r="A1187" s="72">
        <v>45692</v>
      </c>
      <c r="B1187">
        <v>53.378761291503906</v>
      </c>
      <c r="C1187">
        <v>115.99089050292969</v>
      </c>
      <c r="D1187">
        <v>99.675804138183594</v>
      </c>
      <c r="E1187">
        <v>154.42654418945313</v>
      </c>
      <c r="F1187">
        <v>45.308380126953125</v>
      </c>
    </row>
    <row r="1188" spans="1:6" x14ac:dyDescent="0.25">
      <c r="A1188" s="72">
        <v>45693</v>
      </c>
      <c r="B1188">
        <v>53.457386016845703</v>
      </c>
      <c r="C1188">
        <v>115.67262268066406</v>
      </c>
      <c r="D1188">
        <v>98.74652099609375</v>
      </c>
      <c r="E1188">
        <v>154.88130187988281</v>
      </c>
      <c r="F1188">
        <v>45.486602783203125</v>
      </c>
    </row>
    <row r="1189" spans="1:6" x14ac:dyDescent="0.25">
      <c r="A1189" s="72">
        <v>45694</v>
      </c>
      <c r="B1189">
        <v>53.555675506591797</v>
      </c>
      <c r="C1189">
        <v>116.52798461914063</v>
      </c>
      <c r="D1189">
        <v>101.19557952880859</v>
      </c>
      <c r="E1189">
        <v>154.91999816894531</v>
      </c>
      <c r="F1189">
        <v>47.2391357421875</v>
      </c>
    </row>
    <row r="1190" spans="1:6" x14ac:dyDescent="0.25">
      <c r="A1190" s="72">
        <v>45695</v>
      </c>
      <c r="B1190">
        <v>53.123214721679688</v>
      </c>
      <c r="C1190">
        <v>115.45380401611328</v>
      </c>
      <c r="D1190">
        <v>102.97670745849609</v>
      </c>
      <c r="E1190">
        <v>154.32009887695313</v>
      </c>
      <c r="F1190">
        <v>48.34808349609375</v>
      </c>
    </row>
    <row r="1191" spans="1:6" x14ac:dyDescent="0.25">
      <c r="A1191" s="72">
        <v>45698</v>
      </c>
      <c r="B1191">
        <v>53.486869812011719</v>
      </c>
      <c r="C1191">
        <v>118.60670471191406</v>
      </c>
      <c r="D1191">
        <v>103.85759735107422</v>
      </c>
      <c r="E1191">
        <v>156.41006469726563</v>
      </c>
      <c r="F1191">
        <v>49.377819061279297</v>
      </c>
    </row>
    <row r="1192" spans="1:6" x14ac:dyDescent="0.25">
      <c r="A1192" s="72">
        <v>45699</v>
      </c>
      <c r="B1192">
        <v>54.400924682617188</v>
      </c>
      <c r="C1192">
        <v>121.34186553955078</v>
      </c>
      <c r="D1192">
        <v>102.49269866943359</v>
      </c>
      <c r="E1192">
        <v>157.69696044921875</v>
      </c>
      <c r="F1192">
        <v>49.219398498535156</v>
      </c>
    </row>
    <row r="1193" spans="1:6" x14ac:dyDescent="0.25">
      <c r="A1193" s="72">
        <v>45700</v>
      </c>
      <c r="B1193">
        <v>55.855552673339844</v>
      </c>
      <c r="C1193">
        <v>120.90424346923828</v>
      </c>
      <c r="D1193">
        <v>101.45693206787109</v>
      </c>
      <c r="E1193">
        <v>165.73757934570313</v>
      </c>
      <c r="F1193">
        <v>49.100582122802734</v>
      </c>
    </row>
    <row r="1194" spans="1:6" x14ac:dyDescent="0.25">
      <c r="A1194" s="72">
        <v>45701</v>
      </c>
      <c r="B1194">
        <v>56.651660919189453</v>
      </c>
      <c r="C1194">
        <v>121.68997955322266</v>
      </c>
      <c r="D1194">
        <v>101.54405212402344</v>
      </c>
      <c r="E1194">
        <v>167.97271728515625</v>
      </c>
      <c r="F1194">
        <v>48.97186279296875</v>
      </c>
    </row>
    <row r="1195" spans="1:6" x14ac:dyDescent="0.25">
      <c r="A1195" s="72">
        <v>45702</v>
      </c>
      <c r="B1195">
        <v>55.924350738525391</v>
      </c>
      <c r="C1195">
        <v>121.78943634033203</v>
      </c>
      <c r="D1195">
        <v>101.93126678466797</v>
      </c>
      <c r="E1195">
        <v>165.66986083984375</v>
      </c>
      <c r="F1195">
        <v>50.981834411621094</v>
      </c>
    </row>
    <row r="1196" spans="1:6" x14ac:dyDescent="0.25">
      <c r="A1196" s="72">
        <v>45705</v>
      </c>
      <c r="B1196">
        <v>55.826061248779297</v>
      </c>
      <c r="C1196">
        <v>118.97470855712891</v>
      </c>
      <c r="D1196">
        <v>101.96997833251953</v>
      </c>
      <c r="E1196">
        <v>167.06317138671875</v>
      </c>
      <c r="F1196">
        <v>50.328346252441406</v>
      </c>
    </row>
    <row r="1197" spans="1:6" x14ac:dyDescent="0.25">
      <c r="A1197" s="72">
        <v>45706</v>
      </c>
      <c r="B1197">
        <v>56.445262908935547</v>
      </c>
      <c r="C1197">
        <v>123.30123901367188</v>
      </c>
      <c r="D1197">
        <v>103.67368316650391</v>
      </c>
      <c r="E1197">
        <v>167.266357421875</v>
      </c>
      <c r="F1197">
        <v>50.516468048095703</v>
      </c>
    </row>
    <row r="1198" spans="1:6" x14ac:dyDescent="0.25">
      <c r="A1198" s="72">
        <v>45707</v>
      </c>
      <c r="B1198">
        <v>55.403434753417969</v>
      </c>
      <c r="C1198">
        <v>123.55984497070313</v>
      </c>
      <c r="D1198">
        <v>101.16653442382813</v>
      </c>
      <c r="E1198">
        <v>166.98577880859375</v>
      </c>
      <c r="F1198">
        <v>50.645187377929688</v>
      </c>
    </row>
    <row r="1199" spans="1:6" x14ac:dyDescent="0.25">
      <c r="A1199" s="72">
        <v>45708</v>
      </c>
      <c r="B1199">
        <v>55.806404113769531</v>
      </c>
      <c r="C1199">
        <v>123.33107757568359</v>
      </c>
      <c r="D1199">
        <v>101.29238128662109</v>
      </c>
      <c r="E1199">
        <v>166.35684204101563</v>
      </c>
      <c r="F1199">
        <v>49.664955139160156</v>
      </c>
    </row>
    <row r="1200" spans="1:6" x14ac:dyDescent="0.25">
      <c r="A1200" s="72">
        <v>45709</v>
      </c>
      <c r="B1200">
        <v>55.295322418212891</v>
      </c>
      <c r="C1200">
        <v>120.79483032226563</v>
      </c>
      <c r="D1200">
        <v>100.43083953857422</v>
      </c>
      <c r="E1200">
        <v>175.31666564941406</v>
      </c>
      <c r="F1200">
        <v>49.199592590332031</v>
      </c>
    </row>
    <row r="1201" spans="1:6" x14ac:dyDescent="0.25">
      <c r="A1201" s="72">
        <v>45712</v>
      </c>
      <c r="B1201">
        <v>55.619663238525391</v>
      </c>
      <c r="C1201">
        <v>121.20262145996094</v>
      </c>
      <c r="D1201">
        <v>100.45989227294922</v>
      </c>
      <c r="E1201">
        <v>175.46180725097656</v>
      </c>
      <c r="F1201">
        <v>48.97186279296875</v>
      </c>
    </row>
    <row r="1202" spans="1:6" x14ac:dyDescent="0.25">
      <c r="A1202" s="72">
        <v>45713</v>
      </c>
      <c r="B1202">
        <v>55.521381378173828</v>
      </c>
      <c r="C1202">
        <v>118.05966949462891</v>
      </c>
      <c r="D1202">
        <v>99.733879089355469</v>
      </c>
      <c r="E1202">
        <v>173.07188415527344</v>
      </c>
      <c r="F1202">
        <v>46.664863586425781</v>
      </c>
    </row>
    <row r="1203" spans="1:6" x14ac:dyDescent="0.25">
      <c r="A1203" s="72">
        <v>45714</v>
      </c>
      <c r="B1203">
        <v>56.337146759033203</v>
      </c>
      <c r="C1203">
        <v>117.56236267089844</v>
      </c>
      <c r="D1203">
        <v>99.153076171875</v>
      </c>
      <c r="E1203">
        <v>170.69163513183594</v>
      </c>
      <c r="F1203">
        <v>45.447002410888672</v>
      </c>
    </row>
    <row r="1204" spans="1:6" x14ac:dyDescent="0.25">
      <c r="A1204" s="72">
        <v>45715</v>
      </c>
      <c r="B1204">
        <v>53.575328826904297</v>
      </c>
      <c r="C1204">
        <v>115.97100067138672</v>
      </c>
      <c r="D1204">
        <v>97.000343322753906</v>
      </c>
      <c r="E1204">
        <v>175.17153930664063</v>
      </c>
      <c r="F1204">
        <v>44.536079406738281</v>
      </c>
    </row>
    <row r="1205" spans="1:6" x14ac:dyDescent="0.25">
      <c r="A1205" s="72">
        <v>45716</v>
      </c>
      <c r="B1205">
        <v>54.381271362304688</v>
      </c>
      <c r="C1205">
        <v>118.71611022949219</v>
      </c>
      <c r="D1205">
        <v>94.622543334960938</v>
      </c>
      <c r="E1205">
        <v>176.87449645996094</v>
      </c>
      <c r="F1205">
        <v>44.615291595458984</v>
      </c>
    </row>
    <row r="1206" spans="1:6" x14ac:dyDescent="0.25">
      <c r="A1206" s="72">
        <v>45719</v>
      </c>
      <c r="B1206">
        <v>53.693271636962891</v>
      </c>
      <c r="C1206">
        <v>116.53792572021484</v>
      </c>
      <c r="D1206">
        <v>95.385787963867188</v>
      </c>
      <c r="E1206">
        <v>173.76853942871094</v>
      </c>
      <c r="F1206">
        <v>44.248939514160156</v>
      </c>
    </row>
    <row r="1207" spans="1:6" x14ac:dyDescent="0.25">
      <c r="A1207" s="72">
        <v>45720</v>
      </c>
      <c r="B1207">
        <v>53.978298187255859</v>
      </c>
      <c r="C1207">
        <v>119.18357849121094</v>
      </c>
      <c r="D1207">
        <v>96.100105285644531</v>
      </c>
      <c r="E1207">
        <v>175.72306823730469</v>
      </c>
      <c r="F1207">
        <v>42.734043121337891</v>
      </c>
    </row>
    <row r="1208" spans="1:6" x14ac:dyDescent="0.25">
      <c r="A1208" s="72">
        <v>45721</v>
      </c>
      <c r="B1208">
        <v>55.708122253417969</v>
      </c>
      <c r="C1208">
        <v>114.72773742675781</v>
      </c>
      <c r="D1208">
        <v>100.11202239990234</v>
      </c>
      <c r="E1208">
        <v>172.07527160644531</v>
      </c>
      <c r="F1208">
        <v>41.892433166503906</v>
      </c>
    </row>
    <row r="1209" spans="1:6" x14ac:dyDescent="0.25">
      <c r="A1209" s="72">
        <v>45722</v>
      </c>
      <c r="B1209">
        <v>55.452579498291016</v>
      </c>
      <c r="C1209">
        <v>115.05596160888672</v>
      </c>
      <c r="D1209">
        <v>99.143295288085938</v>
      </c>
      <c r="E1209">
        <v>171.81402587890625</v>
      </c>
      <c r="F1209">
        <v>42.0904541015625</v>
      </c>
    </row>
    <row r="1210" spans="1:6" x14ac:dyDescent="0.25">
      <c r="A1210" s="72">
        <v>45723</v>
      </c>
      <c r="B1210">
        <v>57.319999694824219</v>
      </c>
      <c r="C1210">
        <v>116.17986297607422</v>
      </c>
      <c r="D1210">
        <v>98.742103576660156</v>
      </c>
      <c r="E1210">
        <v>168.77580261230469</v>
      </c>
      <c r="F1210">
        <v>41.605293273925781</v>
      </c>
    </row>
    <row r="1211" spans="1:6" x14ac:dyDescent="0.25">
      <c r="A1211" s="72">
        <v>45726</v>
      </c>
      <c r="B1211">
        <v>55.541034698486328</v>
      </c>
      <c r="C1211">
        <v>116.61749267578125</v>
      </c>
      <c r="D1211">
        <v>96.814430236816406</v>
      </c>
      <c r="E1211">
        <v>166.74388122558594</v>
      </c>
      <c r="F1211">
        <v>40.298320770263672</v>
      </c>
    </row>
    <row r="1212" spans="1:6" x14ac:dyDescent="0.25">
      <c r="A1212" s="72">
        <v>45727</v>
      </c>
      <c r="B1212">
        <v>53.565502166748047</v>
      </c>
      <c r="C1212">
        <v>113.95195007324219</v>
      </c>
      <c r="D1212">
        <v>96.286026000976563</v>
      </c>
      <c r="E1212">
        <v>168.31135559082031</v>
      </c>
      <c r="F1212">
        <v>39.664638519287109</v>
      </c>
    </row>
    <row r="1213" spans="1:6" x14ac:dyDescent="0.25">
      <c r="A1213" s="72">
        <v>45728</v>
      </c>
      <c r="B1213">
        <v>53.811214447021484</v>
      </c>
      <c r="C1213">
        <v>113.85249328613281</v>
      </c>
      <c r="D1213">
        <v>101.49172973632813</v>
      </c>
      <c r="E1213">
        <v>172.25912475585938</v>
      </c>
      <c r="F1213">
        <v>40.35772705078125</v>
      </c>
    </row>
    <row r="1214" spans="1:6" x14ac:dyDescent="0.25">
      <c r="A1214" s="72">
        <v>45729</v>
      </c>
      <c r="B1214">
        <v>54.322299957275391</v>
      </c>
      <c r="C1214">
        <v>116.07045745849609</v>
      </c>
      <c r="D1214">
        <v>102.81272888183594</v>
      </c>
      <c r="E1214">
        <v>171.25283813476563</v>
      </c>
      <c r="F1214">
        <v>40.615161895751953</v>
      </c>
    </row>
    <row r="1215" spans="1:6" x14ac:dyDescent="0.25">
      <c r="A1215" s="72">
        <v>45730</v>
      </c>
      <c r="B1215">
        <v>53.712932586669922</v>
      </c>
      <c r="C1215">
        <v>118.75589752197266</v>
      </c>
      <c r="D1215">
        <v>102.46045684814453</v>
      </c>
      <c r="E1215">
        <v>171.43666076660156</v>
      </c>
      <c r="F1215">
        <v>40.991413116455078</v>
      </c>
    </row>
    <row r="1216" spans="1:6" x14ac:dyDescent="0.25">
      <c r="A1216" s="72">
        <v>45734</v>
      </c>
      <c r="B1216">
        <v>54.970981597900391</v>
      </c>
      <c r="C1216">
        <v>113.59389495849609</v>
      </c>
      <c r="D1216">
        <v>102.95951080322266</v>
      </c>
      <c r="E1216">
        <v>172.81063842773438</v>
      </c>
      <c r="F1216">
        <v>41.496379852294922</v>
      </c>
    </row>
    <row r="1217" spans="1:6" x14ac:dyDescent="0.25">
      <c r="A1217" s="72">
        <v>45735</v>
      </c>
      <c r="B1217">
        <v>54.548355102539063</v>
      </c>
      <c r="C1217">
        <v>115.96105194091797</v>
      </c>
      <c r="D1217">
        <v>106.17882537841797</v>
      </c>
      <c r="E1217">
        <v>172.26878356933594</v>
      </c>
      <c r="F1217">
        <v>42.199371337890625</v>
      </c>
    </row>
    <row r="1218" spans="1:6" x14ac:dyDescent="0.25">
      <c r="A1218" s="72">
        <v>45736</v>
      </c>
      <c r="B1218">
        <v>53.437728881835938</v>
      </c>
      <c r="C1218">
        <v>116.23954772949219</v>
      </c>
      <c r="D1218">
        <v>105.12202453613281</v>
      </c>
      <c r="E1218">
        <v>176.87449645996094</v>
      </c>
      <c r="F1218">
        <v>43.050884246826172</v>
      </c>
    </row>
    <row r="1219" spans="1:6" x14ac:dyDescent="0.25">
      <c r="A1219" s="72">
        <v>45737</v>
      </c>
      <c r="B1219">
        <v>53.732585906982422</v>
      </c>
      <c r="C1219">
        <v>116.65727996826172</v>
      </c>
      <c r="D1219">
        <v>103.08670806884766</v>
      </c>
      <c r="E1219">
        <v>173.55567932128906</v>
      </c>
      <c r="F1219">
        <v>42.476608276367188</v>
      </c>
    </row>
    <row r="1220" spans="1:6" x14ac:dyDescent="0.25">
      <c r="A1220" s="72">
        <v>45740</v>
      </c>
      <c r="B1220">
        <v>53.742416381835938</v>
      </c>
      <c r="C1220">
        <v>115.71239471435547</v>
      </c>
      <c r="D1220">
        <v>101.5406494140625</v>
      </c>
      <c r="E1220">
        <v>171.16572570800781</v>
      </c>
      <c r="F1220">
        <v>42.704338073730469</v>
      </c>
    </row>
    <row r="1221" spans="1:6" x14ac:dyDescent="0.25">
      <c r="A1221" s="72">
        <v>45741</v>
      </c>
      <c r="B1221">
        <v>54.361614227294922</v>
      </c>
      <c r="C1221">
        <v>117.34355926513672</v>
      </c>
      <c r="D1221">
        <v>103.79124450683594</v>
      </c>
      <c r="E1221">
        <v>174.16523742675781</v>
      </c>
      <c r="F1221">
        <v>42.615226745605469</v>
      </c>
    </row>
    <row r="1222" spans="1:6" x14ac:dyDescent="0.25">
      <c r="A1222" s="72">
        <v>45742</v>
      </c>
      <c r="B1222">
        <v>54.902183532714844</v>
      </c>
      <c r="C1222">
        <v>117.50269317626953</v>
      </c>
      <c r="D1222">
        <v>102.90079498291016</v>
      </c>
      <c r="E1222">
        <v>176.40037536621094</v>
      </c>
      <c r="F1222">
        <v>42.476608276367188</v>
      </c>
    </row>
    <row r="1223" spans="1:6" x14ac:dyDescent="0.25">
      <c r="A1223" s="72">
        <v>45743</v>
      </c>
      <c r="B1223">
        <v>54.872699737548828</v>
      </c>
      <c r="C1223">
        <v>119.08411407470703</v>
      </c>
      <c r="D1223">
        <v>102.38217926025391</v>
      </c>
      <c r="E1223">
        <v>179.98043823242188</v>
      </c>
      <c r="F1223">
        <v>43.239006042480469</v>
      </c>
    </row>
    <row r="1224" spans="1:6" x14ac:dyDescent="0.25">
      <c r="A1224" s="72">
        <v>45744</v>
      </c>
      <c r="B1224">
        <v>55.413265228271484</v>
      </c>
      <c r="C1224">
        <v>118.71611022949219</v>
      </c>
      <c r="D1224">
        <v>102.36260986328125</v>
      </c>
      <c r="E1224">
        <v>182.79609680175781</v>
      </c>
      <c r="F1224">
        <v>43.100387573242188</v>
      </c>
    </row>
    <row r="1225" spans="1:6" x14ac:dyDescent="0.25">
      <c r="A1225" s="72">
        <v>45747</v>
      </c>
      <c r="B1225">
        <v>54.538528442382813</v>
      </c>
      <c r="C1225">
        <v>118.59675598144531</v>
      </c>
      <c r="D1225">
        <v>100.04351806640625</v>
      </c>
      <c r="E1225">
        <v>181.71243286132813</v>
      </c>
      <c r="F1225">
        <v>43.179599761962891</v>
      </c>
    </row>
    <row r="1226" spans="1:6" x14ac:dyDescent="0.25">
      <c r="A1226" s="72">
        <v>45748</v>
      </c>
      <c r="B1226">
        <v>56.307662963867188</v>
      </c>
      <c r="C1226">
        <v>118.63654327392578</v>
      </c>
      <c r="D1226">
        <v>102.95951080322266</v>
      </c>
      <c r="E1226">
        <v>184.57646179199219</v>
      </c>
      <c r="F1226">
        <v>43.219207763671875</v>
      </c>
    </row>
    <row r="1227" spans="1:6" x14ac:dyDescent="0.25">
      <c r="A1227" s="72">
        <v>45749</v>
      </c>
      <c r="B1227">
        <v>57.978515625</v>
      </c>
      <c r="C1227">
        <v>123.08242797851563</v>
      </c>
      <c r="D1227">
        <v>103.34112548828125</v>
      </c>
      <c r="E1227">
        <v>188.33070373535156</v>
      </c>
      <c r="F1227">
        <v>44.248939514160156</v>
      </c>
    </row>
    <row r="1228" spans="1:6" x14ac:dyDescent="0.25">
      <c r="A1228" s="72">
        <v>45750</v>
      </c>
      <c r="B1228">
        <v>58.607540130615234</v>
      </c>
      <c r="C1228">
        <v>129.14952087402344</v>
      </c>
      <c r="D1228">
        <v>98.282196044921875</v>
      </c>
      <c r="E1228">
        <v>187.94366455078125</v>
      </c>
      <c r="F1228">
        <v>45.367790222167969</v>
      </c>
    </row>
    <row r="1229" spans="1:6" x14ac:dyDescent="0.25">
      <c r="A1229" s="72">
        <v>45751</v>
      </c>
      <c r="B1229">
        <v>55.324810028076172</v>
      </c>
      <c r="C1229">
        <v>120.53623962402344</v>
      </c>
      <c r="D1229">
        <v>91.491287231445313</v>
      </c>
      <c r="E1229">
        <v>184.10234069824219</v>
      </c>
      <c r="F1229">
        <v>43.575653076171875</v>
      </c>
    </row>
    <row r="1230" spans="1:6" x14ac:dyDescent="0.25">
      <c r="A1230" s="72">
        <v>45754</v>
      </c>
      <c r="B1230">
        <v>54.410755157470703</v>
      </c>
      <c r="C1230">
        <v>115.52342987060547</v>
      </c>
      <c r="D1230">
        <v>92.499160766601563</v>
      </c>
      <c r="E1230">
        <v>179.73854064941406</v>
      </c>
      <c r="F1230">
        <v>41.803321838378906</v>
      </c>
    </row>
    <row r="1231" spans="1:6" x14ac:dyDescent="0.25">
      <c r="A1231" s="72">
        <v>45755</v>
      </c>
      <c r="B1231">
        <v>55.029953002929688</v>
      </c>
      <c r="C1231">
        <v>117.65188598632813</v>
      </c>
      <c r="D1231">
        <v>91.002037048339844</v>
      </c>
      <c r="E1231">
        <v>180.85127258300781</v>
      </c>
      <c r="F1231">
        <v>41.803321838378906</v>
      </c>
    </row>
    <row r="1232" spans="1:6" x14ac:dyDescent="0.25">
      <c r="A1232" s="72">
        <v>45756</v>
      </c>
      <c r="B1232">
        <v>58.057140350341797</v>
      </c>
      <c r="C1232">
        <v>128.73178100585938</v>
      </c>
      <c r="D1232">
        <v>96.853569030761719</v>
      </c>
      <c r="E1232">
        <v>188.18556213378906</v>
      </c>
      <c r="F1232">
        <v>44.258842468261719</v>
      </c>
    </row>
    <row r="1233" spans="1:6" x14ac:dyDescent="0.25">
      <c r="A1233" s="72">
        <v>45757</v>
      </c>
      <c r="B1233">
        <v>56.799087524414063</v>
      </c>
      <c r="C1233">
        <v>130.06455993652344</v>
      </c>
      <c r="D1233">
        <v>94.857391357421875</v>
      </c>
      <c r="E1233">
        <v>187.08251953125</v>
      </c>
      <c r="F1233">
        <v>41.169635772705078</v>
      </c>
    </row>
    <row r="1234" spans="1:6" x14ac:dyDescent="0.25">
      <c r="A1234" s="72">
        <v>45758</v>
      </c>
      <c r="B1234">
        <v>57.290515899658203</v>
      </c>
      <c r="C1234">
        <v>125.67835235595703</v>
      </c>
      <c r="D1234">
        <v>95.082443237304688</v>
      </c>
      <c r="E1234">
        <v>183.61854553222656</v>
      </c>
      <c r="F1234">
        <v>40.922103881835938</v>
      </c>
    </row>
    <row r="1235" spans="1:6" x14ac:dyDescent="0.25">
      <c r="A1235" s="72">
        <v>45761</v>
      </c>
      <c r="B1235">
        <v>58.31268310546875</v>
      </c>
      <c r="C1235">
        <v>129.21914672851563</v>
      </c>
      <c r="D1235">
        <v>95.1802978515625</v>
      </c>
      <c r="E1235">
        <v>183.14445495605469</v>
      </c>
      <c r="F1235">
        <v>41.031017303466797</v>
      </c>
    </row>
    <row r="1236" spans="1:6" x14ac:dyDescent="0.25">
      <c r="A1236" s="72">
        <v>45762</v>
      </c>
      <c r="B1236">
        <v>58.224227905273438</v>
      </c>
      <c r="C1236">
        <v>127.21999359130859</v>
      </c>
      <c r="D1236">
        <v>96.794845581054688</v>
      </c>
      <c r="E1236">
        <v>184.4893798828125</v>
      </c>
      <c r="F1236">
        <v>40.634963989257813</v>
      </c>
    </row>
    <row r="1237" spans="1:6" x14ac:dyDescent="0.25">
      <c r="A1237" s="72">
        <v>45763</v>
      </c>
      <c r="B1237">
        <v>59.098964691162109</v>
      </c>
      <c r="C1237">
        <v>128.98043823242188</v>
      </c>
      <c r="D1237">
        <v>97.362388610839844</v>
      </c>
      <c r="E1237">
        <v>183.86044311523438</v>
      </c>
      <c r="F1237">
        <v>41.031017303466797</v>
      </c>
    </row>
    <row r="1238" spans="1:6" x14ac:dyDescent="0.25">
      <c r="A1238" s="72">
        <v>45768</v>
      </c>
      <c r="B1238">
        <v>61.438152313232422</v>
      </c>
      <c r="C1238">
        <v>128.95059204101563</v>
      </c>
      <c r="D1238">
        <v>97.734222412109375</v>
      </c>
      <c r="E1238">
        <v>185.06024169921875</v>
      </c>
      <c r="F1238">
        <v>42.130062103271484</v>
      </c>
    </row>
    <row r="1239" spans="1:6" x14ac:dyDescent="0.25">
      <c r="A1239" s="72">
        <v>45769</v>
      </c>
      <c r="B1239">
        <v>62.303066253662109</v>
      </c>
      <c r="C1239">
        <v>131.93441772460938</v>
      </c>
      <c r="D1239">
        <v>98.321342468261719</v>
      </c>
      <c r="E1239">
        <v>184.78671264648438</v>
      </c>
      <c r="F1239">
        <v>40.674571990966797</v>
      </c>
    </row>
    <row r="1240" spans="1:6" x14ac:dyDescent="0.25">
      <c r="A1240" s="72">
        <v>45770</v>
      </c>
      <c r="B1240">
        <v>65.3597412109375</v>
      </c>
      <c r="C1240">
        <v>138.58831787109375</v>
      </c>
      <c r="D1240">
        <v>99.730400085449219</v>
      </c>
      <c r="E1240">
        <v>187.25846862792969</v>
      </c>
      <c r="F1240">
        <v>42.040950775146484</v>
      </c>
    </row>
    <row r="1241" spans="1:6" x14ac:dyDescent="0.25">
      <c r="A1241" s="72">
        <v>45771</v>
      </c>
      <c r="B1241">
        <v>66.352424621582031</v>
      </c>
      <c r="C1241">
        <v>141.19419860839844</v>
      </c>
      <c r="D1241">
        <v>99.975028991699219</v>
      </c>
      <c r="E1241">
        <v>188.98773193359375</v>
      </c>
      <c r="F1241">
        <v>43.159797668457031</v>
      </c>
    </row>
    <row r="1242" spans="1:6" x14ac:dyDescent="0.25">
      <c r="A1242" s="72">
        <v>45772</v>
      </c>
      <c r="B1242">
        <v>65.36956787109375</v>
      </c>
      <c r="C1242">
        <v>144.20785522460938</v>
      </c>
      <c r="D1242">
        <v>102.44089508056641</v>
      </c>
      <c r="E1242">
        <v>186.68205261230469</v>
      </c>
      <c r="F1242">
        <v>45.140060424804688</v>
      </c>
    </row>
    <row r="1243" spans="1:6" x14ac:dyDescent="0.25">
      <c r="A1243" s="72">
        <v>45775</v>
      </c>
      <c r="B1243">
        <v>66.234481811523438</v>
      </c>
      <c r="C1243">
        <v>147.67901611328125</v>
      </c>
      <c r="D1243">
        <v>103.82059478759766</v>
      </c>
      <c r="E1243">
        <v>183.68270874023438</v>
      </c>
      <c r="F1243">
        <v>45.714332580566406</v>
      </c>
    </row>
    <row r="1244" spans="1:6" x14ac:dyDescent="0.25">
      <c r="A1244" s="72">
        <v>45776</v>
      </c>
      <c r="B1244">
        <v>62.214607238769531</v>
      </c>
      <c r="C1244">
        <v>134.88839721679688</v>
      </c>
      <c r="D1244">
        <v>99.975028991699219</v>
      </c>
      <c r="E1244">
        <v>177.24440002441406</v>
      </c>
      <c r="F1244">
        <v>43.377628326416016</v>
      </c>
    </row>
    <row r="1245" spans="1:6" x14ac:dyDescent="0.25">
      <c r="A1245" s="72">
        <v>45777</v>
      </c>
      <c r="B1245">
        <v>58.6468505859375</v>
      </c>
      <c r="C1245">
        <v>135.64430236816406</v>
      </c>
      <c r="D1245">
        <v>99.573837280273438</v>
      </c>
      <c r="E1245">
        <v>180.634521484375</v>
      </c>
      <c r="F1245">
        <v>43.536048889160156</v>
      </c>
    </row>
    <row r="1246" spans="1:6" x14ac:dyDescent="0.25">
      <c r="A1246" s="72">
        <v>45779</v>
      </c>
      <c r="B1246">
        <v>57.221717834472656</v>
      </c>
      <c r="C1246">
        <v>134.27174377441406</v>
      </c>
      <c r="D1246">
        <v>98.937797546386719</v>
      </c>
      <c r="E1246">
        <v>180.14602661132813</v>
      </c>
      <c r="F1246">
        <v>42.684535980224609</v>
      </c>
    </row>
    <row r="1247" spans="1:6" x14ac:dyDescent="0.25">
      <c r="A1247" s="72">
        <v>45782</v>
      </c>
      <c r="B1247">
        <v>57.35931396484375</v>
      </c>
      <c r="C1247">
        <v>130.36294555664063</v>
      </c>
      <c r="D1247">
        <v>99.867385864257813</v>
      </c>
      <c r="E1247">
        <v>179.2178955078125</v>
      </c>
      <c r="F1247">
        <v>43.526145935058594</v>
      </c>
    </row>
    <row r="1248" spans="1:6" x14ac:dyDescent="0.25">
      <c r="A1248" s="72">
        <v>45783</v>
      </c>
      <c r="B1248">
        <v>59.492103576660156</v>
      </c>
      <c r="C1248">
        <v>135.77359008789063</v>
      </c>
      <c r="D1248">
        <v>103.60532379150391</v>
      </c>
      <c r="E1248">
        <v>181.93391418457031</v>
      </c>
      <c r="F1248">
        <v>44.744007110595703</v>
      </c>
    </row>
    <row r="1249" spans="1:6" x14ac:dyDescent="0.25">
      <c r="A1249" s="72">
        <v>45784</v>
      </c>
      <c r="B1249">
        <v>59.27587890625</v>
      </c>
      <c r="C1249">
        <v>137.29533386230469</v>
      </c>
      <c r="D1249">
        <v>100.75784301757813</v>
      </c>
      <c r="E1249">
        <v>181.25978088378906</v>
      </c>
      <c r="F1249">
        <v>44.536079406738281</v>
      </c>
    </row>
    <row r="1250" spans="1:6" x14ac:dyDescent="0.25">
      <c r="A1250" s="72">
        <v>45785</v>
      </c>
      <c r="B1250">
        <v>58.823764801025391</v>
      </c>
      <c r="C1250">
        <v>131.47689819335938</v>
      </c>
      <c r="D1250">
        <v>100.20008850097656</v>
      </c>
      <c r="E1250">
        <v>176.83404541015625</v>
      </c>
      <c r="F1250">
        <v>43.773677825927734</v>
      </c>
    </row>
    <row r="1251" spans="1:6" x14ac:dyDescent="0.25">
      <c r="A1251" s="72">
        <v>45786</v>
      </c>
      <c r="B1251">
        <v>57.762283325195313</v>
      </c>
      <c r="C1251">
        <v>130.10433959960938</v>
      </c>
      <c r="D1251">
        <v>99.270492553710938</v>
      </c>
      <c r="E1251">
        <v>176.84382629394531</v>
      </c>
      <c r="F1251">
        <v>45.981670379638672</v>
      </c>
    </row>
    <row r="1252" spans="1:6" x14ac:dyDescent="0.25">
      <c r="A1252" s="72">
        <v>45789</v>
      </c>
      <c r="B1252">
        <v>57.319999694824219</v>
      </c>
      <c r="C1252">
        <v>126.45413970947266</v>
      </c>
      <c r="D1252">
        <v>102.25497436523438</v>
      </c>
      <c r="E1252">
        <v>174.68470764160156</v>
      </c>
      <c r="F1252">
        <v>45.654930114746094</v>
      </c>
    </row>
    <row r="1253" spans="1:6" x14ac:dyDescent="0.25">
      <c r="A1253" s="72">
        <v>45790</v>
      </c>
      <c r="B1253">
        <v>58.159999847412109</v>
      </c>
      <c r="C1253">
        <v>129.43795776367188</v>
      </c>
      <c r="D1253">
        <v>101.37431335449219</v>
      </c>
      <c r="E1253">
        <v>173.65885925292969</v>
      </c>
      <c r="F1253">
        <v>45.654930114746094</v>
      </c>
    </row>
    <row r="1254" spans="1:6" x14ac:dyDescent="0.25">
      <c r="A1254" s="72">
        <v>45791</v>
      </c>
      <c r="B1254">
        <v>57.639999389648438</v>
      </c>
      <c r="C1254">
        <v>126.21543884277344</v>
      </c>
      <c r="D1254">
        <v>101.44280242919922</v>
      </c>
      <c r="E1254">
        <v>171.10893249511719</v>
      </c>
      <c r="F1254">
        <v>46.050979614257813</v>
      </c>
    </row>
    <row r="1255" spans="1:6" x14ac:dyDescent="0.25">
      <c r="A1255" s="72">
        <v>45792</v>
      </c>
      <c r="B1255">
        <v>57.509998321533203</v>
      </c>
      <c r="C1255">
        <v>126.40440368652344</v>
      </c>
      <c r="D1255">
        <v>102.45066833496094</v>
      </c>
      <c r="E1255">
        <v>174.87033081054688</v>
      </c>
      <c r="F1255">
        <v>47.249038696289063</v>
      </c>
    </row>
    <row r="1256" spans="1:6" x14ac:dyDescent="0.25">
      <c r="A1256" s="72">
        <v>45793</v>
      </c>
      <c r="B1256">
        <v>57.5</v>
      </c>
      <c r="C1256">
        <v>125.60872650146484</v>
      </c>
      <c r="D1256">
        <v>102.01034545898438</v>
      </c>
      <c r="E1256">
        <v>176.072021484375</v>
      </c>
      <c r="F1256">
        <v>48.070846557617188</v>
      </c>
    </row>
    <row r="1257" spans="1:6" x14ac:dyDescent="0.25">
      <c r="A1257" s="72">
        <v>45796</v>
      </c>
      <c r="B1257">
        <v>58.209999084472656</v>
      </c>
      <c r="C1257">
        <v>127.71729278564453</v>
      </c>
      <c r="D1257">
        <v>102.15711975097656</v>
      </c>
      <c r="E1257">
        <v>176.22833251953125</v>
      </c>
      <c r="F1257">
        <v>47.645088195800781</v>
      </c>
    </row>
    <row r="1258" spans="1:6" x14ac:dyDescent="0.25">
      <c r="A1258" s="72">
        <v>45797</v>
      </c>
      <c r="B1258">
        <v>55.409999847412109</v>
      </c>
      <c r="C1258">
        <v>124.56439208984375</v>
      </c>
      <c r="D1258">
        <v>101.67765045166016</v>
      </c>
      <c r="E1258">
        <v>175.29042053222656</v>
      </c>
      <c r="F1258">
        <v>46.862888336181641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61"/>
  <sheetViews>
    <sheetView topLeftCell="A231" workbookViewId="0">
      <selection activeCell="C255" sqref="C255"/>
    </sheetView>
  </sheetViews>
  <sheetFormatPr baseColWidth="10" defaultColWidth="12.6640625" defaultRowHeight="15.75" customHeight="1" x14ac:dyDescent="0.25"/>
  <cols>
    <col min="2" max="2" width="14.6640625" customWidth="1"/>
    <col min="3" max="3" width="16.88671875" customWidth="1"/>
    <col min="6" max="6" width="15.5546875" bestFit="1" customWidth="1"/>
  </cols>
  <sheetData>
    <row r="1" spans="1:6" ht="15.75" customHeight="1" x14ac:dyDescent="0.3">
      <c r="A1" s="1"/>
      <c r="B1" s="2" t="s">
        <v>0</v>
      </c>
      <c r="C1" s="3" t="s">
        <v>1</v>
      </c>
      <c r="E1" s="4" t="s">
        <v>2</v>
      </c>
      <c r="F1" s="5">
        <f>AVERAGE(C3:C1260)</f>
        <v>0.12041975809020136</v>
      </c>
    </row>
    <row r="2" spans="1:6" ht="13.2" x14ac:dyDescent="0.25">
      <c r="A2" s="6">
        <v>0</v>
      </c>
      <c r="B2" s="7">
        <v>32.737140655517578</v>
      </c>
      <c r="C2" s="5"/>
      <c r="E2" s="4" t="s">
        <v>3</v>
      </c>
      <c r="F2" s="5">
        <f>_xlfn.VAR.S(C:C)</f>
        <v>8.6213363020440831E-2</v>
      </c>
    </row>
    <row r="3" spans="1:6" ht="13.2" x14ac:dyDescent="0.25">
      <c r="A3" s="6">
        <v>1</v>
      </c>
      <c r="B3" s="7">
        <v>32.479221343994141</v>
      </c>
      <c r="C3" s="3"/>
      <c r="E3" s="4" t="s">
        <v>4</v>
      </c>
      <c r="F3" s="5">
        <f>SQRT(F2)</f>
        <v>0.29362112155027409</v>
      </c>
    </row>
    <row r="4" spans="1:6" ht="13.2" x14ac:dyDescent="0.25">
      <c r="A4" s="6">
        <v>2</v>
      </c>
      <c r="B4" s="7">
        <v>33.004268646240234</v>
      </c>
      <c r="C4" s="3"/>
    </row>
    <row r="5" spans="1:6" ht="13.2" x14ac:dyDescent="0.25">
      <c r="A5" s="6">
        <v>3</v>
      </c>
      <c r="B5" s="7">
        <v>33.188499450683594</v>
      </c>
      <c r="C5" s="3"/>
    </row>
    <row r="6" spans="1:6" ht="13.2" x14ac:dyDescent="0.25">
      <c r="A6" s="6">
        <v>4</v>
      </c>
      <c r="B6" s="7">
        <v>32.359477996826172</v>
      </c>
      <c r="C6" s="3"/>
    </row>
    <row r="7" spans="1:6" ht="13.2" x14ac:dyDescent="0.25">
      <c r="A7" s="6">
        <v>5</v>
      </c>
      <c r="B7" s="7">
        <v>31.935750961303711</v>
      </c>
      <c r="C7" s="3"/>
    </row>
    <row r="8" spans="1:6" ht="13.2" x14ac:dyDescent="0.25">
      <c r="A8" s="6">
        <v>6</v>
      </c>
      <c r="B8" s="7">
        <v>33.520107269287109</v>
      </c>
      <c r="C8" s="3"/>
    </row>
    <row r="9" spans="1:6" ht="13.2" x14ac:dyDescent="0.25">
      <c r="A9" s="6">
        <v>7</v>
      </c>
      <c r="B9" s="7">
        <v>34.118846893310547</v>
      </c>
      <c r="C9" s="3"/>
    </row>
    <row r="10" spans="1:6" ht="13.2" x14ac:dyDescent="0.25">
      <c r="A10" s="6">
        <v>8</v>
      </c>
      <c r="B10" s="7">
        <v>33.676700592041016</v>
      </c>
      <c r="C10" s="3"/>
    </row>
    <row r="11" spans="1:6" ht="13.2" x14ac:dyDescent="0.25">
      <c r="A11" s="6">
        <v>9</v>
      </c>
      <c r="B11" s="7">
        <v>33.031906127929688</v>
      </c>
      <c r="C11" s="3"/>
    </row>
    <row r="12" spans="1:6" ht="13.2" x14ac:dyDescent="0.25">
      <c r="A12" s="6">
        <v>10</v>
      </c>
      <c r="B12" s="7">
        <v>32.488437652587891</v>
      </c>
      <c r="C12" s="3"/>
    </row>
    <row r="13" spans="1:6" ht="13.2" x14ac:dyDescent="0.25">
      <c r="A13" s="6">
        <v>11</v>
      </c>
      <c r="B13" s="7">
        <v>33.400360107421875</v>
      </c>
      <c r="C13" s="3"/>
    </row>
    <row r="14" spans="1:6" ht="13.2" x14ac:dyDescent="0.25">
      <c r="A14" s="6">
        <v>12</v>
      </c>
      <c r="B14" s="7">
        <v>32.755565643310547</v>
      </c>
      <c r="C14" s="3"/>
    </row>
    <row r="15" spans="1:6" ht="13.2" x14ac:dyDescent="0.25">
      <c r="A15" s="6">
        <v>13</v>
      </c>
      <c r="B15" s="7">
        <v>32.543701171875</v>
      </c>
      <c r="C15" s="3"/>
    </row>
    <row r="16" spans="1:6" ht="13.2" x14ac:dyDescent="0.25">
      <c r="A16" s="6">
        <v>14</v>
      </c>
      <c r="B16" s="7">
        <v>31.788372039794922</v>
      </c>
      <c r="C16" s="3"/>
    </row>
    <row r="17" spans="1:3" ht="13.2" x14ac:dyDescent="0.25">
      <c r="A17" s="6">
        <v>15</v>
      </c>
      <c r="B17" s="7">
        <v>32.3226318359375</v>
      </c>
      <c r="C17" s="3"/>
    </row>
    <row r="18" spans="1:3" ht="13.2" x14ac:dyDescent="0.25">
      <c r="A18" s="6">
        <v>16</v>
      </c>
      <c r="B18" s="7">
        <v>32.387107849121094</v>
      </c>
      <c r="C18" s="3"/>
    </row>
    <row r="19" spans="1:3" ht="13.2" x14ac:dyDescent="0.25">
      <c r="A19" s="6">
        <v>17</v>
      </c>
      <c r="B19" s="7">
        <v>32.838466644287109</v>
      </c>
      <c r="C19" s="3"/>
    </row>
    <row r="20" spans="1:3" ht="13.2" x14ac:dyDescent="0.25">
      <c r="A20" s="6">
        <v>18</v>
      </c>
      <c r="B20" s="7">
        <v>34.579414367675781</v>
      </c>
      <c r="C20" s="3"/>
    </row>
    <row r="21" spans="1:3" ht="13.2" x14ac:dyDescent="0.25">
      <c r="A21" s="6">
        <v>19</v>
      </c>
      <c r="B21" s="7">
        <v>34.100425720214844</v>
      </c>
      <c r="C21" s="3"/>
    </row>
    <row r="22" spans="1:3" ht="13.2" x14ac:dyDescent="0.25">
      <c r="A22" s="6">
        <v>20</v>
      </c>
      <c r="B22" s="7">
        <v>34.846542358398438</v>
      </c>
      <c r="C22" s="3"/>
    </row>
    <row r="23" spans="1:3" ht="13.2" x14ac:dyDescent="0.25">
      <c r="A23" s="6">
        <v>21</v>
      </c>
      <c r="B23" s="7">
        <v>35.482120513916016</v>
      </c>
      <c r="C23" s="3"/>
    </row>
    <row r="24" spans="1:3" ht="13.2" x14ac:dyDescent="0.25">
      <c r="A24" s="6">
        <v>22</v>
      </c>
      <c r="B24" s="7">
        <v>36.366413116455078</v>
      </c>
      <c r="C24" s="3"/>
    </row>
    <row r="25" spans="1:3" ht="13.2" x14ac:dyDescent="0.25">
      <c r="A25" s="6">
        <v>23</v>
      </c>
      <c r="B25" s="7">
        <v>35.915058135986328</v>
      </c>
      <c r="C25" s="3"/>
    </row>
    <row r="26" spans="1:3" ht="13.2" x14ac:dyDescent="0.25">
      <c r="A26" s="6">
        <v>24</v>
      </c>
      <c r="B26" s="7">
        <v>36.145343780517578</v>
      </c>
      <c r="C26" s="3"/>
    </row>
    <row r="27" spans="1:3" ht="13.2" x14ac:dyDescent="0.25">
      <c r="A27" s="6">
        <v>25</v>
      </c>
      <c r="B27" s="7">
        <v>36.357204437255859</v>
      </c>
      <c r="C27" s="3"/>
    </row>
    <row r="28" spans="1:3" ht="13.2" x14ac:dyDescent="0.25">
      <c r="A28" s="6">
        <v>26</v>
      </c>
      <c r="B28" s="7">
        <v>35.896636962890625</v>
      </c>
      <c r="C28" s="3"/>
    </row>
    <row r="29" spans="1:3" ht="13.2" x14ac:dyDescent="0.25">
      <c r="A29" s="6">
        <v>27</v>
      </c>
      <c r="B29" s="7">
        <v>35.436065673828125</v>
      </c>
      <c r="C29" s="3"/>
    </row>
    <row r="30" spans="1:3" ht="13.2" x14ac:dyDescent="0.25">
      <c r="A30" s="6">
        <v>28</v>
      </c>
      <c r="B30" s="7">
        <v>35.915058135986328</v>
      </c>
      <c r="C30" s="3"/>
    </row>
    <row r="31" spans="1:3" ht="13.2" x14ac:dyDescent="0.25">
      <c r="A31" s="6">
        <v>29</v>
      </c>
      <c r="B31" s="7">
        <v>35.924270629882813</v>
      </c>
      <c r="C31" s="3"/>
    </row>
    <row r="32" spans="1:3" ht="13.2" x14ac:dyDescent="0.25">
      <c r="A32" s="6">
        <v>30</v>
      </c>
      <c r="B32" s="7">
        <v>35.776885986328125</v>
      </c>
      <c r="C32" s="3"/>
    </row>
    <row r="33" spans="1:9" ht="13.2" x14ac:dyDescent="0.25">
      <c r="A33" s="6">
        <v>31</v>
      </c>
      <c r="B33" s="7">
        <v>36.034801483154297</v>
      </c>
      <c r="C33" s="3"/>
    </row>
    <row r="34" spans="1:9" ht="13.2" x14ac:dyDescent="0.25">
      <c r="A34" s="6">
        <v>32</v>
      </c>
      <c r="B34" s="7">
        <v>36.40325927734375</v>
      </c>
      <c r="C34" s="3"/>
    </row>
    <row r="35" spans="1:9" ht="13.2" x14ac:dyDescent="0.25">
      <c r="A35" s="6">
        <v>33</v>
      </c>
      <c r="B35" s="7">
        <v>35.408428192138672</v>
      </c>
      <c r="C35" s="3"/>
      <c r="I35" s="8"/>
    </row>
    <row r="36" spans="1:9" ht="13.2" x14ac:dyDescent="0.25">
      <c r="A36" s="6">
        <v>34</v>
      </c>
      <c r="B36" s="7">
        <v>34.422821044921875</v>
      </c>
      <c r="C36" s="3"/>
    </row>
    <row r="37" spans="1:9" ht="13.2" x14ac:dyDescent="0.25">
      <c r="A37" s="6">
        <v>35</v>
      </c>
      <c r="B37" s="7">
        <v>34.551780700683594</v>
      </c>
      <c r="C37" s="3"/>
    </row>
    <row r="38" spans="1:9" ht="13.2" x14ac:dyDescent="0.25">
      <c r="A38" s="6">
        <v>36</v>
      </c>
      <c r="B38" s="7">
        <v>34.081996917724609</v>
      </c>
      <c r="C38" s="3"/>
    </row>
    <row r="39" spans="1:9" ht="13.2" x14ac:dyDescent="0.25">
      <c r="A39" s="6">
        <v>37</v>
      </c>
      <c r="B39" s="7">
        <v>33.33587646484375</v>
      </c>
      <c r="C39" s="3"/>
    </row>
    <row r="40" spans="1:9" ht="13.2" x14ac:dyDescent="0.25">
      <c r="A40" s="6">
        <v>38</v>
      </c>
      <c r="B40" s="7">
        <v>32.976634979248047</v>
      </c>
      <c r="C40" s="3"/>
    </row>
    <row r="41" spans="1:9" ht="13.2" x14ac:dyDescent="0.25">
      <c r="A41" s="6">
        <v>39</v>
      </c>
      <c r="B41" s="7">
        <v>32.99505615234375</v>
      </c>
      <c r="C41" s="3"/>
    </row>
    <row r="42" spans="1:9" ht="13.2" x14ac:dyDescent="0.25">
      <c r="A42" s="6">
        <v>40</v>
      </c>
      <c r="B42" s="7">
        <v>33.492469787597656</v>
      </c>
      <c r="C42" s="3"/>
    </row>
    <row r="43" spans="1:9" ht="13.2" x14ac:dyDescent="0.25">
      <c r="A43" s="6">
        <v>41</v>
      </c>
      <c r="B43" s="7">
        <v>33.363513946533203</v>
      </c>
      <c r="C43" s="3"/>
    </row>
    <row r="44" spans="1:9" ht="13.2" x14ac:dyDescent="0.25">
      <c r="A44" s="6">
        <v>42</v>
      </c>
      <c r="B44" s="7">
        <v>33.870140075683594</v>
      </c>
      <c r="C44" s="3"/>
    </row>
    <row r="45" spans="1:9" ht="13.2" x14ac:dyDescent="0.25">
      <c r="A45" s="6">
        <v>43</v>
      </c>
      <c r="B45" s="7">
        <v>34.422821044921875</v>
      </c>
      <c r="C45" s="3"/>
    </row>
    <row r="46" spans="1:9" ht="13.2" x14ac:dyDescent="0.25">
      <c r="A46" s="6">
        <v>44</v>
      </c>
      <c r="B46" s="7">
        <v>34.800483703613281</v>
      </c>
      <c r="C46" s="3"/>
    </row>
    <row r="47" spans="1:9" ht="13.2" x14ac:dyDescent="0.25">
      <c r="A47" s="6">
        <v>45</v>
      </c>
      <c r="B47" s="7">
        <v>35.868999481201172</v>
      </c>
      <c r="C47" s="3"/>
    </row>
    <row r="48" spans="1:9" ht="13.2" x14ac:dyDescent="0.25">
      <c r="A48" s="6">
        <v>46</v>
      </c>
      <c r="B48" s="7">
        <v>36.117706298828125</v>
      </c>
      <c r="C48" s="3"/>
    </row>
    <row r="49" spans="1:3" ht="13.2" x14ac:dyDescent="0.25">
      <c r="A49" s="6">
        <v>47</v>
      </c>
      <c r="B49" s="7">
        <v>41.202365875244141</v>
      </c>
      <c r="C49" s="3"/>
    </row>
    <row r="50" spans="1:3" ht="13.2" x14ac:dyDescent="0.25">
      <c r="A50" s="6">
        <v>48</v>
      </c>
      <c r="B50" s="7">
        <v>38.807418823242188</v>
      </c>
      <c r="C50" s="3"/>
    </row>
    <row r="51" spans="1:3" ht="13.2" x14ac:dyDescent="0.25">
      <c r="A51" s="6">
        <v>49</v>
      </c>
      <c r="B51" s="7">
        <v>37.702060699462891</v>
      </c>
      <c r="C51" s="3"/>
    </row>
    <row r="52" spans="1:3" ht="13.2" x14ac:dyDescent="0.25">
      <c r="A52" s="6">
        <v>50</v>
      </c>
      <c r="B52" s="7">
        <v>36.928306579589844</v>
      </c>
      <c r="C52" s="3"/>
    </row>
    <row r="53" spans="1:3" ht="13.2" x14ac:dyDescent="0.25">
      <c r="A53" s="6">
        <v>51</v>
      </c>
      <c r="B53" s="7">
        <v>38.033668518066406</v>
      </c>
      <c r="C53" s="3"/>
    </row>
    <row r="54" spans="1:3" ht="13.2" x14ac:dyDescent="0.25">
      <c r="A54" s="6">
        <v>52</v>
      </c>
      <c r="B54" s="7">
        <v>37.886287689208984</v>
      </c>
      <c r="C54" s="3"/>
    </row>
    <row r="55" spans="1:3" ht="13.2" x14ac:dyDescent="0.25">
      <c r="A55" s="6">
        <v>53</v>
      </c>
      <c r="B55" s="7">
        <v>38.438968658447266</v>
      </c>
      <c r="C55" s="3"/>
    </row>
    <row r="56" spans="1:3" ht="13.2" x14ac:dyDescent="0.25">
      <c r="A56" s="6">
        <v>54</v>
      </c>
      <c r="B56" s="7">
        <v>37.499408721923828</v>
      </c>
      <c r="C56" s="3"/>
    </row>
    <row r="57" spans="1:3" ht="13.2" x14ac:dyDescent="0.25">
      <c r="A57" s="6">
        <v>55</v>
      </c>
      <c r="B57" s="7">
        <v>36.882251739501953</v>
      </c>
      <c r="C57" s="3"/>
    </row>
    <row r="58" spans="1:3" ht="13.2" x14ac:dyDescent="0.25">
      <c r="A58" s="6">
        <v>56</v>
      </c>
      <c r="B58" s="7">
        <v>38.273166656494141</v>
      </c>
      <c r="C58" s="3"/>
    </row>
    <row r="59" spans="1:3" ht="13.2" x14ac:dyDescent="0.25">
      <c r="A59" s="6">
        <v>57</v>
      </c>
      <c r="B59" s="7">
        <v>38.337642669677734</v>
      </c>
      <c r="C59" s="3"/>
    </row>
    <row r="60" spans="1:3" ht="13.2" x14ac:dyDescent="0.25">
      <c r="A60" s="6">
        <v>58</v>
      </c>
      <c r="B60" s="7">
        <v>38.042881011962891</v>
      </c>
      <c r="C60" s="3"/>
    </row>
    <row r="61" spans="1:3" ht="13.2" x14ac:dyDescent="0.25">
      <c r="A61" s="6">
        <v>59</v>
      </c>
      <c r="B61" s="7">
        <v>38.042881011962891</v>
      </c>
      <c r="C61" s="3"/>
    </row>
    <row r="62" spans="1:3" ht="13.2" x14ac:dyDescent="0.25">
      <c r="A62" s="6">
        <v>60</v>
      </c>
      <c r="B62" s="7">
        <v>38.181049346923828</v>
      </c>
      <c r="C62" s="3"/>
    </row>
    <row r="63" spans="1:3" ht="13.2" x14ac:dyDescent="0.25">
      <c r="A63" s="6">
        <v>61</v>
      </c>
      <c r="B63" s="7">
        <v>40.152275085449219</v>
      </c>
      <c r="C63" s="3"/>
    </row>
    <row r="64" spans="1:3" ht="13.2" x14ac:dyDescent="0.25">
      <c r="A64" s="6">
        <v>62</v>
      </c>
      <c r="B64" s="7">
        <v>41.294490814208984</v>
      </c>
      <c r="C64" s="3"/>
    </row>
    <row r="65" spans="1:3" ht="13.2" x14ac:dyDescent="0.25">
      <c r="A65" s="6">
        <v>63</v>
      </c>
      <c r="B65" s="7">
        <v>41.322120666503906</v>
      </c>
      <c r="C65" s="3"/>
    </row>
    <row r="66" spans="1:3" ht="13.2" x14ac:dyDescent="0.25">
      <c r="A66" s="6">
        <v>64</v>
      </c>
      <c r="B66" s="7">
        <v>40.207550048828125</v>
      </c>
      <c r="C66" s="3"/>
    </row>
    <row r="67" spans="1:3" ht="13.2" x14ac:dyDescent="0.25">
      <c r="A67" s="6">
        <v>65</v>
      </c>
      <c r="B67" s="7">
        <v>39.571956634521484</v>
      </c>
      <c r="C67" s="3"/>
    </row>
    <row r="68" spans="1:3" ht="13.2" x14ac:dyDescent="0.25">
      <c r="A68" s="6">
        <v>66</v>
      </c>
      <c r="B68" s="7">
        <v>38.742942810058594</v>
      </c>
      <c r="C68" s="3"/>
    </row>
    <row r="69" spans="1:3" ht="13.2" x14ac:dyDescent="0.25">
      <c r="A69" s="6">
        <v>67</v>
      </c>
      <c r="B69" s="7">
        <v>40.345718383789063</v>
      </c>
      <c r="C69" s="3"/>
    </row>
    <row r="70" spans="1:3" ht="13.2" x14ac:dyDescent="0.25">
      <c r="A70" s="6">
        <v>68</v>
      </c>
      <c r="B70" s="7">
        <v>39.673290252685547</v>
      </c>
      <c r="C70" s="3"/>
    </row>
    <row r="71" spans="1:3" ht="13.2" x14ac:dyDescent="0.25">
      <c r="A71" s="6">
        <v>69</v>
      </c>
      <c r="B71" s="7">
        <v>39.636440277099609</v>
      </c>
      <c r="C71" s="3"/>
    </row>
    <row r="72" spans="1:3" ht="13.2" x14ac:dyDescent="0.25">
      <c r="A72" s="6">
        <v>70</v>
      </c>
      <c r="B72" s="7">
        <v>38.660041809082031</v>
      </c>
      <c r="C72" s="3"/>
    </row>
    <row r="73" spans="1:3" ht="13.2" x14ac:dyDescent="0.25">
      <c r="A73" s="6">
        <v>71</v>
      </c>
      <c r="B73" s="7">
        <v>37.232280731201172</v>
      </c>
      <c r="C73" s="3"/>
    </row>
    <row r="74" spans="1:3" ht="13.2" x14ac:dyDescent="0.25">
      <c r="A74" s="6">
        <v>72</v>
      </c>
      <c r="B74" s="7">
        <v>38.761367797851563</v>
      </c>
      <c r="C74" s="3"/>
    </row>
    <row r="75" spans="1:3" ht="13.2" x14ac:dyDescent="0.25">
      <c r="A75" s="6">
        <v>73</v>
      </c>
      <c r="B75" s="7">
        <v>37.950767517089844</v>
      </c>
      <c r="C75" s="3"/>
    </row>
    <row r="76" spans="1:3" ht="13.2" x14ac:dyDescent="0.25">
      <c r="A76" s="6">
        <v>74</v>
      </c>
      <c r="B76" s="7">
        <v>37.084896087646484</v>
      </c>
      <c r="C76" s="3"/>
    </row>
    <row r="77" spans="1:3" ht="13.2" x14ac:dyDescent="0.25">
      <c r="A77" s="6">
        <v>75</v>
      </c>
      <c r="B77" s="7">
        <v>36.919094085693359</v>
      </c>
      <c r="C77" s="3"/>
    </row>
    <row r="78" spans="1:3" ht="13.2" x14ac:dyDescent="0.25">
      <c r="A78" s="6">
        <v>76</v>
      </c>
      <c r="B78" s="7">
        <v>37.941558837890625</v>
      </c>
      <c r="C78" s="3"/>
    </row>
    <row r="79" spans="1:3" ht="13.2" x14ac:dyDescent="0.25">
      <c r="A79" s="6">
        <v>77</v>
      </c>
      <c r="B79" s="7">
        <v>36.937511444091797</v>
      </c>
      <c r="C79" s="3"/>
    </row>
    <row r="80" spans="1:3" ht="13.2" x14ac:dyDescent="0.25">
      <c r="A80" s="6">
        <v>78</v>
      </c>
      <c r="B80" s="7">
        <v>37.729690551757813</v>
      </c>
      <c r="C80" s="3"/>
    </row>
    <row r="81" spans="1:3" ht="13.2" x14ac:dyDescent="0.25">
      <c r="A81" s="6">
        <v>79</v>
      </c>
      <c r="B81" s="7">
        <v>36.8546142578125</v>
      </c>
      <c r="C81" s="3"/>
    </row>
    <row r="82" spans="1:3" ht="13.2" x14ac:dyDescent="0.25">
      <c r="A82" s="6">
        <v>80</v>
      </c>
      <c r="B82" s="7">
        <v>36.504589080810547</v>
      </c>
      <c r="C82" s="3"/>
    </row>
    <row r="83" spans="1:3" ht="13.2" x14ac:dyDescent="0.25">
      <c r="A83" s="6">
        <v>81</v>
      </c>
      <c r="B83" s="7">
        <v>36.937511444091797</v>
      </c>
      <c r="C83" s="3"/>
    </row>
    <row r="84" spans="1:3" ht="13.2" x14ac:dyDescent="0.25">
      <c r="A84" s="6">
        <v>82</v>
      </c>
      <c r="B84" s="7">
        <v>36.771713256835938</v>
      </c>
      <c r="C84" s="3"/>
    </row>
    <row r="85" spans="1:3" ht="13.2" x14ac:dyDescent="0.25">
      <c r="A85" s="6">
        <v>83</v>
      </c>
      <c r="B85" s="7">
        <v>35.822944641113281</v>
      </c>
      <c r="C85" s="3"/>
    </row>
    <row r="86" spans="1:3" ht="13.2" x14ac:dyDescent="0.25">
      <c r="A86" s="6">
        <v>84</v>
      </c>
      <c r="B86" s="7">
        <v>34.459667205810547</v>
      </c>
      <c r="C86" s="3"/>
    </row>
    <row r="87" spans="1:3" ht="13.2" x14ac:dyDescent="0.25">
      <c r="A87" s="6">
        <v>85</v>
      </c>
      <c r="B87" s="7">
        <v>36.007167816162109</v>
      </c>
      <c r="C87" s="3"/>
    </row>
    <row r="88" spans="1:3" ht="13.2" x14ac:dyDescent="0.25">
      <c r="A88" s="6">
        <v>86</v>
      </c>
      <c r="B88" s="7">
        <v>36.578273773193359</v>
      </c>
      <c r="C88" s="3"/>
    </row>
    <row r="89" spans="1:3" ht="13.2" x14ac:dyDescent="0.25">
      <c r="A89" s="6">
        <v>87</v>
      </c>
      <c r="B89" s="7">
        <v>36.605911254882813</v>
      </c>
      <c r="C89" s="3"/>
    </row>
    <row r="90" spans="1:3" ht="13.2" x14ac:dyDescent="0.25">
      <c r="A90" s="6">
        <v>88</v>
      </c>
      <c r="B90" s="7">
        <v>36.274303436279297</v>
      </c>
      <c r="C90" s="3"/>
    </row>
    <row r="91" spans="1:3" ht="13.2" x14ac:dyDescent="0.25">
      <c r="A91" s="6">
        <v>89</v>
      </c>
      <c r="B91" s="7">
        <v>36.495372772216797</v>
      </c>
      <c r="C91" s="3"/>
    </row>
    <row r="92" spans="1:3" ht="13.2" x14ac:dyDescent="0.25">
      <c r="A92" s="6">
        <v>90</v>
      </c>
      <c r="B92" s="7">
        <v>36.753292083740234</v>
      </c>
      <c r="C92" s="3"/>
    </row>
    <row r="93" spans="1:3" ht="13.2" x14ac:dyDescent="0.25">
      <c r="A93" s="6">
        <v>91</v>
      </c>
      <c r="B93" s="7">
        <v>37.692848205566406</v>
      </c>
      <c r="C93" s="3"/>
    </row>
    <row r="94" spans="1:3" ht="13.2" x14ac:dyDescent="0.25">
      <c r="A94" s="6">
        <v>92</v>
      </c>
      <c r="B94" s="7">
        <v>38.10736083984375</v>
      </c>
      <c r="C94" s="3"/>
    </row>
    <row r="95" spans="1:3" ht="13.2" x14ac:dyDescent="0.25">
      <c r="A95" s="6">
        <v>93</v>
      </c>
      <c r="B95" s="7">
        <v>36.209819793701172</v>
      </c>
      <c r="C95" s="3"/>
    </row>
    <row r="96" spans="1:3" ht="13.2" x14ac:dyDescent="0.25">
      <c r="A96" s="6">
        <v>94</v>
      </c>
      <c r="B96" s="7">
        <v>35.868999481201172</v>
      </c>
      <c r="C96" s="3"/>
    </row>
    <row r="97" spans="1:3" ht="13.2" x14ac:dyDescent="0.25">
      <c r="A97" s="6">
        <v>95</v>
      </c>
      <c r="B97" s="7">
        <v>36.357204437255859</v>
      </c>
      <c r="C97" s="3"/>
    </row>
    <row r="98" spans="1:3" ht="13.2" x14ac:dyDescent="0.25">
      <c r="A98" s="6">
        <v>96</v>
      </c>
      <c r="B98" s="7">
        <v>36.145343780517578</v>
      </c>
      <c r="C98" s="3"/>
    </row>
    <row r="99" spans="1:3" ht="13.2" x14ac:dyDescent="0.25">
      <c r="A99" s="6">
        <v>97</v>
      </c>
      <c r="B99" s="7">
        <v>37.388874053955078</v>
      </c>
      <c r="C99" s="3"/>
    </row>
    <row r="100" spans="1:3" ht="13.2" x14ac:dyDescent="0.25">
      <c r="A100" s="6">
        <v>98</v>
      </c>
      <c r="B100" s="7">
        <v>38.273166656494141</v>
      </c>
      <c r="C100" s="3"/>
    </row>
    <row r="101" spans="1:3" ht="13.2" x14ac:dyDescent="0.25">
      <c r="A101" s="6">
        <v>99</v>
      </c>
      <c r="B101" s="7">
        <v>38.273166656494141</v>
      </c>
      <c r="C101" s="3"/>
    </row>
    <row r="102" spans="1:3" ht="13.2" x14ac:dyDescent="0.25">
      <c r="A102" s="6">
        <v>100</v>
      </c>
      <c r="B102" s="7">
        <v>37.388874053955078</v>
      </c>
      <c r="C102" s="3"/>
    </row>
    <row r="103" spans="1:3" ht="13.2" x14ac:dyDescent="0.25">
      <c r="A103" s="6">
        <v>101</v>
      </c>
      <c r="B103" s="7">
        <v>37.527046203613281</v>
      </c>
      <c r="C103" s="3"/>
    </row>
    <row r="104" spans="1:3" ht="13.2" x14ac:dyDescent="0.25">
      <c r="A104" s="6">
        <v>102</v>
      </c>
      <c r="B104" s="7">
        <v>38.088939666748047</v>
      </c>
      <c r="C104" s="3"/>
    </row>
    <row r="105" spans="1:3" ht="13.2" x14ac:dyDescent="0.25">
      <c r="A105" s="6">
        <v>103</v>
      </c>
      <c r="B105" s="7">
        <v>37.996822357177734</v>
      </c>
      <c r="C105" s="3"/>
    </row>
    <row r="106" spans="1:3" ht="13.2" x14ac:dyDescent="0.25">
      <c r="A106" s="6">
        <v>104</v>
      </c>
      <c r="B106" s="7">
        <v>37.941558837890625</v>
      </c>
      <c r="C106" s="3"/>
    </row>
    <row r="107" spans="1:3" ht="13.2" x14ac:dyDescent="0.25">
      <c r="A107" s="6">
        <v>105</v>
      </c>
      <c r="B107" s="7">
        <v>37.941558837890625</v>
      </c>
      <c r="C107" s="3"/>
    </row>
    <row r="108" spans="1:3" ht="13.2" x14ac:dyDescent="0.25">
      <c r="A108" s="6">
        <v>106</v>
      </c>
      <c r="B108" s="7">
        <v>38.134994506835938</v>
      </c>
      <c r="C108" s="3"/>
    </row>
    <row r="109" spans="1:3" ht="13.2" x14ac:dyDescent="0.25">
      <c r="A109" s="6">
        <v>107</v>
      </c>
      <c r="B109" s="7">
        <v>38.982433319091797</v>
      </c>
      <c r="C109" s="3"/>
    </row>
    <row r="110" spans="1:3" ht="13.2" x14ac:dyDescent="0.25">
      <c r="A110" s="6">
        <v>108</v>
      </c>
      <c r="B110" s="7">
        <v>38.052093505859375</v>
      </c>
      <c r="C110" s="3"/>
    </row>
    <row r="111" spans="1:3" ht="13.2" x14ac:dyDescent="0.25">
      <c r="A111" s="6">
        <v>109</v>
      </c>
      <c r="B111" s="7">
        <v>38.033668518066406</v>
      </c>
      <c r="C111" s="3"/>
    </row>
    <row r="112" spans="1:3" ht="13.2" x14ac:dyDescent="0.25">
      <c r="A112" s="6">
        <v>110</v>
      </c>
      <c r="B112" s="7">
        <v>39.056129455566406</v>
      </c>
      <c r="C112" s="3"/>
    </row>
    <row r="113" spans="1:3" ht="13.2" x14ac:dyDescent="0.25">
      <c r="A113" s="6">
        <v>111</v>
      </c>
      <c r="B113" s="7">
        <v>40.032535552978516</v>
      </c>
      <c r="C113" s="3"/>
    </row>
    <row r="114" spans="1:3" ht="13.2" x14ac:dyDescent="0.25">
      <c r="A114" s="6">
        <v>112</v>
      </c>
      <c r="B114" s="7">
        <v>39.406154632568359</v>
      </c>
      <c r="C114" s="3"/>
    </row>
    <row r="115" spans="1:3" ht="13.2" x14ac:dyDescent="0.25">
      <c r="A115" s="6">
        <v>113</v>
      </c>
      <c r="B115" s="7">
        <v>37.444145202636719</v>
      </c>
      <c r="C115" s="3"/>
    </row>
    <row r="116" spans="1:3" ht="13.2" x14ac:dyDescent="0.25">
      <c r="A116" s="6">
        <v>114</v>
      </c>
      <c r="B116" s="7">
        <v>37.757331848144531</v>
      </c>
      <c r="C116" s="3"/>
    </row>
    <row r="117" spans="1:3" ht="13.2" x14ac:dyDescent="0.25">
      <c r="A117" s="6">
        <v>115</v>
      </c>
      <c r="B117" s="7">
        <v>38.374485015869141</v>
      </c>
      <c r="C117" s="3"/>
    </row>
    <row r="118" spans="1:3" ht="13.2" x14ac:dyDescent="0.25">
      <c r="A118" s="6">
        <v>116</v>
      </c>
      <c r="B118" s="7">
        <v>38.733730316162109</v>
      </c>
      <c r="C118" s="3"/>
    </row>
    <row r="119" spans="1:3" ht="13.2" x14ac:dyDescent="0.25">
      <c r="A119" s="6">
        <v>117</v>
      </c>
      <c r="B119" s="7">
        <v>39.0008544921875</v>
      </c>
      <c r="C119" s="3"/>
    </row>
    <row r="120" spans="1:3" ht="13.2" x14ac:dyDescent="0.25">
      <c r="A120" s="6">
        <v>118</v>
      </c>
      <c r="B120" s="7">
        <v>38.494232177734375</v>
      </c>
      <c r="C120" s="3"/>
    </row>
    <row r="121" spans="1:3" ht="13.2" x14ac:dyDescent="0.25">
      <c r="A121" s="6">
        <v>119</v>
      </c>
      <c r="B121" s="7">
        <v>37.923133850097656</v>
      </c>
      <c r="C121" s="3"/>
    </row>
    <row r="122" spans="1:3" ht="13.2" x14ac:dyDescent="0.25">
      <c r="A122" s="6">
        <v>120</v>
      </c>
      <c r="B122" s="7">
        <v>39.553539276123047</v>
      </c>
      <c r="C122" s="3"/>
    </row>
    <row r="123" spans="1:3" ht="13.2" x14ac:dyDescent="0.25">
      <c r="A123" s="6">
        <v>121</v>
      </c>
      <c r="B123" s="7">
        <v>39.627227783203125</v>
      </c>
      <c r="C123" s="3"/>
    </row>
    <row r="124" spans="1:3" ht="13.2" x14ac:dyDescent="0.25">
      <c r="A124" s="6">
        <v>122</v>
      </c>
      <c r="B124" s="7">
        <v>40.281234741210938</v>
      </c>
      <c r="C124" s="3"/>
    </row>
    <row r="125" spans="1:3" ht="13.2" x14ac:dyDescent="0.25">
      <c r="A125" s="6">
        <v>123</v>
      </c>
      <c r="B125" s="7">
        <v>40.060165405273438</v>
      </c>
      <c r="C125" s="3"/>
    </row>
    <row r="126" spans="1:3" ht="13.2" x14ac:dyDescent="0.25">
      <c r="A126" s="6">
        <v>124</v>
      </c>
      <c r="B126" s="7">
        <v>41.533985137939453</v>
      </c>
      <c r="C126" s="3"/>
    </row>
    <row r="127" spans="1:3" ht="13.2" x14ac:dyDescent="0.25">
      <c r="A127" s="6">
        <v>125</v>
      </c>
      <c r="B127" s="7">
        <v>41.230007171630859</v>
      </c>
      <c r="C127" s="3"/>
    </row>
    <row r="128" spans="1:3" ht="13.2" x14ac:dyDescent="0.25">
      <c r="A128" s="6">
        <v>126</v>
      </c>
      <c r="B128" s="7">
        <v>39.746978759765625</v>
      </c>
      <c r="C128" s="3"/>
    </row>
    <row r="129" spans="1:3" ht="13.2" x14ac:dyDescent="0.25">
      <c r="A129" s="6">
        <v>127</v>
      </c>
      <c r="B129" s="7">
        <v>38.604770660400391</v>
      </c>
      <c r="C129" s="3"/>
    </row>
    <row r="130" spans="1:3" ht="13.2" x14ac:dyDescent="0.25">
      <c r="A130" s="6">
        <v>128</v>
      </c>
      <c r="B130" s="7">
        <v>39.360103607177734</v>
      </c>
      <c r="C130" s="3"/>
    </row>
    <row r="131" spans="1:3" ht="13.2" x14ac:dyDescent="0.25">
      <c r="A131" s="6">
        <v>129</v>
      </c>
      <c r="B131" s="7">
        <v>39.433795928955078</v>
      </c>
      <c r="C131" s="3"/>
    </row>
    <row r="132" spans="1:3" ht="13.2" x14ac:dyDescent="0.25">
      <c r="A132" s="6">
        <v>130</v>
      </c>
      <c r="B132" s="7">
        <v>39.148239135742188</v>
      </c>
      <c r="C132" s="3"/>
    </row>
    <row r="133" spans="1:3" ht="13.2" x14ac:dyDescent="0.25">
      <c r="A133" s="6">
        <v>131</v>
      </c>
      <c r="B133" s="7">
        <v>39.608810424804688</v>
      </c>
      <c r="C133" s="3"/>
    </row>
    <row r="134" spans="1:3" ht="13.2" x14ac:dyDescent="0.25">
      <c r="A134" s="6">
        <v>132</v>
      </c>
      <c r="B134" s="7">
        <v>39.728553771972656</v>
      </c>
      <c r="C134" s="3"/>
    </row>
    <row r="135" spans="1:3" ht="13.2" x14ac:dyDescent="0.25">
      <c r="A135" s="6">
        <v>133</v>
      </c>
      <c r="B135" s="7">
        <v>39.387737274169922</v>
      </c>
      <c r="C135" s="3"/>
    </row>
    <row r="136" spans="1:3" ht="13.2" x14ac:dyDescent="0.25">
      <c r="A136" s="6">
        <v>134</v>
      </c>
      <c r="B136" s="7">
        <v>39.424579620361328</v>
      </c>
      <c r="C136" s="3"/>
    </row>
    <row r="137" spans="1:3" ht="13.2" x14ac:dyDescent="0.25">
      <c r="A137" s="6">
        <v>135</v>
      </c>
      <c r="B137" s="7">
        <v>40.364143371582031</v>
      </c>
      <c r="C137" s="3"/>
    </row>
    <row r="138" spans="1:3" ht="13.2" x14ac:dyDescent="0.25">
      <c r="A138" s="6">
        <v>136</v>
      </c>
      <c r="B138" s="7">
        <v>40.032535552978516</v>
      </c>
      <c r="C138" s="3"/>
    </row>
    <row r="139" spans="1:3" ht="13.2" x14ac:dyDescent="0.25">
      <c r="A139" s="6">
        <v>137</v>
      </c>
      <c r="B139" s="7">
        <v>40.050949096679688</v>
      </c>
      <c r="C139" s="3"/>
    </row>
    <row r="140" spans="1:3" ht="13.2" x14ac:dyDescent="0.25">
      <c r="A140" s="6">
        <v>138</v>
      </c>
      <c r="B140" s="7">
        <v>39.525905609130859</v>
      </c>
      <c r="C140" s="3"/>
    </row>
    <row r="141" spans="1:3" ht="13.2" x14ac:dyDescent="0.25">
      <c r="A141" s="6">
        <v>139</v>
      </c>
      <c r="B141" s="7">
        <v>39.553539276123047</v>
      </c>
      <c r="C141" s="3"/>
    </row>
    <row r="142" spans="1:3" ht="13.2" x14ac:dyDescent="0.25">
      <c r="A142" s="6">
        <v>140</v>
      </c>
      <c r="B142" s="7">
        <v>39.185092926025391</v>
      </c>
      <c r="C142" s="3"/>
    </row>
    <row r="143" spans="1:3" ht="13.2" x14ac:dyDescent="0.25">
      <c r="A143" s="6">
        <v>141</v>
      </c>
      <c r="B143" s="7">
        <v>38.724521636962891</v>
      </c>
      <c r="C143" s="3"/>
    </row>
    <row r="144" spans="1:3" ht="13.2" x14ac:dyDescent="0.25">
      <c r="A144" s="6">
        <v>142</v>
      </c>
      <c r="B144" s="7">
        <v>38.724521636962891</v>
      </c>
      <c r="C144" s="3"/>
    </row>
    <row r="145" spans="1:3" ht="13.2" x14ac:dyDescent="0.25">
      <c r="A145" s="6">
        <v>143</v>
      </c>
      <c r="B145" s="7">
        <v>39.535118103027344</v>
      </c>
      <c r="C145" s="3"/>
    </row>
    <row r="146" spans="1:3" ht="13.2" x14ac:dyDescent="0.25">
      <c r="A146" s="6">
        <v>144</v>
      </c>
      <c r="B146" s="7">
        <v>39.470630645751953</v>
      </c>
      <c r="C146" s="3"/>
    </row>
    <row r="147" spans="1:3" ht="13.2" x14ac:dyDescent="0.25">
      <c r="A147" s="6">
        <v>145</v>
      </c>
      <c r="B147" s="7">
        <v>39.654865264892578</v>
      </c>
      <c r="C147" s="3"/>
    </row>
    <row r="148" spans="1:3" ht="13.2" x14ac:dyDescent="0.25">
      <c r="A148" s="6">
        <v>146</v>
      </c>
      <c r="B148" s="7">
        <v>39.968055725097656</v>
      </c>
      <c r="C148" s="3"/>
    </row>
    <row r="149" spans="1:3" ht="13.2" x14ac:dyDescent="0.25">
      <c r="A149" s="6">
        <v>147</v>
      </c>
      <c r="B149" s="7">
        <v>39.636440277099609</v>
      </c>
      <c r="C149" s="3"/>
    </row>
    <row r="150" spans="1:3" ht="13.2" x14ac:dyDescent="0.25">
      <c r="A150" s="6">
        <v>148</v>
      </c>
      <c r="B150" s="7">
        <v>38.660041809082031</v>
      </c>
      <c r="C150" s="3"/>
    </row>
    <row r="151" spans="1:3" ht="13.2" x14ac:dyDescent="0.25">
      <c r="A151" s="6">
        <v>149</v>
      </c>
      <c r="B151" s="7">
        <v>38.816627502441406</v>
      </c>
      <c r="C151" s="3"/>
    </row>
    <row r="152" spans="1:3" ht="13.2" x14ac:dyDescent="0.25">
      <c r="A152" s="6">
        <v>150</v>
      </c>
      <c r="B152" s="7">
        <v>39.839096069335938</v>
      </c>
      <c r="C152" s="3"/>
    </row>
    <row r="153" spans="1:3" ht="13.2" x14ac:dyDescent="0.25">
      <c r="A153" s="6">
        <v>151</v>
      </c>
      <c r="B153" s="7">
        <v>39.23114013671875</v>
      </c>
      <c r="C153" s="3"/>
    </row>
    <row r="154" spans="1:3" ht="13.2" x14ac:dyDescent="0.25">
      <c r="A154" s="6">
        <v>152</v>
      </c>
      <c r="B154" s="7">
        <v>39.673290252685547</v>
      </c>
      <c r="C154" s="3"/>
    </row>
    <row r="155" spans="1:3" ht="13.2" x14ac:dyDescent="0.25">
      <c r="A155" s="6">
        <v>153</v>
      </c>
      <c r="B155" s="7">
        <v>40.2628173828125</v>
      </c>
      <c r="C155" s="3"/>
    </row>
    <row r="156" spans="1:3" ht="13.2" x14ac:dyDescent="0.25">
      <c r="A156" s="6">
        <v>154</v>
      </c>
      <c r="B156" s="7">
        <v>39.80224609375</v>
      </c>
      <c r="C156" s="3"/>
    </row>
    <row r="157" spans="1:3" ht="13.2" x14ac:dyDescent="0.25">
      <c r="A157" s="6">
        <v>155</v>
      </c>
      <c r="B157" s="7">
        <v>39.829879760742188</v>
      </c>
      <c r="C157" s="3"/>
    </row>
    <row r="158" spans="1:3" ht="13.2" x14ac:dyDescent="0.25">
      <c r="A158" s="6">
        <v>156</v>
      </c>
      <c r="B158" s="7">
        <v>39.470630645751953</v>
      </c>
      <c r="C158" s="3"/>
    </row>
    <row r="159" spans="1:3" ht="13.2" x14ac:dyDescent="0.25">
      <c r="A159" s="6">
        <v>157</v>
      </c>
      <c r="B159" s="7">
        <v>39.654865264892578</v>
      </c>
      <c r="C159" s="3"/>
    </row>
    <row r="160" spans="1:3" ht="13.2" x14ac:dyDescent="0.25">
      <c r="A160" s="6">
        <v>158</v>
      </c>
      <c r="B160" s="7">
        <v>39.535118103027344</v>
      </c>
      <c r="C160" s="3"/>
    </row>
    <row r="161" spans="1:3" ht="13.2" x14ac:dyDescent="0.25">
      <c r="A161" s="6">
        <v>159</v>
      </c>
      <c r="B161" s="7">
        <v>40.087799072265625</v>
      </c>
      <c r="C161" s="3"/>
    </row>
    <row r="162" spans="1:3" ht="13.2" x14ac:dyDescent="0.25">
      <c r="A162" s="6">
        <v>160</v>
      </c>
      <c r="B162" s="7">
        <v>39.940418243408203</v>
      </c>
      <c r="C162" s="3"/>
    </row>
    <row r="163" spans="1:3" ht="13.2" x14ac:dyDescent="0.25">
      <c r="A163" s="6">
        <v>161</v>
      </c>
      <c r="B163" s="7">
        <v>40.225967407226563</v>
      </c>
      <c r="C163" s="3"/>
    </row>
    <row r="164" spans="1:3" ht="13.2" x14ac:dyDescent="0.25">
      <c r="A164" s="6">
        <v>162</v>
      </c>
      <c r="B164" s="7">
        <v>39.719345092773438</v>
      </c>
      <c r="C164" s="3"/>
    </row>
    <row r="165" spans="1:3" ht="13.2" x14ac:dyDescent="0.25">
      <c r="A165" s="6">
        <v>163</v>
      </c>
      <c r="B165" s="7">
        <v>39.931198120117188</v>
      </c>
      <c r="C165" s="3"/>
    </row>
    <row r="166" spans="1:3" ht="13.2" x14ac:dyDescent="0.25">
      <c r="A166" s="6">
        <v>164</v>
      </c>
      <c r="B166" s="7">
        <v>39.304828643798828</v>
      </c>
      <c r="C166" s="3"/>
    </row>
    <row r="167" spans="1:3" ht="13.2" x14ac:dyDescent="0.25">
      <c r="A167" s="6">
        <v>165</v>
      </c>
      <c r="B167" s="7">
        <v>39.212722778320313</v>
      </c>
      <c r="C167" s="3"/>
    </row>
    <row r="168" spans="1:3" ht="13.2" x14ac:dyDescent="0.25">
      <c r="A168" s="6">
        <v>166</v>
      </c>
      <c r="B168" s="7">
        <v>39.820667266845703</v>
      </c>
      <c r="C168" s="3"/>
    </row>
    <row r="169" spans="1:3" ht="13.2" x14ac:dyDescent="0.25">
      <c r="A169" s="6">
        <v>167</v>
      </c>
      <c r="B169" s="7">
        <v>39.240352630615234</v>
      </c>
      <c r="C169" s="3"/>
    </row>
    <row r="170" spans="1:3" ht="13.2" x14ac:dyDescent="0.25">
      <c r="A170" s="6">
        <v>168</v>
      </c>
      <c r="B170" s="7">
        <v>39.590385437011719</v>
      </c>
      <c r="C170" s="3"/>
    </row>
    <row r="171" spans="1:3" ht="13.2" x14ac:dyDescent="0.25">
      <c r="A171" s="6">
        <v>169</v>
      </c>
      <c r="B171" s="7">
        <v>39.194297790527344</v>
      </c>
      <c r="C171" s="3"/>
    </row>
    <row r="172" spans="1:3" ht="13.2" x14ac:dyDescent="0.25">
      <c r="A172" s="6">
        <v>170</v>
      </c>
      <c r="B172" s="7">
        <v>38.835056304931641</v>
      </c>
      <c r="C172" s="3"/>
    </row>
    <row r="173" spans="1:3" ht="13.2" x14ac:dyDescent="0.25">
      <c r="A173" s="6">
        <v>171</v>
      </c>
      <c r="B173" s="7">
        <v>38.917953491210938</v>
      </c>
      <c r="C173" s="3"/>
    </row>
    <row r="174" spans="1:3" ht="13.2" x14ac:dyDescent="0.25">
      <c r="A174" s="6">
        <v>172</v>
      </c>
      <c r="B174" s="7">
        <v>38.669246673583984</v>
      </c>
      <c r="C174" s="3"/>
    </row>
    <row r="175" spans="1:3" ht="13.2" x14ac:dyDescent="0.25">
      <c r="A175" s="6">
        <v>173</v>
      </c>
      <c r="B175" s="7">
        <v>37.287548065185547</v>
      </c>
      <c r="C175" s="3"/>
    </row>
    <row r="176" spans="1:3" ht="13.2" x14ac:dyDescent="0.25">
      <c r="A176" s="6">
        <v>174</v>
      </c>
      <c r="B176" s="7">
        <v>36.965156555175781</v>
      </c>
      <c r="C176" s="3"/>
    </row>
    <row r="177" spans="1:3" ht="13.2" x14ac:dyDescent="0.25">
      <c r="A177" s="6">
        <v>175</v>
      </c>
      <c r="B177" s="7">
        <v>35.482120513916016</v>
      </c>
      <c r="C177" s="3"/>
    </row>
    <row r="178" spans="1:3" ht="13.2" x14ac:dyDescent="0.25">
      <c r="A178" s="6">
        <v>176</v>
      </c>
      <c r="B178" s="7">
        <v>36.900676727294922</v>
      </c>
      <c r="C178" s="3"/>
    </row>
    <row r="179" spans="1:3" ht="13.2" x14ac:dyDescent="0.25">
      <c r="A179" s="6">
        <v>177</v>
      </c>
      <c r="B179" s="7">
        <v>36.983577728271484</v>
      </c>
      <c r="C179" s="3"/>
    </row>
    <row r="180" spans="1:3" ht="13.2" x14ac:dyDescent="0.25">
      <c r="A180" s="6">
        <v>178</v>
      </c>
      <c r="B180" s="7">
        <v>36.836193084716797</v>
      </c>
      <c r="C180" s="3"/>
    </row>
    <row r="181" spans="1:3" ht="13.2" x14ac:dyDescent="0.25">
      <c r="A181" s="6">
        <v>179</v>
      </c>
      <c r="B181" s="7">
        <v>36.430892944335938</v>
      </c>
      <c r="C181" s="3"/>
    </row>
    <row r="182" spans="1:3" ht="13.2" x14ac:dyDescent="0.25">
      <c r="A182" s="6">
        <v>180</v>
      </c>
      <c r="B182" s="7">
        <v>36.375629425048828</v>
      </c>
      <c r="C182" s="3"/>
    </row>
    <row r="183" spans="1:3" ht="13.2" x14ac:dyDescent="0.25">
      <c r="A183" s="6">
        <v>181</v>
      </c>
      <c r="B183" s="7">
        <v>36.569065093994141</v>
      </c>
      <c r="C183" s="3"/>
    </row>
    <row r="184" spans="1:3" ht="13.2" x14ac:dyDescent="0.25">
      <c r="A184" s="6">
        <v>182</v>
      </c>
      <c r="B184" s="7">
        <v>36.532218933105469</v>
      </c>
      <c r="C184" s="3"/>
    </row>
    <row r="185" spans="1:3" ht="13.2" x14ac:dyDescent="0.25">
      <c r="A185" s="6">
        <v>183</v>
      </c>
      <c r="B185" s="7">
        <v>36.108489990234375</v>
      </c>
      <c r="C185" s="3"/>
    </row>
    <row r="186" spans="1:3" ht="13.2" x14ac:dyDescent="0.25">
      <c r="A186" s="6">
        <v>184</v>
      </c>
      <c r="B186" s="7">
        <v>36.071651458740234</v>
      </c>
      <c r="C186" s="3"/>
    </row>
    <row r="187" spans="1:3" ht="13.2" x14ac:dyDescent="0.25">
      <c r="A187" s="6">
        <v>185</v>
      </c>
      <c r="B187" s="7">
        <v>36.025596618652344</v>
      </c>
      <c r="C187" s="3"/>
    </row>
    <row r="188" spans="1:3" ht="13.2" x14ac:dyDescent="0.25">
      <c r="A188" s="6">
        <v>186</v>
      </c>
      <c r="B188" s="7">
        <v>35.915058135986328</v>
      </c>
      <c r="C188" s="3"/>
    </row>
    <row r="189" spans="1:3" ht="13.2" x14ac:dyDescent="0.25">
      <c r="A189" s="6">
        <v>187</v>
      </c>
      <c r="B189" s="7">
        <v>35.795310974121094</v>
      </c>
      <c r="C189" s="3"/>
    </row>
    <row r="190" spans="1:3" ht="13.2" x14ac:dyDescent="0.25">
      <c r="A190" s="6">
        <v>188</v>
      </c>
      <c r="B190" s="7">
        <v>35.307106018066406</v>
      </c>
      <c r="C190" s="3"/>
    </row>
    <row r="191" spans="1:3" ht="13.2" x14ac:dyDescent="0.25">
      <c r="A191" s="6">
        <v>189</v>
      </c>
      <c r="B191" s="7">
        <v>35.334739685058594</v>
      </c>
      <c r="C191" s="3"/>
    </row>
    <row r="192" spans="1:3" ht="13.2" x14ac:dyDescent="0.25">
      <c r="A192" s="6">
        <v>190</v>
      </c>
      <c r="B192" s="7">
        <v>34.174114227294922</v>
      </c>
      <c r="C192" s="3"/>
    </row>
    <row r="193" spans="1:3" ht="13.2" x14ac:dyDescent="0.25">
      <c r="A193" s="6">
        <v>191</v>
      </c>
      <c r="B193" s="7">
        <v>35.03076171875</v>
      </c>
      <c r="C193" s="3"/>
    </row>
    <row r="194" spans="1:3" ht="13.2" x14ac:dyDescent="0.25">
      <c r="A194" s="6">
        <v>192</v>
      </c>
      <c r="B194" s="7">
        <v>35.795310974121094</v>
      </c>
      <c r="C194" s="3"/>
    </row>
    <row r="195" spans="1:3" ht="13.2" x14ac:dyDescent="0.25">
      <c r="A195" s="6">
        <v>193</v>
      </c>
      <c r="B195" s="7">
        <v>35.122882843017578</v>
      </c>
      <c r="C195" s="3"/>
    </row>
    <row r="196" spans="1:3" ht="13.2" x14ac:dyDescent="0.25">
      <c r="A196" s="6">
        <v>194</v>
      </c>
      <c r="B196" s="7">
        <v>36.200611114501953</v>
      </c>
      <c r="C196" s="3"/>
    </row>
    <row r="197" spans="1:3" ht="13.2" x14ac:dyDescent="0.25">
      <c r="A197" s="6">
        <v>195</v>
      </c>
      <c r="B197" s="7">
        <v>36.569065093994141</v>
      </c>
      <c r="C197" s="3"/>
    </row>
    <row r="198" spans="1:3" ht="13.2" x14ac:dyDescent="0.25">
      <c r="A198" s="6">
        <v>196</v>
      </c>
      <c r="B198" s="7">
        <v>37.388874053955078</v>
      </c>
      <c r="C198" s="3"/>
    </row>
    <row r="199" spans="1:3" ht="13.2" x14ac:dyDescent="0.25">
      <c r="A199" s="6">
        <v>197</v>
      </c>
      <c r="B199" s="7">
        <v>37.573101043701172</v>
      </c>
      <c r="C199" s="3"/>
    </row>
    <row r="200" spans="1:3" ht="13.2" x14ac:dyDescent="0.25">
      <c r="A200" s="6">
        <v>198</v>
      </c>
      <c r="B200" s="7">
        <v>37.41650390625</v>
      </c>
      <c r="C200" s="3"/>
    </row>
    <row r="201" spans="1:3" ht="13.2" x14ac:dyDescent="0.25">
      <c r="A201" s="6">
        <v>199</v>
      </c>
      <c r="B201" s="7">
        <v>38.208683013916016</v>
      </c>
      <c r="C201" s="3"/>
    </row>
    <row r="202" spans="1:3" ht="13.2" x14ac:dyDescent="0.25">
      <c r="A202" s="6">
        <v>200</v>
      </c>
      <c r="B202" s="7">
        <v>38.512660980224609</v>
      </c>
      <c r="C202" s="3"/>
    </row>
    <row r="203" spans="1:3" ht="13.2" x14ac:dyDescent="0.25">
      <c r="A203" s="6">
        <v>201</v>
      </c>
      <c r="B203" s="7">
        <v>39.028491973876953</v>
      </c>
      <c r="C203" s="3"/>
    </row>
    <row r="204" spans="1:3" ht="13.2" x14ac:dyDescent="0.25">
      <c r="A204" s="6">
        <v>202</v>
      </c>
      <c r="B204" s="7">
        <v>39.378524780273438</v>
      </c>
      <c r="C204" s="3"/>
    </row>
    <row r="205" spans="1:3" ht="13.2" x14ac:dyDescent="0.25">
      <c r="A205" s="6">
        <v>203</v>
      </c>
      <c r="B205" s="7">
        <v>39.80224609375</v>
      </c>
      <c r="C205" s="3"/>
    </row>
    <row r="206" spans="1:3" ht="13.2" x14ac:dyDescent="0.25">
      <c r="A206" s="6">
        <v>204</v>
      </c>
      <c r="B206" s="7">
        <v>39.636440277099609</v>
      </c>
      <c r="C206" s="3"/>
    </row>
    <row r="207" spans="1:3" ht="13.2" x14ac:dyDescent="0.25">
      <c r="A207" s="6">
        <v>205</v>
      </c>
      <c r="B207" s="7">
        <v>40.447040557861328</v>
      </c>
      <c r="C207" s="3"/>
    </row>
    <row r="208" spans="1:3" ht="13.2" x14ac:dyDescent="0.25">
      <c r="A208" s="6">
        <v>206</v>
      </c>
      <c r="B208" s="7">
        <v>40.179908752441406</v>
      </c>
      <c r="C208" s="3"/>
    </row>
    <row r="209" spans="1:3" ht="13.2" x14ac:dyDescent="0.25">
      <c r="A209" s="6">
        <v>207</v>
      </c>
      <c r="B209" s="7">
        <v>40.143074035644531</v>
      </c>
      <c r="C209" s="3"/>
    </row>
    <row r="210" spans="1:3" ht="13.2" x14ac:dyDescent="0.25">
      <c r="A210" s="6">
        <v>208</v>
      </c>
      <c r="B210" s="7">
        <v>39.535118103027344</v>
      </c>
      <c r="C210" s="3"/>
    </row>
    <row r="211" spans="1:3" ht="13.2" x14ac:dyDescent="0.25">
      <c r="A211" s="6">
        <v>209</v>
      </c>
      <c r="B211" s="7">
        <v>38.807418823242188</v>
      </c>
      <c r="C211" s="3"/>
    </row>
    <row r="212" spans="1:3" ht="13.2" x14ac:dyDescent="0.25">
      <c r="A212" s="6">
        <v>210</v>
      </c>
      <c r="B212" s="7">
        <v>39.175872802734375</v>
      </c>
      <c r="C212" s="3"/>
    </row>
    <row r="213" spans="1:3" ht="13.2" x14ac:dyDescent="0.25">
      <c r="A213" s="6">
        <v>211</v>
      </c>
      <c r="B213" s="7">
        <v>39.848300933837891</v>
      </c>
      <c r="C213" s="3"/>
    </row>
    <row r="214" spans="1:3" ht="13.2" x14ac:dyDescent="0.25">
      <c r="A214" s="6">
        <v>212</v>
      </c>
      <c r="B214" s="7">
        <v>39.719345092773438</v>
      </c>
      <c r="C214" s="3"/>
    </row>
    <row r="215" spans="1:3" ht="13.2" x14ac:dyDescent="0.25">
      <c r="A215" s="6">
        <v>213</v>
      </c>
      <c r="B215" s="7">
        <v>39.341678619384766</v>
      </c>
      <c r="C215" s="3"/>
    </row>
    <row r="216" spans="1:3" ht="13.2" x14ac:dyDescent="0.25">
      <c r="A216" s="6">
        <v>214</v>
      </c>
      <c r="B216" s="7">
        <v>40.732593536376953</v>
      </c>
      <c r="C216" s="3"/>
    </row>
    <row r="217" spans="1:3" ht="13.2" x14ac:dyDescent="0.25">
      <c r="A217" s="6">
        <v>215</v>
      </c>
      <c r="B217" s="7">
        <v>39.507484436035156</v>
      </c>
      <c r="C217" s="3"/>
    </row>
    <row r="218" spans="1:3" ht="13.2" x14ac:dyDescent="0.25">
      <c r="A218" s="6">
        <v>216</v>
      </c>
      <c r="B218" s="7">
        <v>39.516700744628906</v>
      </c>
      <c r="C218" s="3"/>
    </row>
    <row r="219" spans="1:3" ht="13.2" x14ac:dyDescent="0.25">
      <c r="A219" s="6">
        <v>217</v>
      </c>
      <c r="B219" s="7">
        <v>39.654865264892578</v>
      </c>
      <c r="C219" s="3"/>
    </row>
    <row r="220" spans="1:3" ht="13.2" x14ac:dyDescent="0.25">
      <c r="A220" s="6">
        <v>218</v>
      </c>
      <c r="B220" s="7">
        <v>39.221931457519531</v>
      </c>
      <c r="C220" s="3"/>
    </row>
    <row r="221" spans="1:3" ht="13.2" x14ac:dyDescent="0.25">
      <c r="A221" s="6">
        <v>219</v>
      </c>
      <c r="B221" s="7">
        <v>39.092971801757813</v>
      </c>
      <c r="C221" s="3"/>
    </row>
    <row r="222" spans="1:3" ht="13.2" x14ac:dyDescent="0.25">
      <c r="A222" s="6">
        <v>220</v>
      </c>
      <c r="B222" s="7">
        <v>38.816627502441406</v>
      </c>
      <c r="C222" s="3"/>
    </row>
    <row r="223" spans="1:3" ht="13.2" x14ac:dyDescent="0.25">
      <c r="A223" s="6">
        <v>221</v>
      </c>
      <c r="B223" s="7">
        <v>38.770572662353516</v>
      </c>
      <c r="C223" s="3"/>
    </row>
    <row r="224" spans="1:3" ht="13.2" x14ac:dyDescent="0.25">
      <c r="A224" s="6">
        <v>222</v>
      </c>
      <c r="B224" s="7">
        <v>38.613983154296875</v>
      </c>
      <c r="C224" s="3"/>
    </row>
    <row r="225" spans="1:3" ht="13.2" x14ac:dyDescent="0.25">
      <c r="A225" s="6">
        <v>223</v>
      </c>
      <c r="B225" s="7">
        <v>38.319217681884766</v>
      </c>
      <c r="C225" s="3"/>
    </row>
    <row r="226" spans="1:3" ht="13.2" x14ac:dyDescent="0.25">
      <c r="A226" s="6">
        <v>224</v>
      </c>
      <c r="B226" s="7">
        <v>38.567924499511719</v>
      </c>
      <c r="C226" s="3"/>
    </row>
    <row r="227" spans="1:3" ht="13.2" x14ac:dyDescent="0.25">
      <c r="A227" s="6">
        <v>225</v>
      </c>
      <c r="B227" s="7">
        <v>38.577136993408203</v>
      </c>
      <c r="C227" s="3"/>
    </row>
    <row r="228" spans="1:3" ht="13.2" x14ac:dyDescent="0.25">
      <c r="A228" s="6">
        <v>226</v>
      </c>
      <c r="B228" s="7">
        <v>38.392910003662109</v>
      </c>
      <c r="C228" s="3"/>
    </row>
    <row r="229" spans="1:3" ht="13.2" x14ac:dyDescent="0.25">
      <c r="A229" s="6">
        <v>227</v>
      </c>
      <c r="B229" s="7">
        <v>37.803386688232422</v>
      </c>
      <c r="C229" s="3"/>
    </row>
    <row r="230" spans="1:3" ht="13.2" x14ac:dyDescent="0.25">
      <c r="A230" s="6">
        <v>228</v>
      </c>
      <c r="B230" s="7">
        <v>38.503444671630859</v>
      </c>
      <c r="C230" s="3"/>
    </row>
    <row r="231" spans="1:3" ht="13.2" x14ac:dyDescent="0.25">
      <c r="A231" s="6">
        <v>229</v>
      </c>
      <c r="B231" s="7">
        <v>38.899532318115234</v>
      </c>
      <c r="C231" s="3"/>
    </row>
    <row r="232" spans="1:3" ht="13.2" x14ac:dyDescent="0.25">
      <c r="A232" s="6">
        <v>230</v>
      </c>
      <c r="B232" s="7">
        <v>39.258777618408203</v>
      </c>
      <c r="C232" s="3"/>
    </row>
    <row r="233" spans="1:3" ht="13.2" x14ac:dyDescent="0.25">
      <c r="A233" s="6">
        <v>231</v>
      </c>
      <c r="B233" s="7">
        <v>38.724521636962891</v>
      </c>
      <c r="C233" s="3"/>
    </row>
    <row r="234" spans="1:3" ht="13.2" x14ac:dyDescent="0.25">
      <c r="A234" s="6">
        <v>232</v>
      </c>
      <c r="B234" s="7">
        <v>38.383697509765625</v>
      </c>
      <c r="C234" s="3"/>
    </row>
    <row r="235" spans="1:3" ht="13.2" x14ac:dyDescent="0.25">
      <c r="A235" s="6">
        <v>233</v>
      </c>
      <c r="B235" s="7">
        <v>37.711273193359375</v>
      </c>
      <c r="C235" s="3"/>
    </row>
    <row r="236" spans="1:3" ht="13.2" x14ac:dyDescent="0.25">
      <c r="A236" s="6">
        <v>234</v>
      </c>
      <c r="B236" s="7">
        <v>38.024456024169922</v>
      </c>
      <c r="C236" s="3"/>
    </row>
    <row r="237" spans="1:3" ht="13.2" x14ac:dyDescent="0.25">
      <c r="A237" s="6">
        <v>235</v>
      </c>
      <c r="B237" s="7">
        <v>38.531078338623047</v>
      </c>
      <c r="C237" s="3"/>
    </row>
    <row r="238" spans="1:3" ht="13.2" x14ac:dyDescent="0.25">
      <c r="A238" s="6">
        <v>236</v>
      </c>
      <c r="B238" s="7">
        <v>37.342819213867188</v>
      </c>
      <c r="C238" s="3"/>
    </row>
    <row r="239" spans="1:3" ht="13.2" x14ac:dyDescent="0.25">
      <c r="A239" s="6">
        <v>237</v>
      </c>
      <c r="B239" s="7">
        <v>37.8770751953125</v>
      </c>
      <c r="C239" s="3"/>
    </row>
    <row r="240" spans="1:3" ht="13.2" x14ac:dyDescent="0.25">
      <c r="A240" s="6">
        <v>238</v>
      </c>
      <c r="B240" s="7">
        <v>37.959976196289063</v>
      </c>
      <c r="C240" s="3"/>
    </row>
    <row r="241" spans="1:3" ht="13.2" x14ac:dyDescent="0.25">
      <c r="A241" s="6">
        <v>239</v>
      </c>
      <c r="B241" s="7">
        <v>37.702060699462891</v>
      </c>
      <c r="C241" s="3"/>
    </row>
    <row r="242" spans="1:3" ht="13.2" x14ac:dyDescent="0.25">
      <c r="A242" s="6">
        <v>240</v>
      </c>
      <c r="B242" s="7">
        <v>37.794174194335938</v>
      </c>
      <c r="C242" s="3"/>
    </row>
    <row r="243" spans="1:3" ht="13.2" x14ac:dyDescent="0.25">
      <c r="A243" s="6">
        <v>241</v>
      </c>
      <c r="B243" s="7">
        <v>37.858650207519531</v>
      </c>
      <c r="C243" s="3"/>
    </row>
    <row r="244" spans="1:3" ht="13.2" x14ac:dyDescent="0.25">
      <c r="A244" s="6">
        <v>242</v>
      </c>
      <c r="B244" s="7">
        <v>37.444145202636719</v>
      </c>
      <c r="C244" s="3"/>
    </row>
    <row r="245" spans="1:3" ht="13.2" x14ac:dyDescent="0.25">
      <c r="A245" s="6">
        <v>243</v>
      </c>
      <c r="B245" s="7">
        <v>37.315181732177734</v>
      </c>
      <c r="C245" s="3"/>
    </row>
    <row r="246" spans="1:3" ht="13.2" x14ac:dyDescent="0.25">
      <c r="A246" s="6">
        <v>244</v>
      </c>
      <c r="B246" s="7">
        <v>37.305973052978516</v>
      </c>
      <c r="C246" s="3"/>
    </row>
    <row r="247" spans="1:3" ht="13.2" x14ac:dyDescent="0.25">
      <c r="A247" s="6">
        <v>245</v>
      </c>
      <c r="B247" s="7">
        <v>37.570415496826172</v>
      </c>
      <c r="C247" s="3"/>
    </row>
    <row r="248" spans="1:3" ht="13.2" x14ac:dyDescent="0.25">
      <c r="A248" s="6">
        <v>246</v>
      </c>
      <c r="B248" s="7">
        <v>36.843185424804688</v>
      </c>
      <c r="C248" s="3"/>
    </row>
    <row r="249" spans="1:3" ht="13.2" x14ac:dyDescent="0.25">
      <c r="A249" s="6">
        <v>247</v>
      </c>
      <c r="B249" s="7">
        <v>37.30596923828125</v>
      </c>
      <c r="C249" s="3"/>
    </row>
    <row r="250" spans="1:3" ht="13.2" x14ac:dyDescent="0.25">
      <c r="A250" s="6">
        <v>248</v>
      </c>
      <c r="B250" s="7">
        <v>37.683753967285156</v>
      </c>
      <c r="C250" s="3"/>
    </row>
    <row r="251" spans="1:3" ht="13.2" x14ac:dyDescent="0.25">
      <c r="A251" s="6">
        <v>249</v>
      </c>
      <c r="B251" s="7">
        <v>37.806533813476563</v>
      </c>
      <c r="C251" s="3"/>
    </row>
    <row r="252" spans="1:3" ht="13.2" x14ac:dyDescent="0.25">
      <c r="A252" s="6">
        <v>250</v>
      </c>
      <c r="B252" s="7">
        <v>38.524318695068359</v>
      </c>
      <c r="C252" s="3"/>
    </row>
    <row r="253" spans="1:3" ht="13.2" x14ac:dyDescent="0.25">
      <c r="A253" s="6">
        <v>251</v>
      </c>
      <c r="B253" s="7">
        <v>37.797088623046875</v>
      </c>
      <c r="C253" s="3"/>
    </row>
    <row r="254" spans="1:3" ht="13.2" x14ac:dyDescent="0.25">
      <c r="A254" s="6">
        <v>252</v>
      </c>
      <c r="B254" s="7">
        <v>38.25042724609375</v>
      </c>
      <c r="C254" s="3">
        <f>LN(B254/B2)</f>
        <v>0.15564449680921891</v>
      </c>
    </row>
    <row r="255" spans="1:3" ht="13.2" x14ac:dyDescent="0.25">
      <c r="A255" s="6">
        <v>253</v>
      </c>
      <c r="B255" s="7">
        <v>38.958766937255859</v>
      </c>
      <c r="C255" s="3">
        <f t="shared" ref="C255:C318" si="0">LN(B255/B3)</f>
        <v>0.18190328721214591</v>
      </c>
    </row>
    <row r="256" spans="1:3" ht="13.2" x14ac:dyDescent="0.25">
      <c r="A256" s="6">
        <v>254</v>
      </c>
      <c r="B256" s="7">
        <v>40.186557769775391</v>
      </c>
      <c r="C256" s="3">
        <f t="shared" si="0"/>
        <v>0.19689564985231744</v>
      </c>
    </row>
    <row r="257" spans="1:3" ht="13.2" x14ac:dyDescent="0.25">
      <c r="A257" s="6">
        <v>255</v>
      </c>
      <c r="B257" s="7">
        <v>40.838233947753906</v>
      </c>
      <c r="C257" s="3">
        <f t="shared" si="0"/>
        <v>0.20741533533893977</v>
      </c>
    </row>
    <row r="258" spans="1:3" ht="13.2" x14ac:dyDescent="0.25">
      <c r="A258" s="6">
        <v>256</v>
      </c>
      <c r="B258" s="7">
        <v>40.885456085205078</v>
      </c>
      <c r="C258" s="3">
        <f t="shared" si="0"/>
        <v>0.23386744193427497</v>
      </c>
    </row>
    <row r="259" spans="1:3" ht="13.2" x14ac:dyDescent="0.25">
      <c r="A259" s="6">
        <v>257</v>
      </c>
      <c r="B259" s="7">
        <v>41.414348602294922</v>
      </c>
      <c r="C259" s="3">
        <f t="shared" si="0"/>
        <v>0.25990130333791817</v>
      </c>
    </row>
    <row r="260" spans="1:3" ht="13.2" x14ac:dyDescent="0.25">
      <c r="A260" s="6">
        <v>258</v>
      </c>
      <c r="B260" s="7">
        <v>41.140460968017578</v>
      </c>
      <c r="C260" s="3">
        <f t="shared" si="0"/>
        <v>0.20484661325742137</v>
      </c>
    </row>
    <row r="261" spans="1:3" ht="13.2" x14ac:dyDescent="0.25">
      <c r="A261" s="6">
        <v>259</v>
      </c>
      <c r="B261" s="7">
        <v>41.263236999511719</v>
      </c>
      <c r="C261" s="3">
        <f t="shared" si="0"/>
        <v>0.19012203183369789</v>
      </c>
    </row>
    <row r="262" spans="1:3" ht="13.2" x14ac:dyDescent="0.25">
      <c r="A262" s="6">
        <v>260</v>
      </c>
      <c r="B262" s="7">
        <v>41.744911193847656</v>
      </c>
      <c r="C262" s="3">
        <f t="shared" si="0"/>
        <v>0.21477133513927235</v>
      </c>
    </row>
    <row r="263" spans="1:3" ht="13.2" x14ac:dyDescent="0.25">
      <c r="A263" s="6">
        <v>261</v>
      </c>
      <c r="B263" s="7">
        <v>41.319904327392578</v>
      </c>
      <c r="C263" s="3">
        <f t="shared" si="0"/>
        <v>0.22387038211469937</v>
      </c>
    </row>
    <row r="264" spans="1:3" ht="13.2" x14ac:dyDescent="0.25">
      <c r="A264" s="6">
        <v>262</v>
      </c>
      <c r="B264" s="7">
        <v>41.801578521728516</v>
      </c>
      <c r="C264" s="3">
        <f t="shared" si="0"/>
        <v>0.25204984099467792</v>
      </c>
    </row>
    <row r="265" spans="1:3" ht="13.2" x14ac:dyDescent="0.25">
      <c r="A265" s="6">
        <v>263</v>
      </c>
      <c r="B265" s="7">
        <v>42.755481719970703</v>
      </c>
      <c r="C265" s="3">
        <f t="shared" si="0"/>
        <v>0.24693073294620815</v>
      </c>
    </row>
    <row r="266" spans="1:3" ht="13.2" x14ac:dyDescent="0.25">
      <c r="A266" s="6">
        <v>264</v>
      </c>
      <c r="B266" s="7">
        <v>42.736583709716797</v>
      </c>
      <c r="C266" s="3">
        <f t="shared" si="0"/>
        <v>0.26598242382602605</v>
      </c>
    </row>
    <row r="267" spans="1:3" ht="13.2" x14ac:dyDescent="0.25">
      <c r="A267" s="6">
        <v>265</v>
      </c>
      <c r="B267" s="7">
        <v>42.254913330078125</v>
      </c>
      <c r="C267" s="3">
        <f t="shared" si="0"/>
        <v>0.26113680133413175</v>
      </c>
    </row>
    <row r="268" spans="1:3" ht="13.2" x14ac:dyDescent="0.25">
      <c r="A268" s="6">
        <v>266</v>
      </c>
      <c r="B268" s="7">
        <v>42.028247833251953</v>
      </c>
      <c r="C268" s="3">
        <f t="shared" si="0"/>
        <v>0.27924139587902957</v>
      </c>
    </row>
    <row r="269" spans="1:3" ht="13.2" x14ac:dyDescent="0.25">
      <c r="A269" s="6">
        <v>267</v>
      </c>
      <c r="B269" s="7">
        <v>42.151027679443359</v>
      </c>
      <c r="C269" s="3">
        <f t="shared" si="0"/>
        <v>0.26549140472711763</v>
      </c>
    </row>
    <row r="270" spans="1:3" ht="13.2" x14ac:dyDescent="0.25">
      <c r="A270" s="6">
        <v>268</v>
      </c>
      <c r="B270" s="7">
        <v>42.321029663085938</v>
      </c>
      <c r="C270" s="3">
        <f t="shared" si="0"/>
        <v>0.26752367994584414</v>
      </c>
    </row>
    <row r="271" spans="1:3" ht="13.2" x14ac:dyDescent="0.25">
      <c r="A271" s="6">
        <v>269</v>
      </c>
      <c r="B271" s="7">
        <v>42.387138366699219</v>
      </c>
      <c r="C271" s="3">
        <f t="shared" si="0"/>
        <v>0.25524438402740657</v>
      </c>
    </row>
    <row r="272" spans="1:3" ht="13.2" x14ac:dyDescent="0.25">
      <c r="A272" s="6">
        <v>270</v>
      </c>
      <c r="B272" s="7">
        <v>41.574905395507813</v>
      </c>
      <c r="C272" s="3">
        <f t="shared" si="0"/>
        <v>0.18423820502979268</v>
      </c>
    </row>
    <row r="273" spans="1:3" ht="13.2" x14ac:dyDescent="0.25">
      <c r="A273" s="6">
        <v>271</v>
      </c>
      <c r="B273" s="7">
        <v>41.716575622558594</v>
      </c>
      <c r="C273" s="3">
        <f t="shared" si="0"/>
        <v>0.20158867809230657</v>
      </c>
    </row>
    <row r="274" spans="1:3" ht="13.2" x14ac:dyDescent="0.25">
      <c r="A274" s="6">
        <v>272</v>
      </c>
      <c r="B274" s="7">
        <v>41.376571655273438</v>
      </c>
      <c r="C274" s="3">
        <f t="shared" si="0"/>
        <v>0.17176090128437918</v>
      </c>
    </row>
    <row r="275" spans="1:3" ht="13.2" x14ac:dyDescent="0.25">
      <c r="A275" s="6">
        <v>273</v>
      </c>
      <c r="B275" s="7">
        <v>41.404903411865234</v>
      </c>
      <c r="C275" s="3">
        <f t="shared" si="0"/>
        <v>0.1543703916048984</v>
      </c>
    </row>
    <row r="276" spans="1:3" ht="13.2" x14ac:dyDescent="0.25">
      <c r="A276" s="6">
        <v>274</v>
      </c>
      <c r="B276" s="7">
        <v>41.008232116699219</v>
      </c>
      <c r="C276" s="3">
        <f t="shared" si="0"/>
        <v>0.12012719778736305</v>
      </c>
    </row>
    <row r="277" spans="1:3" ht="13.2" x14ac:dyDescent="0.25">
      <c r="A277" s="6">
        <v>275</v>
      </c>
      <c r="B277" s="7">
        <v>41.499351501464844</v>
      </c>
      <c r="C277" s="3">
        <f t="shared" si="0"/>
        <v>0.14452114640791214</v>
      </c>
    </row>
    <row r="278" spans="1:3" ht="13.2" x14ac:dyDescent="0.25">
      <c r="A278" s="6">
        <v>276</v>
      </c>
      <c r="B278" s="7">
        <v>41.395462036132813</v>
      </c>
      <c r="C278" s="3">
        <f t="shared" si="0"/>
        <v>0.13562312461251316</v>
      </c>
    </row>
    <row r="279" spans="1:3" ht="13.2" x14ac:dyDescent="0.25">
      <c r="A279" s="6">
        <v>277</v>
      </c>
      <c r="B279" s="7">
        <v>41.225460052490234</v>
      </c>
      <c r="C279" s="3">
        <f t="shared" si="0"/>
        <v>0.12566364724500798</v>
      </c>
    </row>
    <row r="280" spans="1:3" ht="13.2" x14ac:dyDescent="0.25">
      <c r="A280" s="6">
        <v>278</v>
      </c>
      <c r="B280" s="7">
        <v>41.234905242919922</v>
      </c>
      <c r="C280" s="3">
        <f t="shared" si="0"/>
        <v>0.13864149911344187</v>
      </c>
    </row>
    <row r="281" spans="1:3" ht="13.2" x14ac:dyDescent="0.25">
      <c r="A281" s="6">
        <v>279</v>
      </c>
      <c r="B281" s="7">
        <v>41.452125549316406</v>
      </c>
      <c r="C281" s="3">
        <f t="shared" si="0"/>
        <v>0.15680905424905997</v>
      </c>
    </row>
    <row r="282" spans="1:3" ht="13.2" x14ac:dyDescent="0.25">
      <c r="A282" s="6">
        <v>280</v>
      </c>
      <c r="B282" s="7">
        <v>41.338794708251953</v>
      </c>
      <c r="C282" s="3">
        <f t="shared" si="0"/>
        <v>0.14064474401095708</v>
      </c>
    </row>
    <row r="283" spans="1:3" ht="13.2" x14ac:dyDescent="0.25">
      <c r="A283" s="6">
        <v>281</v>
      </c>
      <c r="B283" s="7">
        <v>40.970455169677734</v>
      </c>
      <c r="C283" s="3">
        <f t="shared" si="0"/>
        <v>0.13143807214474795</v>
      </c>
    </row>
    <row r="284" spans="1:3" ht="13.2" x14ac:dyDescent="0.25">
      <c r="A284" s="6">
        <v>282</v>
      </c>
      <c r="B284" s="7">
        <v>41.376571655273438</v>
      </c>
      <c r="C284" s="3">
        <f t="shared" si="0"/>
        <v>0.14541277655217238</v>
      </c>
    </row>
    <row r="285" spans="1:3" ht="13.2" x14ac:dyDescent="0.25">
      <c r="A285" s="6">
        <v>283</v>
      </c>
      <c r="B285" s="7">
        <v>41.216011047363281</v>
      </c>
      <c r="C285" s="3">
        <f t="shared" si="0"/>
        <v>0.13434161915726867</v>
      </c>
    </row>
    <row r="286" spans="1:3" ht="13.2" x14ac:dyDescent="0.25">
      <c r="A286" s="6">
        <v>284</v>
      </c>
      <c r="B286" s="7">
        <v>42.679920196533203</v>
      </c>
      <c r="C286" s="3">
        <f t="shared" si="0"/>
        <v>0.15907024540182424</v>
      </c>
    </row>
    <row r="287" spans="1:3" ht="13.2" x14ac:dyDescent="0.25">
      <c r="A287" s="6">
        <v>285</v>
      </c>
      <c r="B287" s="7">
        <v>41.896022796630859</v>
      </c>
      <c r="C287" s="3">
        <f t="shared" si="0"/>
        <v>0.16824102477552152</v>
      </c>
    </row>
    <row r="288" spans="1:3" ht="13.2" x14ac:dyDescent="0.25">
      <c r="A288" s="6">
        <v>286</v>
      </c>
      <c r="B288" s="7">
        <v>42.623256683349609</v>
      </c>
      <c r="C288" s="3">
        <f t="shared" si="0"/>
        <v>0.2136802889490802</v>
      </c>
    </row>
    <row r="289" spans="1:3" ht="13.2" x14ac:dyDescent="0.25">
      <c r="A289" s="6">
        <v>287</v>
      </c>
      <c r="B289" s="7">
        <v>42.141578674316406</v>
      </c>
      <c r="C289" s="3">
        <f t="shared" si="0"/>
        <v>0.19857578157997088</v>
      </c>
    </row>
    <row r="290" spans="1:3" ht="13.2" x14ac:dyDescent="0.25">
      <c r="A290" s="6">
        <v>288</v>
      </c>
      <c r="B290" s="7">
        <v>41.782688140869141</v>
      </c>
      <c r="C290" s="3">
        <f t="shared" si="0"/>
        <v>0.20371279918555468</v>
      </c>
    </row>
    <row r="291" spans="1:3" ht="13.2" x14ac:dyDescent="0.25">
      <c r="A291" s="6">
        <v>289</v>
      </c>
      <c r="B291" s="7">
        <v>41.197124481201172</v>
      </c>
      <c r="C291" s="3">
        <f t="shared" si="0"/>
        <v>0.21173427141909421</v>
      </c>
    </row>
    <row r="292" spans="1:3" ht="13.2" x14ac:dyDescent="0.25">
      <c r="A292" s="6">
        <v>290</v>
      </c>
      <c r="B292" s="7">
        <v>42.632698059082031</v>
      </c>
      <c r="C292" s="3">
        <f t="shared" si="0"/>
        <v>0.25682223916176344</v>
      </c>
    </row>
    <row r="293" spans="1:3" ht="13.2" x14ac:dyDescent="0.25">
      <c r="A293" s="6">
        <v>291</v>
      </c>
      <c r="B293" s="7">
        <v>42.377689361572266</v>
      </c>
      <c r="C293" s="3">
        <f t="shared" si="0"/>
        <v>0.25026429276859946</v>
      </c>
    </row>
    <row r="294" spans="1:3" ht="13.2" x14ac:dyDescent="0.25">
      <c r="A294" s="6">
        <v>292</v>
      </c>
      <c r="B294" s="7">
        <v>42.349361419677734</v>
      </c>
      <c r="C294" s="3">
        <f t="shared" si="0"/>
        <v>0.23463271124242391</v>
      </c>
    </row>
    <row r="295" spans="1:3" ht="13.2" x14ac:dyDescent="0.25">
      <c r="A295" s="6">
        <v>293</v>
      </c>
      <c r="B295" s="7">
        <v>41.310462951660156</v>
      </c>
      <c r="C295" s="3">
        <f t="shared" si="0"/>
        <v>0.21365290204368154</v>
      </c>
    </row>
    <row r="296" spans="1:3" ht="13.2" x14ac:dyDescent="0.25">
      <c r="A296" s="6">
        <v>294</v>
      </c>
      <c r="B296" s="7">
        <v>41.952690124511719</v>
      </c>
      <c r="C296" s="3">
        <f t="shared" si="0"/>
        <v>0.21400875527526961</v>
      </c>
    </row>
    <row r="297" spans="1:3" ht="13.2" x14ac:dyDescent="0.25">
      <c r="A297" s="6">
        <v>295</v>
      </c>
      <c r="B297" s="7">
        <v>42.302139282226563</v>
      </c>
      <c r="C297" s="3">
        <f t="shared" si="0"/>
        <v>0.20611791192744999</v>
      </c>
    </row>
    <row r="298" spans="1:3" ht="13.2" x14ac:dyDescent="0.25">
      <c r="A298" s="6">
        <v>296</v>
      </c>
      <c r="B298" s="7">
        <v>42.302139282226563</v>
      </c>
      <c r="C298" s="3">
        <f t="shared" si="0"/>
        <v>0.19520637260836912</v>
      </c>
    </row>
    <row r="299" spans="1:3" ht="13.2" x14ac:dyDescent="0.25">
      <c r="A299" s="6">
        <v>297</v>
      </c>
      <c r="B299" s="7">
        <v>42.821590423583984</v>
      </c>
      <c r="C299" s="3">
        <f t="shared" si="0"/>
        <v>0.17716902630329898</v>
      </c>
    </row>
    <row r="300" spans="1:3" ht="13.2" x14ac:dyDescent="0.25">
      <c r="A300" s="6">
        <v>298</v>
      </c>
      <c r="B300" s="7">
        <v>43.133255004882813</v>
      </c>
      <c r="C300" s="3">
        <f t="shared" si="0"/>
        <v>0.17751105315090762</v>
      </c>
    </row>
    <row r="301" spans="1:3" ht="13.2" x14ac:dyDescent="0.25">
      <c r="A301" s="6">
        <v>299</v>
      </c>
      <c r="B301" s="7">
        <v>42.557140350341797</v>
      </c>
      <c r="C301" s="3">
        <f t="shared" si="0"/>
        <v>3.2351972896378235E-2</v>
      </c>
    </row>
    <row r="302" spans="1:3" ht="13.2" x14ac:dyDescent="0.25">
      <c r="A302" s="6">
        <v>300</v>
      </c>
      <c r="B302" s="7">
        <v>44.143825531005859</v>
      </c>
      <c r="C302" s="3">
        <f t="shared" si="0"/>
        <v>0.12884163006127586</v>
      </c>
    </row>
    <row r="303" spans="1:3" ht="13.2" x14ac:dyDescent="0.25">
      <c r="A303" s="6">
        <v>301</v>
      </c>
      <c r="B303" s="7">
        <v>43.331592559814453</v>
      </c>
      <c r="C303" s="3">
        <f t="shared" si="0"/>
        <v>0.13916723586063584</v>
      </c>
    </row>
    <row r="304" spans="1:3" ht="13.2" x14ac:dyDescent="0.25">
      <c r="A304" s="6">
        <v>302</v>
      </c>
      <c r="B304" s="7">
        <v>45.059947967529297</v>
      </c>
      <c r="C304" s="3">
        <f t="shared" si="0"/>
        <v>0.19901540732450312</v>
      </c>
    </row>
    <row r="305" spans="1:3" ht="13.2" x14ac:dyDescent="0.25">
      <c r="A305" s="6">
        <v>303</v>
      </c>
      <c r="B305" s="7">
        <v>45.6455078125</v>
      </c>
      <c r="C305" s="3">
        <f t="shared" si="0"/>
        <v>0.18243341613399353</v>
      </c>
    </row>
    <row r="306" spans="1:3" ht="13.2" x14ac:dyDescent="0.25">
      <c r="A306" s="6">
        <v>304</v>
      </c>
      <c r="B306" s="7">
        <v>46.042179107666016</v>
      </c>
      <c r="C306" s="3">
        <f t="shared" si="0"/>
        <v>0.19496866925566597</v>
      </c>
    </row>
    <row r="307" spans="1:3" ht="13.2" x14ac:dyDescent="0.25">
      <c r="A307" s="6">
        <v>305</v>
      </c>
      <c r="B307" s="7">
        <v>45.711624145507813</v>
      </c>
      <c r="C307" s="3">
        <f t="shared" si="0"/>
        <v>0.17328086938944109</v>
      </c>
    </row>
    <row r="308" spans="1:3" ht="13.2" x14ac:dyDescent="0.25">
      <c r="A308" s="6">
        <v>306</v>
      </c>
      <c r="B308" s="7">
        <v>46.278293609619141</v>
      </c>
      <c r="C308" s="3">
        <f t="shared" si="0"/>
        <v>0.21034786519820739</v>
      </c>
    </row>
    <row r="309" spans="1:3" ht="13.2" x14ac:dyDescent="0.25">
      <c r="A309" s="6">
        <v>307</v>
      </c>
      <c r="B309" s="7">
        <v>46.693851470947266</v>
      </c>
      <c r="C309" s="3">
        <f t="shared" si="0"/>
        <v>0.23588204318798164</v>
      </c>
    </row>
    <row r="310" spans="1:3" ht="13.2" x14ac:dyDescent="0.25">
      <c r="A310" s="6">
        <v>308</v>
      </c>
      <c r="B310" s="7">
        <v>46.429405212402344</v>
      </c>
      <c r="C310" s="3">
        <f t="shared" si="0"/>
        <v>0.19318395038008343</v>
      </c>
    </row>
    <row r="311" spans="1:3" ht="13.2" x14ac:dyDescent="0.25">
      <c r="A311" s="6">
        <v>309</v>
      </c>
      <c r="B311" s="7">
        <v>46.929962158203125</v>
      </c>
      <c r="C311" s="3">
        <f t="shared" si="0"/>
        <v>0.20222407261382255</v>
      </c>
    </row>
    <row r="312" spans="1:3" ht="13.2" x14ac:dyDescent="0.25">
      <c r="A312" s="6">
        <v>310</v>
      </c>
      <c r="B312" s="7">
        <v>46.231071472167969</v>
      </c>
      <c r="C312" s="3">
        <f t="shared" si="0"/>
        <v>0.19493814352871316</v>
      </c>
    </row>
    <row r="313" spans="1:3" ht="13.2" x14ac:dyDescent="0.25">
      <c r="A313" s="6">
        <v>311</v>
      </c>
      <c r="B313" s="7">
        <v>46.174404144287109</v>
      </c>
      <c r="C313" s="3">
        <f t="shared" si="0"/>
        <v>0.1937116505182834</v>
      </c>
    </row>
    <row r="314" spans="1:3" ht="13.2" x14ac:dyDescent="0.25">
      <c r="A314" s="6">
        <v>312</v>
      </c>
      <c r="B314" s="7">
        <v>46.873294830322266</v>
      </c>
      <c r="C314" s="3">
        <f t="shared" si="0"/>
        <v>0.20510880455147901</v>
      </c>
    </row>
    <row r="315" spans="1:3" ht="13.2" x14ac:dyDescent="0.25">
      <c r="A315" s="6">
        <v>313</v>
      </c>
      <c r="B315" s="7">
        <v>48.573318481445313</v>
      </c>
      <c r="C315" s="3">
        <f t="shared" si="0"/>
        <v>0.1903952742788256</v>
      </c>
    </row>
    <row r="316" spans="1:3" ht="13.2" x14ac:dyDescent="0.25">
      <c r="A316" s="6">
        <v>314</v>
      </c>
      <c r="B316" s="7">
        <v>48.157760620117188</v>
      </c>
      <c r="C316" s="3">
        <f t="shared" si="0"/>
        <v>0.15375320442765367</v>
      </c>
    </row>
    <row r="317" spans="1:3" ht="13.2" x14ac:dyDescent="0.25">
      <c r="A317" s="6">
        <v>315</v>
      </c>
      <c r="B317" s="7">
        <v>47.043300628662109</v>
      </c>
      <c r="C317" s="3">
        <f t="shared" si="0"/>
        <v>0.1296705016165228</v>
      </c>
    </row>
    <row r="318" spans="1:3" ht="13.2" x14ac:dyDescent="0.25">
      <c r="A318" s="6">
        <v>316</v>
      </c>
      <c r="B318" s="7">
        <v>47.052742004394531</v>
      </c>
      <c r="C318" s="3">
        <f t="shared" si="0"/>
        <v>0.15721435270348474</v>
      </c>
    </row>
    <row r="319" spans="1:3" ht="13.2" x14ac:dyDescent="0.25">
      <c r="A319" s="6">
        <v>317</v>
      </c>
      <c r="B319" s="7">
        <v>47.156635284423828</v>
      </c>
      <c r="C319" s="3">
        <f t="shared" ref="C319:C382" si="1">LN(B319/B67)</f>
        <v>0.17535402471583211</v>
      </c>
    </row>
    <row r="320" spans="1:3" ht="13.2" x14ac:dyDescent="0.25">
      <c r="A320" s="6">
        <v>318</v>
      </c>
      <c r="B320" s="7">
        <v>46.561630249023438</v>
      </c>
      <c r="C320" s="3">
        <f t="shared" si="1"/>
        <v>0.18382819856715429</v>
      </c>
    </row>
    <row r="321" spans="1:3" ht="13.2" x14ac:dyDescent="0.25">
      <c r="A321" s="6">
        <v>319</v>
      </c>
      <c r="B321" s="7">
        <v>46.306625366210938</v>
      </c>
      <c r="C321" s="3">
        <f t="shared" si="1"/>
        <v>0.13779977015753794</v>
      </c>
    </row>
    <row r="322" spans="1:3" ht="13.2" x14ac:dyDescent="0.25">
      <c r="A322" s="6">
        <v>320</v>
      </c>
      <c r="B322" s="7">
        <v>46.920520782470703</v>
      </c>
      <c r="C322" s="3">
        <f t="shared" si="1"/>
        <v>0.16777695143056567</v>
      </c>
    </row>
    <row r="323" spans="1:3" ht="13.2" x14ac:dyDescent="0.25">
      <c r="A323" s="6">
        <v>321</v>
      </c>
      <c r="B323" s="7">
        <v>46.939411163330078</v>
      </c>
      <c r="C323" s="3">
        <f t="shared" si="1"/>
        <v>0.16910874174486876</v>
      </c>
    </row>
    <row r="324" spans="1:3" ht="13.2" x14ac:dyDescent="0.25">
      <c r="A324" s="6">
        <v>322</v>
      </c>
      <c r="B324" s="7">
        <v>47.052742004394531</v>
      </c>
      <c r="C324" s="3">
        <f t="shared" si="1"/>
        <v>0.19646258761844718</v>
      </c>
    </row>
    <row r="325" spans="1:3" ht="13.2" x14ac:dyDescent="0.25">
      <c r="A325" s="6">
        <v>323</v>
      </c>
      <c r="B325" s="7">
        <v>47.997200012207031</v>
      </c>
      <c r="C325" s="3">
        <f t="shared" si="1"/>
        <v>0.25396652954432059</v>
      </c>
    </row>
    <row r="326" spans="1:3" ht="13.2" x14ac:dyDescent="0.25">
      <c r="A326" s="6">
        <v>324</v>
      </c>
      <c r="B326" s="7">
        <v>47.836643218994141</v>
      </c>
      <c r="C326" s="3">
        <f t="shared" si="1"/>
        <v>0.21036786505133781</v>
      </c>
    </row>
    <row r="327" spans="1:3" ht="13.2" x14ac:dyDescent="0.25">
      <c r="A327" s="6">
        <v>325</v>
      </c>
      <c r="B327" s="7">
        <v>47.572193145751953</v>
      </c>
      <c r="C327" s="3">
        <f t="shared" si="1"/>
        <v>0.22595868486252627</v>
      </c>
    </row>
    <row r="328" spans="1:3" ht="13.2" x14ac:dyDescent="0.25">
      <c r="A328" s="6">
        <v>326</v>
      </c>
      <c r="B328" s="7">
        <v>46.665523529052734</v>
      </c>
      <c r="C328" s="3">
        <f t="shared" si="1"/>
        <v>0.2297958646555073</v>
      </c>
    </row>
    <row r="329" spans="1:3" ht="13.2" x14ac:dyDescent="0.25">
      <c r="A329" s="6">
        <v>327</v>
      </c>
      <c r="B329" s="7">
        <v>47.194416046142578</v>
      </c>
      <c r="C329" s="3">
        <f t="shared" si="1"/>
        <v>0.24554670937617612</v>
      </c>
    </row>
    <row r="330" spans="1:3" ht="13.2" x14ac:dyDescent="0.25">
      <c r="A330" s="6">
        <v>328</v>
      </c>
      <c r="B330" s="7">
        <v>46.703300476074219</v>
      </c>
      <c r="C330" s="3">
        <f t="shared" si="1"/>
        <v>0.20776778559676642</v>
      </c>
    </row>
    <row r="331" spans="1:3" ht="13.2" x14ac:dyDescent="0.25">
      <c r="A331" s="6">
        <v>329</v>
      </c>
      <c r="B331" s="7">
        <v>47.005519866943359</v>
      </c>
      <c r="C331" s="3">
        <f t="shared" si="1"/>
        <v>0.24103743380217568</v>
      </c>
    </row>
    <row r="332" spans="1:3" ht="13.2" x14ac:dyDescent="0.25">
      <c r="A332" s="6">
        <v>330</v>
      </c>
      <c r="B332" s="7">
        <v>47.298305511474609</v>
      </c>
      <c r="C332" s="3">
        <f t="shared" si="1"/>
        <v>0.22602713828154997</v>
      </c>
    </row>
    <row r="333" spans="1:3" ht="13.2" x14ac:dyDescent="0.25">
      <c r="A333" s="6">
        <v>331</v>
      </c>
      <c r="B333" s="7">
        <v>47.515525817871094</v>
      </c>
      <c r="C333" s="3">
        <f t="shared" si="1"/>
        <v>0.25407568885266868</v>
      </c>
    </row>
    <row r="334" spans="1:3" ht="13.2" x14ac:dyDescent="0.25">
      <c r="A334" s="6">
        <v>332</v>
      </c>
      <c r="B334" s="7">
        <v>48.488319396972656</v>
      </c>
      <c r="C334" s="3">
        <f t="shared" si="1"/>
        <v>0.28388495083498838</v>
      </c>
    </row>
    <row r="335" spans="1:3" ht="13.2" x14ac:dyDescent="0.25">
      <c r="A335" s="6">
        <v>333</v>
      </c>
      <c r="B335" s="7">
        <v>52.228355407714844</v>
      </c>
      <c r="C335" s="3">
        <f t="shared" si="1"/>
        <v>0.34639794946000207</v>
      </c>
    </row>
    <row r="336" spans="1:3" ht="13.2" x14ac:dyDescent="0.25">
      <c r="A336" s="6">
        <v>334</v>
      </c>
      <c r="B336" s="7">
        <v>52.889480590820313</v>
      </c>
      <c r="C336" s="3">
        <f t="shared" si="1"/>
        <v>0.36347557637004096</v>
      </c>
    </row>
    <row r="337" spans="1:3" ht="13.2" x14ac:dyDescent="0.25">
      <c r="A337" s="6">
        <v>335</v>
      </c>
      <c r="B337" s="7">
        <v>53.106704711914063</v>
      </c>
      <c r="C337" s="3">
        <f t="shared" si="1"/>
        <v>0.39371458616477167</v>
      </c>
    </row>
    <row r="338" spans="1:3" ht="13.2" x14ac:dyDescent="0.25">
      <c r="A338" s="6">
        <v>336</v>
      </c>
      <c r="B338" s="7">
        <v>54.693382263183594</v>
      </c>
      <c r="C338" s="3">
        <f t="shared" si="1"/>
        <v>0.46195314606968207</v>
      </c>
    </row>
    <row r="339" spans="1:3" ht="13.2" x14ac:dyDescent="0.25">
      <c r="A339" s="6">
        <v>337</v>
      </c>
      <c r="B339" s="7">
        <v>54.665050506591797</v>
      </c>
      <c r="C339" s="3">
        <f t="shared" si="1"/>
        <v>0.4175065501736161</v>
      </c>
    </row>
    <row r="340" spans="1:3" ht="13.2" x14ac:dyDescent="0.25">
      <c r="A340" s="6">
        <v>338</v>
      </c>
      <c r="B340" s="7">
        <v>55.042835235595703</v>
      </c>
      <c r="C340" s="3">
        <f t="shared" si="1"/>
        <v>0.40865725317777402</v>
      </c>
    </row>
    <row r="341" spans="1:3" ht="13.2" x14ac:dyDescent="0.25">
      <c r="A341" s="6">
        <v>339</v>
      </c>
      <c r="B341" s="7">
        <v>55.071170806884766</v>
      </c>
      <c r="C341" s="3">
        <f t="shared" si="1"/>
        <v>0.40841662632539799</v>
      </c>
    </row>
    <row r="342" spans="1:3" ht="13.2" x14ac:dyDescent="0.25">
      <c r="A342" s="6">
        <v>340</v>
      </c>
      <c r="B342" s="7">
        <v>53.475040435791016</v>
      </c>
      <c r="C342" s="3">
        <f t="shared" si="1"/>
        <v>0.38810541485276834</v>
      </c>
    </row>
    <row r="343" spans="1:3" ht="13.2" x14ac:dyDescent="0.25">
      <c r="A343" s="6">
        <v>341</v>
      </c>
      <c r="B343" s="7">
        <v>53.182258605957031</v>
      </c>
      <c r="C343" s="3">
        <f t="shared" si="1"/>
        <v>0.37653937669062831</v>
      </c>
    </row>
    <row r="344" spans="1:3" ht="13.2" x14ac:dyDescent="0.25">
      <c r="A344" s="6">
        <v>342</v>
      </c>
      <c r="B344" s="7">
        <v>52.247245788574219</v>
      </c>
      <c r="C344" s="3">
        <f t="shared" si="1"/>
        <v>0.35175937511849714</v>
      </c>
    </row>
    <row r="345" spans="1:3" ht="13.2" x14ac:dyDescent="0.25">
      <c r="A345" s="6">
        <v>343</v>
      </c>
      <c r="B345" s="7">
        <v>54.617828369140625</v>
      </c>
      <c r="C345" s="3">
        <f t="shared" si="1"/>
        <v>0.37088998267189127</v>
      </c>
    </row>
    <row r="346" spans="1:3" ht="13.2" x14ac:dyDescent="0.25">
      <c r="A346" s="6">
        <v>344</v>
      </c>
      <c r="B346" s="7">
        <v>54.816165924072266</v>
      </c>
      <c r="C346" s="3">
        <f t="shared" si="1"/>
        <v>0.36357768769638499</v>
      </c>
    </row>
    <row r="347" spans="1:3" ht="13.2" x14ac:dyDescent="0.25">
      <c r="A347" s="6">
        <v>345</v>
      </c>
      <c r="B347" s="7">
        <v>54.117271423339844</v>
      </c>
      <c r="C347" s="3">
        <f t="shared" si="1"/>
        <v>0.40182303780692935</v>
      </c>
    </row>
    <row r="348" spans="1:3" ht="13.2" x14ac:dyDescent="0.25">
      <c r="A348" s="6">
        <v>346</v>
      </c>
      <c r="B348" s="7">
        <v>54.107830047607422</v>
      </c>
      <c r="C348" s="3">
        <f t="shared" si="1"/>
        <v>0.41110550999554307</v>
      </c>
    </row>
    <row r="349" spans="1:3" ht="13.2" x14ac:dyDescent="0.25">
      <c r="A349" s="6">
        <v>347</v>
      </c>
      <c r="B349" s="7">
        <v>54.759498596191406</v>
      </c>
      <c r="C349" s="3">
        <f t="shared" si="1"/>
        <v>0.40955846330090329</v>
      </c>
    </row>
    <row r="350" spans="1:3" ht="13.2" x14ac:dyDescent="0.25">
      <c r="A350" s="6">
        <v>348</v>
      </c>
      <c r="B350" s="7">
        <v>56.043956756591797</v>
      </c>
      <c r="C350" s="3">
        <f t="shared" si="1"/>
        <v>0.43858818735417188</v>
      </c>
    </row>
    <row r="351" spans="1:3" ht="13.2" x14ac:dyDescent="0.25">
      <c r="A351" s="6">
        <v>349</v>
      </c>
      <c r="B351" s="7">
        <v>55.061725616455078</v>
      </c>
      <c r="C351" s="3">
        <f t="shared" si="1"/>
        <v>0.38708166490356244</v>
      </c>
    </row>
    <row r="352" spans="1:3" ht="13.2" x14ac:dyDescent="0.25">
      <c r="A352" s="6">
        <v>350</v>
      </c>
      <c r="B352" s="7">
        <v>55.486728668212891</v>
      </c>
      <c r="C352" s="3">
        <f t="shared" si="1"/>
        <v>0.37139482790857598</v>
      </c>
    </row>
    <row r="353" spans="1:3" ht="13.2" x14ac:dyDescent="0.25">
      <c r="A353" s="6">
        <v>351</v>
      </c>
      <c r="B353" s="7">
        <v>54.391159057617188</v>
      </c>
      <c r="C353" s="3">
        <f t="shared" si="1"/>
        <v>0.35145258217724856</v>
      </c>
    </row>
    <row r="354" spans="1:3" ht="13.2" x14ac:dyDescent="0.25">
      <c r="A354" s="6">
        <v>352</v>
      </c>
      <c r="B354" s="7">
        <v>52.455028533935547</v>
      </c>
      <c r="C354" s="3">
        <f t="shared" si="1"/>
        <v>0.33858302817847169</v>
      </c>
    </row>
    <row r="355" spans="1:3" ht="13.2" x14ac:dyDescent="0.25">
      <c r="A355" s="6">
        <v>353</v>
      </c>
      <c r="B355" s="7">
        <v>53.711154937744141</v>
      </c>
      <c r="C355" s="3">
        <f t="shared" si="1"/>
        <v>0.35855880179257599</v>
      </c>
    </row>
    <row r="356" spans="1:3" ht="13.2" x14ac:dyDescent="0.25">
      <c r="A356" s="6">
        <v>354</v>
      </c>
      <c r="B356" s="7">
        <v>53.994491577148438</v>
      </c>
      <c r="C356" s="3">
        <f t="shared" si="1"/>
        <v>0.34895809100302744</v>
      </c>
    </row>
    <row r="357" spans="1:3" ht="13.2" x14ac:dyDescent="0.25">
      <c r="A357" s="6">
        <v>355</v>
      </c>
      <c r="B357" s="7">
        <v>54.665050506591797</v>
      </c>
      <c r="C357" s="3">
        <f t="shared" si="1"/>
        <v>0.36372204076493619</v>
      </c>
    </row>
    <row r="358" spans="1:3" ht="13.2" x14ac:dyDescent="0.25">
      <c r="A358" s="6">
        <v>356</v>
      </c>
      <c r="B358" s="7">
        <v>56.317848205566406</v>
      </c>
      <c r="C358" s="3">
        <f t="shared" si="1"/>
        <v>0.39496445395592888</v>
      </c>
    </row>
    <row r="359" spans="1:3" ht="13.2" x14ac:dyDescent="0.25">
      <c r="A359" s="6">
        <v>357</v>
      </c>
      <c r="B359" s="7">
        <v>54.428939819335938</v>
      </c>
      <c r="C359" s="3">
        <f t="shared" si="1"/>
        <v>0.36084894379607141</v>
      </c>
    </row>
    <row r="360" spans="1:3" ht="13.2" x14ac:dyDescent="0.25">
      <c r="A360" s="6">
        <v>358</v>
      </c>
      <c r="B360" s="7">
        <v>54.665050506591797</v>
      </c>
      <c r="C360" s="3">
        <f t="shared" si="1"/>
        <v>0.36009222324427731</v>
      </c>
    </row>
    <row r="361" spans="1:3" ht="13.2" x14ac:dyDescent="0.25">
      <c r="A361" s="6">
        <v>359</v>
      </c>
      <c r="B361" s="7">
        <v>54.438381195068359</v>
      </c>
      <c r="C361" s="3">
        <f t="shared" si="1"/>
        <v>0.33395832482093829</v>
      </c>
    </row>
    <row r="362" spans="1:3" ht="13.2" x14ac:dyDescent="0.25">
      <c r="A362" s="6">
        <v>360</v>
      </c>
      <c r="B362" s="7">
        <v>53.371150970458984</v>
      </c>
      <c r="C362" s="3">
        <f t="shared" si="1"/>
        <v>0.33831425332382825</v>
      </c>
    </row>
    <row r="363" spans="1:3" ht="13.2" x14ac:dyDescent="0.25">
      <c r="A363" s="6">
        <v>361</v>
      </c>
      <c r="B363" s="7">
        <v>53.475040435791016</v>
      </c>
      <c r="C363" s="3">
        <f t="shared" si="1"/>
        <v>0.34074323004938295</v>
      </c>
    </row>
    <row r="364" spans="1:3" ht="13.2" x14ac:dyDescent="0.25">
      <c r="A364" s="6">
        <v>362</v>
      </c>
      <c r="B364" s="7">
        <v>54.249488830566406</v>
      </c>
      <c r="C364" s="3">
        <f t="shared" si="1"/>
        <v>0.3285937416389757</v>
      </c>
    </row>
    <row r="365" spans="1:3" ht="13.2" x14ac:dyDescent="0.25">
      <c r="A365" s="6">
        <v>363</v>
      </c>
      <c r="B365" s="7">
        <v>54.315601348876953</v>
      </c>
      <c r="C365" s="3">
        <f t="shared" si="1"/>
        <v>0.30511899101397183</v>
      </c>
    </row>
    <row r="366" spans="1:3" ht="13.2" x14ac:dyDescent="0.25">
      <c r="A366" s="6">
        <v>364</v>
      </c>
      <c r="B366" s="7">
        <v>53.153926849365234</v>
      </c>
      <c r="C366" s="3">
        <f t="shared" si="1"/>
        <v>0.29926997140214634</v>
      </c>
    </row>
    <row r="367" spans="1:3" ht="13.2" x14ac:dyDescent="0.25">
      <c r="A367" s="6">
        <v>365</v>
      </c>
      <c r="B367" s="7">
        <v>57.555084228515625</v>
      </c>
      <c r="C367" s="3">
        <f t="shared" si="1"/>
        <v>0.42989211444665731</v>
      </c>
    </row>
    <row r="368" spans="1:3" ht="13.2" x14ac:dyDescent="0.25">
      <c r="A368" s="6">
        <v>366</v>
      </c>
      <c r="B368" s="7">
        <v>59.368438720703125</v>
      </c>
      <c r="C368" s="3">
        <f t="shared" si="1"/>
        <v>0.45258307251256463</v>
      </c>
    </row>
    <row r="369" spans="1:3" ht="13.2" x14ac:dyDescent="0.25">
      <c r="A369" s="6">
        <v>367</v>
      </c>
      <c r="B369" s="7">
        <v>58.537315368652344</v>
      </c>
      <c r="C369" s="3">
        <f t="shared" si="1"/>
        <v>0.42227163439970911</v>
      </c>
    </row>
    <row r="370" spans="1:3" ht="13.2" x14ac:dyDescent="0.25">
      <c r="A370" s="6">
        <v>368</v>
      </c>
      <c r="B370" s="7">
        <v>59.415664672851563</v>
      </c>
      <c r="C370" s="3">
        <f t="shared" si="1"/>
        <v>0.42784710180950614</v>
      </c>
    </row>
    <row r="371" spans="1:3" ht="13.2" x14ac:dyDescent="0.25">
      <c r="A371" s="6">
        <v>369</v>
      </c>
      <c r="B371" s="7">
        <v>59.878444671630859</v>
      </c>
      <c r="C371" s="3">
        <f t="shared" si="1"/>
        <v>0.42873302918071976</v>
      </c>
    </row>
    <row r="372" spans="1:3" ht="13.2" x14ac:dyDescent="0.25">
      <c r="A372" s="6">
        <v>370</v>
      </c>
      <c r="B372" s="7">
        <v>57.810089111328125</v>
      </c>
      <c r="C372" s="3">
        <f t="shared" si="1"/>
        <v>0.40665489603976468</v>
      </c>
    </row>
    <row r="373" spans="1:3" ht="13.2" x14ac:dyDescent="0.25">
      <c r="A373" s="6">
        <v>371</v>
      </c>
      <c r="B373" s="7">
        <v>59.330661773681641</v>
      </c>
      <c r="C373" s="3">
        <f t="shared" si="1"/>
        <v>0.4475649166257768</v>
      </c>
    </row>
    <row r="374" spans="1:3" ht="13.2" x14ac:dyDescent="0.25">
      <c r="A374" s="6">
        <v>372</v>
      </c>
      <c r="B374" s="7">
        <v>58.159538269042969</v>
      </c>
      <c r="C374" s="3">
        <f t="shared" si="1"/>
        <v>0.38553471535562389</v>
      </c>
    </row>
    <row r="375" spans="1:3" ht="13.2" x14ac:dyDescent="0.25">
      <c r="A375" s="6">
        <v>373</v>
      </c>
      <c r="B375" s="7">
        <v>56.346183776855469</v>
      </c>
      <c r="C375" s="3">
        <f t="shared" si="1"/>
        <v>0.35199806234769443</v>
      </c>
    </row>
    <row r="376" spans="1:3" ht="13.2" x14ac:dyDescent="0.25">
      <c r="A376" s="6">
        <v>374</v>
      </c>
      <c r="B376" s="7">
        <v>56.516181945800781</v>
      </c>
      <c r="C376" s="3">
        <f t="shared" si="1"/>
        <v>0.33864128193321574</v>
      </c>
    </row>
    <row r="377" spans="1:3" ht="13.2" x14ac:dyDescent="0.25">
      <c r="A377" s="6">
        <v>375</v>
      </c>
      <c r="B377" s="7">
        <v>57.564529418945313</v>
      </c>
      <c r="C377" s="3">
        <f t="shared" si="1"/>
        <v>0.36252411014734787</v>
      </c>
    </row>
    <row r="378" spans="1:3" ht="13.2" x14ac:dyDescent="0.25">
      <c r="A378" s="6">
        <v>376</v>
      </c>
      <c r="B378" s="7">
        <v>57.148971557617188</v>
      </c>
      <c r="C378" s="3">
        <f t="shared" si="1"/>
        <v>0.31914938349469291</v>
      </c>
    </row>
    <row r="379" spans="1:3" ht="13.2" x14ac:dyDescent="0.25">
      <c r="A379" s="6">
        <v>377</v>
      </c>
      <c r="B379" s="7">
        <v>57.111190795898438</v>
      </c>
      <c r="C379" s="3">
        <f t="shared" si="1"/>
        <v>0.32583376271604764</v>
      </c>
    </row>
    <row r="380" spans="1:3" ht="13.2" x14ac:dyDescent="0.25">
      <c r="A380" s="6">
        <v>378</v>
      </c>
      <c r="B380" s="7">
        <v>54.929500579833984</v>
      </c>
      <c r="C380" s="3">
        <f t="shared" si="1"/>
        <v>0.32351672320688152</v>
      </c>
    </row>
    <row r="381" spans="1:3" ht="13.2" x14ac:dyDescent="0.25">
      <c r="A381" s="6">
        <v>379</v>
      </c>
      <c r="B381" s="7">
        <v>53.267265319824219</v>
      </c>
      <c r="C381" s="3">
        <f t="shared" si="1"/>
        <v>0.32194612232386216</v>
      </c>
    </row>
    <row r="382" spans="1:3" ht="13.2" x14ac:dyDescent="0.25">
      <c r="A382" s="6">
        <v>380</v>
      </c>
      <c r="B382" s="7">
        <v>52.558917999267578</v>
      </c>
      <c r="C382" s="3">
        <f t="shared" si="1"/>
        <v>0.28918208347679891</v>
      </c>
    </row>
    <row r="383" spans="1:3" ht="13.2" x14ac:dyDescent="0.25">
      <c r="A383" s="6">
        <v>381</v>
      </c>
      <c r="B383" s="7">
        <v>53.286148071289063</v>
      </c>
      <c r="C383" s="3">
        <f t="shared" ref="C383:C446" si="2">LN(B383/B131)</f>
        <v>0.30105319797514013</v>
      </c>
    </row>
    <row r="384" spans="1:3" ht="13.2" x14ac:dyDescent="0.25">
      <c r="A384" s="6">
        <v>382</v>
      </c>
      <c r="B384" s="7">
        <v>51.992240905761719</v>
      </c>
      <c r="C384" s="3">
        <f t="shared" si="2"/>
        <v>0.28373905004765054</v>
      </c>
    </row>
    <row r="385" spans="1:3" ht="13.2" x14ac:dyDescent="0.25">
      <c r="A385" s="6">
        <v>383</v>
      </c>
      <c r="B385" s="7">
        <v>51.406681060791016</v>
      </c>
      <c r="C385" s="3">
        <f t="shared" si="2"/>
        <v>0.26071656675260052</v>
      </c>
    </row>
    <row r="386" spans="1:3" ht="13.2" x14ac:dyDescent="0.25">
      <c r="A386" s="6">
        <v>384</v>
      </c>
      <c r="B386" s="7">
        <v>49.876670837402344</v>
      </c>
      <c r="C386" s="3">
        <f t="shared" si="2"/>
        <v>0.22748320739443581</v>
      </c>
    </row>
    <row r="387" spans="1:3" ht="13.2" x14ac:dyDescent="0.25">
      <c r="A387" s="6">
        <v>385</v>
      </c>
      <c r="B387" s="7">
        <v>53.097259521484375</v>
      </c>
      <c r="C387" s="3">
        <f t="shared" si="2"/>
        <v>0.29867078598767338</v>
      </c>
    </row>
    <row r="388" spans="1:3" ht="13.2" x14ac:dyDescent="0.25">
      <c r="A388" s="6">
        <v>386</v>
      </c>
      <c r="B388" s="7">
        <v>53.021701812744141</v>
      </c>
      <c r="C388" s="3">
        <f t="shared" si="2"/>
        <v>0.29631182788390004</v>
      </c>
    </row>
    <row r="389" spans="1:3" ht="13.2" x14ac:dyDescent="0.25">
      <c r="A389" s="6">
        <v>387</v>
      </c>
      <c r="B389" s="7">
        <v>53.182258605957031</v>
      </c>
      <c r="C389" s="3">
        <f t="shared" si="2"/>
        <v>0.27578300531610028</v>
      </c>
    </row>
    <row r="390" spans="1:3" ht="13.2" x14ac:dyDescent="0.25">
      <c r="A390" s="6">
        <v>388</v>
      </c>
      <c r="B390" s="7">
        <v>53.673377990722656</v>
      </c>
      <c r="C390" s="3">
        <f t="shared" si="2"/>
        <v>0.29322461190830934</v>
      </c>
    </row>
    <row r="391" spans="1:3" ht="13.2" x14ac:dyDescent="0.25">
      <c r="A391" s="6">
        <v>389</v>
      </c>
      <c r="B391" s="7">
        <v>53.087810516357422</v>
      </c>
      <c r="C391" s="3">
        <f t="shared" si="2"/>
        <v>0.28179497373654799</v>
      </c>
    </row>
    <row r="392" spans="1:3" ht="13.2" x14ac:dyDescent="0.25">
      <c r="A392" s="6">
        <v>390</v>
      </c>
      <c r="B392" s="7">
        <v>54.391159057617188</v>
      </c>
      <c r="C392" s="3">
        <f t="shared" si="2"/>
        <v>0.31924532818628337</v>
      </c>
    </row>
    <row r="393" spans="1:3" ht="13.2" x14ac:dyDescent="0.25">
      <c r="A393" s="6">
        <v>391</v>
      </c>
      <c r="B393" s="7">
        <v>51.746685028076172</v>
      </c>
      <c r="C393" s="3">
        <f t="shared" si="2"/>
        <v>0.26870519380504848</v>
      </c>
    </row>
    <row r="394" spans="1:3" ht="13.2" x14ac:dyDescent="0.25">
      <c r="A394" s="6">
        <v>392</v>
      </c>
      <c r="B394" s="7">
        <v>53.153926849365234</v>
      </c>
      <c r="C394" s="3">
        <f t="shared" si="2"/>
        <v>0.30489559248378439</v>
      </c>
    </row>
    <row r="395" spans="1:3" ht="13.2" x14ac:dyDescent="0.25">
      <c r="A395" s="6">
        <v>393</v>
      </c>
      <c r="B395" s="7">
        <v>55.156169891357422</v>
      </c>
      <c r="C395" s="3">
        <f t="shared" si="2"/>
        <v>0.35369558076746055</v>
      </c>
    </row>
    <row r="396" spans="1:3" ht="13.2" x14ac:dyDescent="0.25">
      <c r="A396" s="6">
        <v>394</v>
      </c>
      <c r="B396" s="7">
        <v>53.673377990722656</v>
      </c>
      <c r="C396" s="3">
        <f t="shared" si="2"/>
        <v>0.32644409082078668</v>
      </c>
    </row>
    <row r="397" spans="1:3" ht="13.2" x14ac:dyDescent="0.25">
      <c r="A397" s="6">
        <v>395</v>
      </c>
      <c r="B397" s="7">
        <v>55.515056610107422</v>
      </c>
      <c r="C397" s="3">
        <f t="shared" si="2"/>
        <v>0.33946493141053263</v>
      </c>
    </row>
    <row r="398" spans="1:3" ht="13.2" x14ac:dyDescent="0.25">
      <c r="A398" s="6">
        <v>396</v>
      </c>
      <c r="B398" s="7">
        <v>56.176181793212891</v>
      </c>
      <c r="C398" s="3">
        <f t="shared" si="2"/>
        <v>0.35293598816007127</v>
      </c>
    </row>
    <row r="399" spans="1:3" ht="13.2" x14ac:dyDescent="0.25">
      <c r="A399" s="6">
        <v>397</v>
      </c>
      <c r="B399" s="7">
        <v>55.014499664306641</v>
      </c>
      <c r="C399" s="3">
        <f t="shared" si="2"/>
        <v>0.32738313490142895</v>
      </c>
    </row>
    <row r="400" spans="1:3" ht="13.2" x14ac:dyDescent="0.25">
      <c r="A400" s="6">
        <v>398</v>
      </c>
      <c r="B400" s="7">
        <v>58.055644989013672</v>
      </c>
      <c r="C400" s="3">
        <f t="shared" si="2"/>
        <v>0.37332141879714748</v>
      </c>
    </row>
    <row r="401" spans="1:3" ht="13.2" x14ac:dyDescent="0.25">
      <c r="A401" s="6">
        <v>399</v>
      </c>
      <c r="B401" s="7">
        <v>59.387325286865234</v>
      </c>
      <c r="C401" s="3">
        <f t="shared" si="2"/>
        <v>0.40433192044571253</v>
      </c>
    </row>
    <row r="402" spans="1:3" ht="13.2" x14ac:dyDescent="0.25">
      <c r="A402" s="6">
        <v>400</v>
      </c>
      <c r="B402" s="7">
        <v>57.753421783447266</v>
      </c>
      <c r="C402" s="3">
        <f t="shared" si="2"/>
        <v>0.40137604407259625</v>
      </c>
    </row>
    <row r="403" spans="1:3" ht="13.2" x14ac:dyDescent="0.25">
      <c r="A403" s="6">
        <v>401</v>
      </c>
      <c r="B403" s="7">
        <v>59.179546356201172</v>
      </c>
      <c r="C403" s="3">
        <f t="shared" si="2"/>
        <v>0.42172728274310145</v>
      </c>
    </row>
    <row r="404" spans="1:3" ht="13.2" x14ac:dyDescent="0.25">
      <c r="A404" s="6">
        <v>402</v>
      </c>
      <c r="B404" s="7">
        <v>58.678985595703125</v>
      </c>
      <c r="C404" s="3">
        <f t="shared" si="2"/>
        <v>0.38723292263559539</v>
      </c>
    </row>
    <row r="405" spans="1:3" ht="13.2" x14ac:dyDescent="0.25">
      <c r="A405" s="6">
        <v>403</v>
      </c>
      <c r="B405" s="7">
        <v>59.321216583251953</v>
      </c>
      <c r="C405" s="3">
        <f t="shared" si="2"/>
        <v>0.41349620320274233</v>
      </c>
    </row>
    <row r="406" spans="1:3" ht="13.2" x14ac:dyDescent="0.25">
      <c r="A406" s="6">
        <v>404</v>
      </c>
      <c r="B406" s="7">
        <v>59.349544525146484</v>
      </c>
      <c r="C406" s="3">
        <f t="shared" si="2"/>
        <v>0.40276627497572304</v>
      </c>
    </row>
    <row r="407" spans="1:3" ht="13.2" x14ac:dyDescent="0.25">
      <c r="A407" s="6">
        <v>405</v>
      </c>
      <c r="B407" s="7">
        <v>58.811210632324219</v>
      </c>
      <c r="C407" s="3">
        <f t="shared" si="2"/>
        <v>0.37890409627873139</v>
      </c>
    </row>
    <row r="408" spans="1:3" ht="13.2" x14ac:dyDescent="0.25">
      <c r="A408" s="6">
        <v>406</v>
      </c>
      <c r="B408" s="7">
        <v>58.678985595703125</v>
      </c>
      <c r="C408" s="3">
        <f t="shared" si="2"/>
        <v>0.38815832085754448</v>
      </c>
    </row>
    <row r="409" spans="1:3" ht="13.2" x14ac:dyDescent="0.25">
      <c r="A409" s="6">
        <v>407</v>
      </c>
      <c r="B409" s="7">
        <v>59.443996429443359</v>
      </c>
      <c r="C409" s="3">
        <f t="shared" si="2"/>
        <v>0.40041725445283072</v>
      </c>
    </row>
    <row r="410" spans="1:3" ht="13.2" x14ac:dyDescent="0.25">
      <c r="A410" s="6">
        <v>408</v>
      </c>
      <c r="B410" s="7">
        <v>59.472328186035156</v>
      </c>
      <c r="C410" s="3">
        <f t="shared" si="2"/>
        <v>0.40995426447078748</v>
      </c>
    </row>
    <row r="411" spans="1:3" ht="13.2" x14ac:dyDescent="0.25">
      <c r="A411" s="6">
        <v>409</v>
      </c>
      <c r="B411" s="7">
        <v>59.000099182128906</v>
      </c>
      <c r="C411" s="3">
        <f t="shared" si="2"/>
        <v>0.3973254791105269</v>
      </c>
    </row>
    <row r="412" spans="1:3" ht="13.2" x14ac:dyDescent="0.25">
      <c r="A412" s="6">
        <v>410</v>
      </c>
      <c r="B412" s="7">
        <v>59.415664672851563</v>
      </c>
      <c r="C412" s="3">
        <f t="shared" si="2"/>
        <v>0.40736856381156344</v>
      </c>
    </row>
    <row r="413" spans="1:3" ht="13.2" x14ac:dyDescent="0.25">
      <c r="A413" s="6">
        <v>411</v>
      </c>
      <c r="B413" s="7">
        <v>57.602306365966797</v>
      </c>
      <c r="C413" s="3">
        <f t="shared" si="2"/>
        <v>0.36249058249776578</v>
      </c>
    </row>
    <row r="414" spans="1:3" ht="13.2" x14ac:dyDescent="0.25">
      <c r="A414" s="6">
        <v>412</v>
      </c>
      <c r="B414" s="7">
        <v>60.152336120605469</v>
      </c>
      <c r="C414" s="3">
        <f t="shared" si="2"/>
        <v>0.40949148018857295</v>
      </c>
    </row>
    <row r="415" spans="1:3" ht="13.2" x14ac:dyDescent="0.25">
      <c r="A415" s="6">
        <v>413</v>
      </c>
      <c r="B415" s="7">
        <v>60.898460388183594</v>
      </c>
      <c r="C415" s="3">
        <f t="shared" si="2"/>
        <v>0.4146951509248456</v>
      </c>
    </row>
    <row r="416" spans="1:3" ht="13.2" x14ac:dyDescent="0.25">
      <c r="A416" s="6">
        <v>414</v>
      </c>
      <c r="B416" s="7">
        <v>59.812335968017578</v>
      </c>
      <c r="C416" s="3">
        <f t="shared" si="2"/>
        <v>0.40937357582922856</v>
      </c>
    </row>
    <row r="417" spans="1:3" ht="13.2" x14ac:dyDescent="0.25">
      <c r="A417" s="6">
        <v>415</v>
      </c>
      <c r="B417" s="7">
        <v>61.399021148681641</v>
      </c>
      <c r="C417" s="3">
        <f t="shared" si="2"/>
        <v>0.43023596668458608</v>
      </c>
    </row>
    <row r="418" spans="1:3" ht="13.2" x14ac:dyDescent="0.25">
      <c r="A418" s="6">
        <v>416</v>
      </c>
      <c r="B418" s="7">
        <v>63.316265106201172</v>
      </c>
      <c r="C418" s="3">
        <f t="shared" si="2"/>
        <v>0.47679487126583958</v>
      </c>
    </row>
    <row r="419" spans="1:3" ht="13.2" x14ac:dyDescent="0.25">
      <c r="A419" s="6">
        <v>417</v>
      </c>
      <c r="B419" s="7">
        <v>62.277362823486328</v>
      </c>
      <c r="C419" s="3">
        <f t="shared" si="2"/>
        <v>0.46259674738518058</v>
      </c>
    </row>
    <row r="420" spans="1:3" ht="13.2" x14ac:dyDescent="0.25">
      <c r="A420" s="6">
        <v>418</v>
      </c>
      <c r="B420" s="7">
        <v>62.740139007568359</v>
      </c>
      <c r="C420" s="3">
        <f t="shared" si="2"/>
        <v>0.45461536279957138</v>
      </c>
    </row>
    <row r="421" spans="1:3" ht="13.2" x14ac:dyDescent="0.25">
      <c r="A421" s="6">
        <v>419</v>
      </c>
      <c r="B421" s="7">
        <v>62.844032287597656</v>
      </c>
      <c r="C421" s="3">
        <f t="shared" si="2"/>
        <v>0.47095035769313398</v>
      </c>
    </row>
    <row r="422" spans="1:3" ht="13.2" x14ac:dyDescent="0.25">
      <c r="A422" s="6">
        <v>420</v>
      </c>
      <c r="B422" s="7">
        <v>59.774555206298828</v>
      </c>
      <c r="C422" s="3">
        <f t="shared" si="2"/>
        <v>0.41199377539706961</v>
      </c>
    </row>
    <row r="423" spans="1:3" ht="13.2" x14ac:dyDescent="0.25">
      <c r="A423" s="6">
        <v>421</v>
      </c>
      <c r="B423" s="7">
        <v>60.03900146484375</v>
      </c>
      <c r="C423" s="3">
        <f t="shared" si="2"/>
        <v>0.42646310377373842</v>
      </c>
    </row>
    <row r="424" spans="1:3" ht="13.2" x14ac:dyDescent="0.25">
      <c r="A424" s="6">
        <v>422</v>
      </c>
      <c r="B424" s="7">
        <v>60.388450622558594</v>
      </c>
      <c r="C424" s="3">
        <f t="shared" si="2"/>
        <v>0.44147452007783905</v>
      </c>
    </row>
    <row r="425" spans="1:3" ht="13.2" x14ac:dyDescent="0.25">
      <c r="A425" s="6">
        <v>423</v>
      </c>
      <c r="B425" s="7">
        <v>59.717887878417969</v>
      </c>
      <c r="C425" s="3">
        <f t="shared" si="2"/>
        <v>0.42817593148331656</v>
      </c>
    </row>
    <row r="426" spans="1:3" ht="13.2" x14ac:dyDescent="0.25">
      <c r="A426" s="6">
        <v>424</v>
      </c>
      <c r="B426" s="7">
        <v>59.396770477294922</v>
      </c>
      <c r="C426" s="3">
        <f t="shared" si="2"/>
        <v>0.42919523129232479</v>
      </c>
    </row>
    <row r="427" spans="1:3" ht="13.2" x14ac:dyDescent="0.25">
      <c r="A427" s="6">
        <v>425</v>
      </c>
      <c r="B427" s="7">
        <v>59.510105133056641</v>
      </c>
      <c r="C427" s="3">
        <f t="shared" si="2"/>
        <v>0.46748669341751997</v>
      </c>
    </row>
    <row r="428" spans="1:3" ht="13.2" x14ac:dyDescent="0.25">
      <c r="A428" s="6">
        <v>426</v>
      </c>
      <c r="B428" s="7">
        <v>58.924545288085938</v>
      </c>
      <c r="C428" s="3">
        <f t="shared" si="2"/>
        <v>0.46628197777398783</v>
      </c>
    </row>
    <row r="429" spans="1:3" ht="13.2" x14ac:dyDescent="0.25">
      <c r="A429" s="6">
        <v>427</v>
      </c>
      <c r="B429" s="7">
        <v>57.17730712890625</v>
      </c>
      <c r="C429" s="3">
        <f t="shared" si="2"/>
        <v>0.47712816903950378</v>
      </c>
    </row>
    <row r="430" spans="1:3" ht="13.2" x14ac:dyDescent="0.25">
      <c r="A430" s="6">
        <v>428</v>
      </c>
      <c r="B430" s="7">
        <v>58.112312316894531</v>
      </c>
      <c r="C430" s="3">
        <f t="shared" si="2"/>
        <v>0.45414766698888359</v>
      </c>
    </row>
    <row r="431" spans="1:3" ht="13.2" x14ac:dyDescent="0.25">
      <c r="A431" s="6">
        <v>429</v>
      </c>
      <c r="B431" s="7">
        <v>61.002342224121094</v>
      </c>
      <c r="C431" s="3">
        <f t="shared" si="2"/>
        <v>0.50043829161895548</v>
      </c>
    </row>
    <row r="432" spans="1:3" ht="13.2" x14ac:dyDescent="0.25">
      <c r="A432" s="6">
        <v>430</v>
      </c>
      <c r="B432" s="7">
        <v>61.484012603759766</v>
      </c>
      <c r="C432" s="3">
        <f t="shared" si="2"/>
        <v>0.51229631377028095</v>
      </c>
    </row>
    <row r="433" spans="1:3" ht="13.2" x14ac:dyDescent="0.25">
      <c r="A433" s="6">
        <v>431</v>
      </c>
      <c r="B433" s="7">
        <v>59.698993682861328</v>
      </c>
      <c r="C433" s="3">
        <f t="shared" si="2"/>
        <v>0.49389804206670079</v>
      </c>
    </row>
    <row r="434" spans="1:3" ht="13.2" x14ac:dyDescent="0.25">
      <c r="A434" s="6">
        <v>432</v>
      </c>
      <c r="B434" s="7">
        <v>57.526752471923828</v>
      </c>
      <c r="C434" s="3">
        <f t="shared" si="2"/>
        <v>0.45835107086117804</v>
      </c>
    </row>
    <row r="435" spans="1:3" ht="13.2" x14ac:dyDescent="0.25">
      <c r="A435" s="6">
        <v>433</v>
      </c>
      <c r="B435" s="7">
        <v>58.565647125244141</v>
      </c>
      <c r="C435" s="3">
        <f t="shared" si="2"/>
        <v>0.47094563115355997</v>
      </c>
    </row>
    <row r="436" spans="1:3" ht="13.2" x14ac:dyDescent="0.25">
      <c r="A436" s="6">
        <v>434</v>
      </c>
      <c r="B436" s="7">
        <v>59.878444671630859</v>
      </c>
      <c r="C436" s="3">
        <f t="shared" si="2"/>
        <v>0.49412200340174678</v>
      </c>
    </row>
    <row r="437" spans="1:3" ht="13.2" x14ac:dyDescent="0.25">
      <c r="A437" s="6">
        <v>435</v>
      </c>
      <c r="B437" s="7">
        <v>60.482894897460938</v>
      </c>
      <c r="C437" s="3">
        <f t="shared" si="2"/>
        <v>0.51583257862054799</v>
      </c>
    </row>
    <row r="438" spans="1:3" ht="13.2" x14ac:dyDescent="0.25">
      <c r="A438" s="6">
        <v>436</v>
      </c>
      <c r="B438" s="7">
        <v>59.916221618652344</v>
      </c>
      <c r="C438" s="3">
        <f t="shared" si="2"/>
        <v>0.50744000142699353</v>
      </c>
    </row>
    <row r="439" spans="1:3" ht="13.2" x14ac:dyDescent="0.25">
      <c r="A439" s="6">
        <v>437</v>
      </c>
      <c r="B439" s="7">
        <v>61.040122985839844</v>
      </c>
      <c r="C439" s="3">
        <f t="shared" si="2"/>
        <v>0.52730169882634204</v>
      </c>
    </row>
    <row r="440" spans="1:3" ht="13.2" x14ac:dyDescent="0.25">
      <c r="A440" s="6">
        <v>438</v>
      </c>
      <c r="B440" s="7">
        <v>59.406219482421875</v>
      </c>
      <c r="C440" s="3">
        <f t="shared" si="2"/>
        <v>0.50324227174276193</v>
      </c>
    </row>
    <row r="441" spans="1:3" ht="13.2" x14ac:dyDescent="0.25">
      <c r="A441" s="6">
        <v>439</v>
      </c>
      <c r="B441" s="7">
        <v>59.566776275634766</v>
      </c>
      <c r="C441" s="3">
        <f t="shared" si="2"/>
        <v>0.50928106714963539</v>
      </c>
    </row>
    <row r="442" spans="1:3" ht="13.2" x14ac:dyDescent="0.25">
      <c r="A442" s="6">
        <v>440</v>
      </c>
      <c r="B442" s="7">
        <v>59.708438873291016</v>
      </c>
      <c r="C442" s="3">
        <f t="shared" si="2"/>
        <v>0.52538911776208053</v>
      </c>
    </row>
    <row r="443" spans="1:3" ht="13.2" x14ac:dyDescent="0.25">
      <c r="A443" s="6">
        <v>441</v>
      </c>
      <c r="B443" s="7">
        <v>60.209003448486328</v>
      </c>
      <c r="C443" s="3">
        <f t="shared" si="2"/>
        <v>0.53295529301772548</v>
      </c>
    </row>
    <row r="444" spans="1:3" ht="13.2" x14ac:dyDescent="0.25">
      <c r="A444" s="6">
        <v>442</v>
      </c>
      <c r="B444" s="7">
        <v>61.210124969482422</v>
      </c>
      <c r="C444" s="3">
        <f t="shared" si="2"/>
        <v>0.58284415297132153</v>
      </c>
    </row>
    <row r="445" spans="1:3" ht="13.2" x14ac:dyDescent="0.25">
      <c r="A445" s="6">
        <v>443</v>
      </c>
      <c r="B445" s="7">
        <v>61.096794128417969</v>
      </c>
      <c r="C445" s="3">
        <f t="shared" si="2"/>
        <v>0.55623281381685052</v>
      </c>
    </row>
    <row r="446" spans="1:3" ht="13.2" x14ac:dyDescent="0.25">
      <c r="A446" s="6">
        <v>444</v>
      </c>
      <c r="B446" s="7">
        <v>61.852348327636719</v>
      </c>
      <c r="C446" s="3">
        <f t="shared" si="2"/>
        <v>0.54693315977653134</v>
      </c>
    </row>
    <row r="447" spans="1:3" ht="13.2" x14ac:dyDescent="0.25">
      <c r="A447" s="6">
        <v>445</v>
      </c>
      <c r="B447" s="7">
        <v>59.179546356201172</v>
      </c>
      <c r="C447" s="3">
        <f t="shared" ref="C447:C510" si="3">LN(B447/B195)</f>
        <v>0.52172313054556396</v>
      </c>
    </row>
    <row r="448" spans="1:3" ht="13.2" x14ac:dyDescent="0.25">
      <c r="A448" s="6">
        <v>446</v>
      </c>
      <c r="B448" s="7">
        <v>58.896209716796875</v>
      </c>
      <c r="C448" s="3">
        <f t="shared" si="3"/>
        <v>0.48670073712366013</v>
      </c>
    </row>
    <row r="449" spans="1:3" ht="13.2" x14ac:dyDescent="0.25">
      <c r="A449" s="6">
        <v>447</v>
      </c>
      <c r="B449" s="7">
        <v>60.775672912597656</v>
      </c>
      <c r="C449" s="3">
        <f t="shared" si="3"/>
        <v>0.50798692533523115</v>
      </c>
    </row>
    <row r="450" spans="1:3" ht="13.2" x14ac:dyDescent="0.25">
      <c r="A450" s="6">
        <v>448</v>
      </c>
      <c r="B450" s="7">
        <v>59.566776275634766</v>
      </c>
      <c r="C450" s="3">
        <f t="shared" si="3"/>
        <v>0.46572479862674437</v>
      </c>
    </row>
    <row r="451" spans="1:3" ht="13.2" x14ac:dyDescent="0.25">
      <c r="A451" s="6">
        <v>449</v>
      </c>
      <c r="B451" s="7">
        <v>58.867874145507813</v>
      </c>
      <c r="C451" s="3">
        <f t="shared" si="3"/>
        <v>0.44900711478662847</v>
      </c>
    </row>
    <row r="452" spans="1:3" ht="13.2" x14ac:dyDescent="0.25">
      <c r="A452" s="6">
        <v>450</v>
      </c>
      <c r="B452" s="7">
        <v>58.461765289306641</v>
      </c>
      <c r="C452" s="3">
        <f t="shared" si="3"/>
        <v>0.44626106775950708</v>
      </c>
    </row>
    <row r="453" spans="1:3" ht="13.2" x14ac:dyDescent="0.25">
      <c r="A453" s="6">
        <v>451</v>
      </c>
      <c r="B453" s="7">
        <v>55.921176910400391</v>
      </c>
      <c r="C453" s="3">
        <f t="shared" si="3"/>
        <v>0.3808803502153123</v>
      </c>
    </row>
    <row r="454" spans="1:3" ht="13.2" x14ac:dyDescent="0.25">
      <c r="A454" s="6">
        <v>452</v>
      </c>
      <c r="B454" s="7">
        <v>54.249488830566406</v>
      </c>
      <c r="C454" s="3">
        <f t="shared" si="3"/>
        <v>0.34260652603667857</v>
      </c>
    </row>
    <row r="455" spans="1:3" ht="13.2" x14ac:dyDescent="0.25">
      <c r="A455" s="6">
        <v>453</v>
      </c>
      <c r="B455" s="7">
        <v>50.245006561279297</v>
      </c>
      <c r="C455" s="3">
        <f t="shared" si="3"/>
        <v>0.2526192272558036</v>
      </c>
    </row>
    <row r="456" spans="1:3" ht="13.2" x14ac:dyDescent="0.25">
      <c r="A456" s="6">
        <v>454</v>
      </c>
      <c r="B456" s="7">
        <v>51.198902130126953</v>
      </c>
      <c r="C456" s="3">
        <f t="shared" si="3"/>
        <v>0.26249747767615839</v>
      </c>
    </row>
    <row r="457" spans="1:3" ht="13.2" x14ac:dyDescent="0.25">
      <c r="A457" s="6">
        <v>455</v>
      </c>
      <c r="B457" s="7">
        <v>53.323928833007813</v>
      </c>
      <c r="C457" s="3">
        <f t="shared" si="3"/>
        <v>0.29246183142152249</v>
      </c>
    </row>
    <row r="458" spans="1:3" ht="13.2" x14ac:dyDescent="0.25">
      <c r="A458" s="6">
        <v>456</v>
      </c>
      <c r="B458" s="7">
        <v>53.928379058837891</v>
      </c>
      <c r="C458" s="3">
        <f t="shared" si="3"/>
        <v>0.30790794836117297</v>
      </c>
    </row>
    <row r="459" spans="1:3" ht="13.2" x14ac:dyDescent="0.25">
      <c r="A459" s="6">
        <v>457</v>
      </c>
      <c r="B459" s="7">
        <v>53.503379821777344</v>
      </c>
      <c r="C459" s="3">
        <f t="shared" si="3"/>
        <v>0.27975134828747522</v>
      </c>
    </row>
    <row r="460" spans="1:3" ht="13.2" x14ac:dyDescent="0.25">
      <c r="A460" s="6">
        <v>458</v>
      </c>
      <c r="B460" s="7">
        <v>52.133914947509766</v>
      </c>
      <c r="C460" s="3">
        <f t="shared" si="3"/>
        <v>0.26044860724841878</v>
      </c>
    </row>
    <row r="461" spans="1:3" ht="13.2" x14ac:dyDescent="0.25">
      <c r="A461" s="6">
        <v>459</v>
      </c>
      <c r="B461" s="7">
        <v>53.144485473632813</v>
      </c>
      <c r="C461" s="3">
        <f t="shared" si="3"/>
        <v>0.28056442209428456</v>
      </c>
    </row>
    <row r="462" spans="1:3" ht="13.2" x14ac:dyDescent="0.25">
      <c r="A462" s="6">
        <v>460</v>
      </c>
      <c r="B462" s="7">
        <v>55.618949890136719</v>
      </c>
      <c r="C462" s="3">
        <f t="shared" si="3"/>
        <v>0.34133462572942741</v>
      </c>
    </row>
    <row r="463" spans="1:3" ht="13.2" x14ac:dyDescent="0.25">
      <c r="A463" s="6">
        <v>461</v>
      </c>
      <c r="B463" s="7">
        <v>55.458396911621094</v>
      </c>
      <c r="C463" s="3">
        <f t="shared" si="3"/>
        <v>0.35702169932578276</v>
      </c>
    </row>
    <row r="464" spans="1:3" ht="13.2" x14ac:dyDescent="0.25">
      <c r="A464" s="6">
        <v>462</v>
      </c>
      <c r="B464" s="7">
        <v>54.759498596191406</v>
      </c>
      <c r="C464" s="3">
        <f t="shared" si="3"/>
        <v>0.33488977641160278</v>
      </c>
    </row>
    <row r="465" spans="1:3" ht="13.2" x14ac:dyDescent="0.25">
      <c r="A465" s="6">
        <v>463</v>
      </c>
      <c r="B465" s="7">
        <v>55.996734619140625</v>
      </c>
      <c r="C465" s="3">
        <f t="shared" si="3"/>
        <v>0.34021361087636548</v>
      </c>
    </row>
    <row r="466" spans="1:3" ht="13.2" x14ac:dyDescent="0.25">
      <c r="A466" s="6">
        <v>464</v>
      </c>
      <c r="B466" s="7">
        <v>54.296714782714844</v>
      </c>
      <c r="C466" s="3">
        <f t="shared" si="3"/>
        <v>0.31262537292678255</v>
      </c>
    </row>
    <row r="467" spans="1:3" ht="13.2" x14ac:dyDescent="0.25">
      <c r="A467" s="6">
        <v>465</v>
      </c>
      <c r="B467" s="7">
        <v>54.523380279541016</v>
      </c>
      <c r="C467" s="3">
        <f t="shared" si="3"/>
        <v>0.32634512404913352</v>
      </c>
    </row>
    <row r="468" spans="1:3" ht="13.2" x14ac:dyDescent="0.25">
      <c r="A468" s="6">
        <v>466</v>
      </c>
      <c r="B468" s="7">
        <v>55.042835235595703</v>
      </c>
      <c r="C468" s="3">
        <f t="shared" si="3"/>
        <v>0.30108310862329207</v>
      </c>
    </row>
    <row r="469" spans="1:3" ht="13.2" x14ac:dyDescent="0.25">
      <c r="A469" s="6">
        <v>467</v>
      </c>
      <c r="B469" s="7">
        <v>55.930622100830078</v>
      </c>
      <c r="C469" s="3">
        <f t="shared" si="3"/>
        <v>0.34762189826717282</v>
      </c>
    </row>
    <row r="470" spans="1:3" ht="13.2" x14ac:dyDescent="0.25">
      <c r="A470" s="6">
        <v>468</v>
      </c>
      <c r="B470" s="7">
        <v>57.233970642089844</v>
      </c>
      <c r="C470" s="3">
        <f t="shared" si="3"/>
        <v>0.37042422823342924</v>
      </c>
    </row>
    <row r="471" spans="1:3" ht="13.2" x14ac:dyDescent="0.25">
      <c r="A471" s="6">
        <v>469</v>
      </c>
      <c r="B471" s="7">
        <v>56.780628204345703</v>
      </c>
      <c r="C471" s="3">
        <f t="shared" si="3"/>
        <v>0.35898156896818856</v>
      </c>
    </row>
    <row r="472" spans="1:3" ht="13.2" x14ac:dyDescent="0.25">
      <c r="A472" s="6">
        <v>470</v>
      </c>
      <c r="B472" s="7">
        <v>56.723968505859375</v>
      </c>
      <c r="C472" s="3">
        <f t="shared" si="3"/>
        <v>0.36896078007651806</v>
      </c>
    </row>
    <row r="473" spans="1:3" ht="13.2" x14ac:dyDescent="0.25">
      <c r="A473" s="6">
        <v>471</v>
      </c>
      <c r="B473" s="7">
        <v>59.481769561767578</v>
      </c>
      <c r="C473" s="3">
        <f t="shared" si="3"/>
        <v>0.41972717016468558</v>
      </c>
    </row>
    <row r="474" spans="1:3" ht="13.2" x14ac:dyDescent="0.25">
      <c r="A474" s="6">
        <v>472</v>
      </c>
      <c r="B474" s="7">
        <v>60.747344970703125</v>
      </c>
      <c r="C474" s="3">
        <f t="shared" si="3"/>
        <v>0.44787467837176353</v>
      </c>
    </row>
    <row r="475" spans="1:3" ht="13.2" x14ac:dyDescent="0.25">
      <c r="A475" s="6">
        <v>473</v>
      </c>
      <c r="B475" s="7">
        <v>59.028434753417969</v>
      </c>
      <c r="C475" s="3">
        <f t="shared" si="3"/>
        <v>0.42035775044727741</v>
      </c>
    </row>
    <row r="476" spans="1:3" ht="13.2" x14ac:dyDescent="0.25">
      <c r="A476" s="6">
        <v>474</v>
      </c>
      <c r="B476" s="7">
        <v>56.204517364501953</v>
      </c>
      <c r="C476" s="3">
        <f t="shared" si="3"/>
        <v>0.37538266506603546</v>
      </c>
    </row>
    <row r="477" spans="1:3" ht="13.2" x14ac:dyDescent="0.25">
      <c r="A477" s="6">
        <v>475</v>
      </c>
      <c r="B477" s="7">
        <v>56.195072174072266</v>
      </c>
      <c r="C477" s="3">
        <f t="shared" si="3"/>
        <v>0.38287753182523721</v>
      </c>
    </row>
    <row r="478" spans="1:3" ht="13.2" x14ac:dyDescent="0.25">
      <c r="A478" s="6">
        <v>476</v>
      </c>
      <c r="B478" s="7">
        <v>55.930622100830078</v>
      </c>
      <c r="C478" s="3">
        <f t="shared" si="3"/>
        <v>0.37169107211126101</v>
      </c>
    </row>
    <row r="479" spans="1:3" ht="13.2" x14ac:dyDescent="0.25">
      <c r="A479" s="6">
        <v>477</v>
      </c>
      <c r="B479" s="7">
        <v>55.165611267089844</v>
      </c>
      <c r="C479" s="3">
        <f t="shared" si="3"/>
        <v>0.35767997973773885</v>
      </c>
    </row>
    <row r="480" spans="1:3" ht="13.2" x14ac:dyDescent="0.25">
      <c r="A480" s="6">
        <v>478</v>
      </c>
      <c r="B480" s="7">
        <v>53.503379821777344</v>
      </c>
      <c r="C480" s="3">
        <f t="shared" si="3"/>
        <v>0.33187201892019885</v>
      </c>
    </row>
    <row r="481" spans="1:3" ht="13.2" x14ac:dyDescent="0.25">
      <c r="A481" s="6">
        <v>479</v>
      </c>
      <c r="B481" s="7">
        <v>54.570606231689453</v>
      </c>
      <c r="C481" s="3">
        <f t="shared" si="3"/>
        <v>0.36709669684597152</v>
      </c>
    </row>
    <row r="482" spans="1:3" ht="13.2" x14ac:dyDescent="0.25">
      <c r="A482" s="6">
        <v>480</v>
      </c>
      <c r="B482" s="7">
        <v>54.570606231689453</v>
      </c>
      <c r="C482" s="3">
        <f t="shared" si="3"/>
        <v>0.34874768110314086</v>
      </c>
    </row>
    <row r="483" spans="1:3" ht="13.2" x14ac:dyDescent="0.25">
      <c r="A483" s="6">
        <v>481</v>
      </c>
      <c r="B483" s="7">
        <v>56.298957824707031</v>
      </c>
      <c r="C483" s="3">
        <f t="shared" si="3"/>
        <v>0.36969379598629687</v>
      </c>
    </row>
    <row r="484" spans="1:3" ht="13.2" x14ac:dyDescent="0.25">
      <c r="A484" s="6">
        <v>482</v>
      </c>
      <c r="B484" s="7">
        <v>54.410049438476563</v>
      </c>
      <c r="C484" s="3">
        <f t="shared" si="3"/>
        <v>0.32637381630974743</v>
      </c>
    </row>
    <row r="485" spans="1:3" ht="13.2" x14ac:dyDescent="0.25">
      <c r="A485" s="6">
        <v>483</v>
      </c>
      <c r="B485" s="7">
        <v>52.738361358642578</v>
      </c>
      <c r="C485" s="3">
        <f t="shared" si="3"/>
        <v>0.30887007685673257</v>
      </c>
    </row>
    <row r="486" spans="1:3" ht="13.2" x14ac:dyDescent="0.25">
      <c r="A486" s="6">
        <v>484</v>
      </c>
      <c r="B486" s="7">
        <v>52.880035400390625</v>
      </c>
      <c r="C486" s="3">
        <f t="shared" si="3"/>
        <v>0.32039303955800025</v>
      </c>
    </row>
    <row r="487" spans="1:3" ht="13.2" x14ac:dyDescent="0.25">
      <c r="A487" s="6">
        <v>485</v>
      </c>
      <c r="B487" s="7">
        <v>53.021701812744141</v>
      </c>
      <c r="C487" s="3">
        <f t="shared" si="3"/>
        <v>0.34074222445606878</v>
      </c>
    </row>
    <row r="488" spans="1:3" ht="13.2" x14ac:dyDescent="0.25">
      <c r="A488" s="6">
        <v>486</v>
      </c>
      <c r="B488" s="7">
        <v>53.068923950195313</v>
      </c>
      <c r="C488" s="3">
        <f t="shared" si="3"/>
        <v>0.33336198828614522</v>
      </c>
    </row>
    <row r="489" spans="1:3" ht="13.2" x14ac:dyDescent="0.25">
      <c r="A489" s="6">
        <v>487</v>
      </c>
      <c r="B489" s="7">
        <v>58.074535369873047</v>
      </c>
      <c r="C489" s="3">
        <f t="shared" si="3"/>
        <v>0.4102621328719096</v>
      </c>
    </row>
    <row r="490" spans="1:3" ht="13.2" x14ac:dyDescent="0.25">
      <c r="A490" s="6">
        <v>488</v>
      </c>
      <c r="B490" s="7">
        <v>59.13232421875</v>
      </c>
      <c r="C490" s="3">
        <f t="shared" si="3"/>
        <v>0.45963707955157745</v>
      </c>
    </row>
    <row r="491" spans="1:3" ht="13.2" x14ac:dyDescent="0.25">
      <c r="A491" s="6">
        <v>489</v>
      </c>
      <c r="B491" s="7">
        <v>59.406219482421875</v>
      </c>
      <c r="C491" s="3">
        <f t="shared" si="3"/>
        <v>0.45005287301478641</v>
      </c>
    </row>
    <row r="492" spans="1:3" ht="13.2" x14ac:dyDescent="0.25">
      <c r="A492" s="6">
        <v>490</v>
      </c>
      <c r="B492" s="7">
        <v>63.363479614257813</v>
      </c>
      <c r="C492" s="3">
        <f t="shared" si="3"/>
        <v>0.512355317484538</v>
      </c>
    </row>
    <row r="493" spans="1:3" ht="13.2" x14ac:dyDescent="0.25">
      <c r="A493" s="6">
        <v>491</v>
      </c>
      <c r="B493" s="7">
        <v>58.603427886962891</v>
      </c>
      <c r="C493" s="3">
        <f t="shared" si="3"/>
        <v>0.44107843781333272</v>
      </c>
    </row>
    <row r="494" spans="1:3" ht="13.2" x14ac:dyDescent="0.25">
      <c r="A494" s="6">
        <v>492</v>
      </c>
      <c r="B494" s="7">
        <v>55.996734619140625</v>
      </c>
      <c r="C494" s="3">
        <f t="shared" si="3"/>
        <v>0.39313840975795883</v>
      </c>
    </row>
    <row r="495" spans="1:3" ht="13.2" x14ac:dyDescent="0.25">
      <c r="A495" s="6">
        <v>493</v>
      </c>
      <c r="B495" s="7">
        <v>57.337860107421875</v>
      </c>
      <c r="C495" s="3">
        <f t="shared" si="3"/>
        <v>0.41510164744989841</v>
      </c>
    </row>
    <row r="496" spans="1:3" ht="13.2" x14ac:dyDescent="0.25">
      <c r="A496" s="6">
        <v>494</v>
      </c>
      <c r="B496" s="7">
        <v>57.857311248779297</v>
      </c>
      <c r="C496" s="3">
        <f t="shared" si="3"/>
        <v>0.4351294671564877</v>
      </c>
    </row>
    <row r="497" spans="1:3" ht="13.2" x14ac:dyDescent="0.25">
      <c r="A497" s="6">
        <v>495</v>
      </c>
      <c r="B497" s="7">
        <v>56.978969573974609</v>
      </c>
      <c r="C497" s="3">
        <f t="shared" si="3"/>
        <v>0.42328198412210982</v>
      </c>
    </row>
    <row r="498" spans="1:3" ht="13.2" x14ac:dyDescent="0.25">
      <c r="A498" s="6">
        <v>496</v>
      </c>
      <c r="B498" s="7">
        <v>56.92230224609375</v>
      </c>
      <c r="C498" s="3">
        <f t="shared" si="3"/>
        <v>0.42253377015578059</v>
      </c>
    </row>
    <row r="499" spans="1:3" ht="13.2" x14ac:dyDescent="0.25">
      <c r="A499" s="6">
        <v>497</v>
      </c>
      <c r="B499" s="7">
        <v>54.901165008544922</v>
      </c>
      <c r="C499" s="3">
        <f t="shared" si="3"/>
        <v>0.37931765005059043</v>
      </c>
    </row>
    <row r="500" spans="1:3" ht="13.2" x14ac:dyDescent="0.25">
      <c r="A500" s="6">
        <v>498</v>
      </c>
      <c r="B500" s="7">
        <v>56.072292327880859</v>
      </c>
      <c r="C500" s="3">
        <f t="shared" si="3"/>
        <v>0.41997111850172159</v>
      </c>
    </row>
    <row r="501" spans="1:3" ht="13.2" x14ac:dyDescent="0.25">
      <c r="A501" s="6">
        <v>499</v>
      </c>
      <c r="B501" s="7">
        <v>54.693382263183594</v>
      </c>
      <c r="C501" s="3">
        <f t="shared" si="3"/>
        <v>0.38258937267373849</v>
      </c>
    </row>
    <row r="502" spans="1:3" ht="13.2" x14ac:dyDescent="0.25">
      <c r="A502" s="6">
        <v>500</v>
      </c>
      <c r="B502" s="7">
        <v>55.184501647949219</v>
      </c>
      <c r="C502" s="3">
        <f t="shared" si="3"/>
        <v>0.3814530742857079</v>
      </c>
    </row>
    <row r="503" spans="1:3" ht="13.2" x14ac:dyDescent="0.25">
      <c r="A503" s="6">
        <v>501</v>
      </c>
      <c r="B503" s="7">
        <v>56.321048736572266</v>
      </c>
      <c r="C503" s="3">
        <f t="shared" si="3"/>
        <v>0.39858639281261093</v>
      </c>
    </row>
    <row r="504" spans="1:3" ht="13.2" x14ac:dyDescent="0.25">
      <c r="A504" s="6">
        <v>502</v>
      </c>
      <c r="B504" s="7">
        <v>54.601905822753906</v>
      </c>
      <c r="C504" s="3">
        <f t="shared" si="3"/>
        <v>0.34877909101891613</v>
      </c>
    </row>
    <row r="505" spans="1:3" ht="13.2" x14ac:dyDescent="0.25">
      <c r="A505" s="6">
        <v>503</v>
      </c>
      <c r="B505" s="7">
        <v>53.923801422119141</v>
      </c>
      <c r="C505" s="3">
        <f t="shared" si="3"/>
        <v>0.35533988616603207</v>
      </c>
    </row>
    <row r="506" spans="1:3" ht="13.2" x14ac:dyDescent="0.25">
      <c r="A506" s="6">
        <v>504</v>
      </c>
      <c r="B506" s="7">
        <v>55.174949645996094</v>
      </c>
      <c r="C506" s="3">
        <f t="shared" si="3"/>
        <v>0.36635430947616304</v>
      </c>
    </row>
    <row r="507" spans="1:3" ht="13.2" x14ac:dyDescent="0.25">
      <c r="A507" s="6">
        <v>505</v>
      </c>
      <c r="B507" s="7">
        <v>55.891262054443359</v>
      </c>
      <c r="C507" s="3">
        <f t="shared" si="3"/>
        <v>0.36090422524970439</v>
      </c>
    </row>
    <row r="508" spans="1:3" ht="13.2" x14ac:dyDescent="0.25">
      <c r="A508" s="6">
        <v>506</v>
      </c>
      <c r="B508" s="7">
        <v>55.490127563476563</v>
      </c>
      <c r="C508" s="3">
        <f t="shared" si="3"/>
        <v>0.32267256732059341</v>
      </c>
    </row>
    <row r="509" spans="1:3" ht="13.2" x14ac:dyDescent="0.25">
      <c r="A509" s="6">
        <v>507</v>
      </c>
      <c r="B509" s="7">
        <v>56.865447998046875</v>
      </c>
      <c r="C509" s="3">
        <f t="shared" si="3"/>
        <v>0.3310691667168249</v>
      </c>
    </row>
    <row r="510" spans="1:3" ht="13.2" x14ac:dyDescent="0.25">
      <c r="A510" s="6">
        <v>508</v>
      </c>
      <c r="B510" s="7">
        <v>58.412673950195313</v>
      </c>
      <c r="C510" s="3">
        <f t="shared" si="3"/>
        <v>0.35675848311351777</v>
      </c>
    </row>
    <row r="511" spans="1:3" ht="13.2" x14ac:dyDescent="0.25">
      <c r="A511" s="6">
        <v>509</v>
      </c>
      <c r="B511" s="7">
        <v>58.680091857910156</v>
      </c>
      <c r="C511" s="3">
        <f t="shared" ref="C511:C574" si="4">LN(B511/B259)</f>
        <v>0.34847311329641745</v>
      </c>
    </row>
    <row r="512" spans="1:3" ht="13.2" x14ac:dyDescent="0.25">
      <c r="A512" s="6">
        <v>510</v>
      </c>
      <c r="B512" s="7">
        <v>58.345821380615234</v>
      </c>
      <c r="C512" s="3">
        <f t="shared" si="4"/>
        <v>0.34939565413001139</v>
      </c>
    </row>
    <row r="513" spans="1:3" ht="13.2" x14ac:dyDescent="0.25">
      <c r="A513" s="6">
        <v>511</v>
      </c>
      <c r="B513" s="7">
        <v>61.812755584716797</v>
      </c>
      <c r="C513" s="3">
        <f t="shared" si="4"/>
        <v>0.40413778595094363</v>
      </c>
    </row>
    <row r="514" spans="1:3" ht="13.2" x14ac:dyDescent="0.25">
      <c r="A514" s="6">
        <v>512</v>
      </c>
      <c r="B514" s="7">
        <v>61.755455017089844</v>
      </c>
      <c r="C514" s="3">
        <f t="shared" si="4"/>
        <v>0.39160475566857783</v>
      </c>
    </row>
    <row r="515" spans="1:3" ht="13.2" x14ac:dyDescent="0.25">
      <c r="A515" s="6">
        <v>513</v>
      </c>
      <c r="B515" s="7">
        <v>59.673377990722656</v>
      </c>
      <c r="C515" s="3">
        <f t="shared" si="4"/>
        <v>0.36754166229665802</v>
      </c>
    </row>
    <row r="516" spans="1:3" ht="13.2" x14ac:dyDescent="0.25">
      <c r="A516" s="6">
        <v>514</v>
      </c>
      <c r="B516" s="7">
        <v>59.386852264404297</v>
      </c>
      <c r="C516" s="3">
        <f t="shared" si="4"/>
        <v>0.35113875702327341</v>
      </c>
    </row>
    <row r="517" spans="1:3" ht="13.2" x14ac:dyDescent="0.25">
      <c r="A517" s="6">
        <v>515</v>
      </c>
      <c r="B517" s="7">
        <v>60.590251922607422</v>
      </c>
      <c r="C517" s="3">
        <f t="shared" si="4"/>
        <v>0.34863660624302117</v>
      </c>
    </row>
    <row r="518" spans="1:3" ht="13.2" x14ac:dyDescent="0.25">
      <c r="A518" s="6">
        <v>516</v>
      </c>
      <c r="B518" s="7">
        <v>60.71441650390625</v>
      </c>
      <c r="C518" s="3">
        <f t="shared" si="4"/>
        <v>0.35112585927301737</v>
      </c>
    </row>
    <row r="519" spans="1:3" ht="13.2" x14ac:dyDescent="0.25">
      <c r="A519" s="6">
        <v>517</v>
      </c>
      <c r="B519" s="7">
        <v>60.380134582519531</v>
      </c>
      <c r="C519" s="3">
        <f t="shared" si="4"/>
        <v>0.35693951432369292</v>
      </c>
    </row>
    <row r="520" spans="1:3" ht="13.2" x14ac:dyDescent="0.25">
      <c r="A520" s="6">
        <v>518</v>
      </c>
      <c r="B520" s="7">
        <v>61.621738433837891</v>
      </c>
      <c r="C520" s="3">
        <f t="shared" si="4"/>
        <v>0.38267274526969303</v>
      </c>
    </row>
    <row r="521" spans="1:3" ht="13.2" x14ac:dyDescent="0.25">
      <c r="A521" s="6">
        <v>519</v>
      </c>
      <c r="B521" s="7">
        <v>58.641891479492188</v>
      </c>
      <c r="C521" s="3">
        <f t="shared" si="4"/>
        <v>0.33019024721552276</v>
      </c>
    </row>
    <row r="522" spans="1:3" ht="13.2" x14ac:dyDescent="0.25">
      <c r="A522" s="6">
        <v>520</v>
      </c>
      <c r="B522" s="7">
        <v>59.491912841796875</v>
      </c>
      <c r="C522" s="3">
        <f t="shared" si="4"/>
        <v>0.3405562670213001</v>
      </c>
    </row>
    <row r="523" spans="1:3" ht="13.2" x14ac:dyDescent="0.25">
      <c r="A523" s="6">
        <v>521</v>
      </c>
      <c r="B523" s="7">
        <v>57.992439270019531</v>
      </c>
      <c r="C523" s="3">
        <f t="shared" si="4"/>
        <v>0.31346766882282978</v>
      </c>
    </row>
    <row r="524" spans="1:3" ht="13.2" x14ac:dyDescent="0.25">
      <c r="A524" s="6">
        <v>522</v>
      </c>
      <c r="B524" s="7">
        <v>59.787986755371094</v>
      </c>
      <c r="C524" s="3">
        <f t="shared" si="4"/>
        <v>0.36330800083454218</v>
      </c>
    </row>
    <row r="525" spans="1:3" ht="13.2" x14ac:dyDescent="0.25">
      <c r="A525" s="6">
        <v>523</v>
      </c>
      <c r="B525" s="7">
        <v>59.816638946533203</v>
      </c>
      <c r="C525" s="3">
        <f t="shared" si="4"/>
        <v>0.36038531873954877</v>
      </c>
    </row>
    <row r="526" spans="1:3" ht="13.2" x14ac:dyDescent="0.25">
      <c r="A526" s="6">
        <v>524</v>
      </c>
      <c r="B526" s="7">
        <v>59.7020263671875</v>
      </c>
      <c r="C526" s="3">
        <f t="shared" si="4"/>
        <v>0.36665114371974045</v>
      </c>
    </row>
    <row r="527" spans="1:3" ht="13.2" x14ac:dyDescent="0.25">
      <c r="A527" s="6">
        <v>525</v>
      </c>
      <c r="B527" s="7">
        <v>61.23016357421875</v>
      </c>
      <c r="C527" s="3">
        <f t="shared" si="4"/>
        <v>0.3912406232401579</v>
      </c>
    </row>
    <row r="528" spans="1:3" ht="13.2" x14ac:dyDescent="0.25">
      <c r="A528" s="6">
        <v>526</v>
      </c>
      <c r="B528" s="7">
        <v>58.928417205810547</v>
      </c>
      <c r="C528" s="3">
        <f t="shared" si="4"/>
        <v>0.36255060971832054</v>
      </c>
    </row>
    <row r="529" spans="1:3" ht="13.2" x14ac:dyDescent="0.25">
      <c r="A529" s="6">
        <v>527</v>
      </c>
      <c r="B529" s="7">
        <v>60.638008117675781</v>
      </c>
      <c r="C529" s="3">
        <f t="shared" si="4"/>
        <v>0.37924409248713054</v>
      </c>
    </row>
    <row r="530" spans="1:3" ht="13.2" x14ac:dyDescent="0.25">
      <c r="A530" s="6">
        <v>528</v>
      </c>
      <c r="B530" s="7">
        <v>60.628459930419922</v>
      </c>
      <c r="C530" s="3">
        <f t="shared" si="4"/>
        <v>0.38159315647682862</v>
      </c>
    </row>
    <row r="531" spans="1:3" ht="13.2" x14ac:dyDescent="0.25">
      <c r="A531" s="6">
        <v>529</v>
      </c>
      <c r="B531" s="7">
        <v>60.943637847900391</v>
      </c>
      <c r="C531" s="3">
        <f t="shared" si="4"/>
        <v>0.39089343940922988</v>
      </c>
    </row>
    <row r="532" spans="1:3" ht="13.2" x14ac:dyDescent="0.25">
      <c r="A532" s="6">
        <v>530</v>
      </c>
      <c r="B532" s="7">
        <v>62.997055053710938</v>
      </c>
      <c r="C532" s="3">
        <f t="shared" si="4"/>
        <v>0.42380286781403609</v>
      </c>
    </row>
    <row r="533" spans="1:3" ht="13.2" x14ac:dyDescent="0.25">
      <c r="A533" s="6">
        <v>531</v>
      </c>
      <c r="B533" s="7">
        <v>63.035255432128906</v>
      </c>
      <c r="C533" s="3">
        <f t="shared" si="4"/>
        <v>0.41915501979672848</v>
      </c>
    </row>
    <row r="534" spans="1:3" ht="13.2" x14ac:dyDescent="0.25">
      <c r="A534" s="6">
        <v>532</v>
      </c>
      <c r="B534" s="7">
        <v>62.891990661621094</v>
      </c>
      <c r="C534" s="3">
        <f t="shared" si="4"/>
        <v>0.41961742287836379</v>
      </c>
    </row>
    <row r="535" spans="1:3" ht="13.2" x14ac:dyDescent="0.25">
      <c r="A535" s="6">
        <v>533</v>
      </c>
      <c r="B535" s="7">
        <v>62.433559417724609</v>
      </c>
      <c r="C535" s="3">
        <f t="shared" si="4"/>
        <v>0.42125174066259818</v>
      </c>
    </row>
    <row r="536" spans="1:3" ht="13.2" x14ac:dyDescent="0.25">
      <c r="A536" s="6">
        <v>534</v>
      </c>
      <c r="B536" s="7">
        <v>62.853786468505859</v>
      </c>
      <c r="C536" s="3">
        <f t="shared" si="4"/>
        <v>0.41809636073763035</v>
      </c>
    </row>
    <row r="537" spans="1:3" ht="13.2" x14ac:dyDescent="0.25">
      <c r="A537" s="6">
        <v>535</v>
      </c>
      <c r="B537" s="7">
        <v>66.444892883300781</v>
      </c>
      <c r="C537" s="3">
        <f t="shared" si="4"/>
        <v>0.47754612715376865</v>
      </c>
    </row>
    <row r="538" spans="1:3" ht="13.2" x14ac:dyDescent="0.25">
      <c r="A538" s="6">
        <v>536</v>
      </c>
      <c r="B538" s="7">
        <v>64.162254333496094</v>
      </c>
      <c r="C538" s="3">
        <f t="shared" si="4"/>
        <v>0.40768654243920815</v>
      </c>
    </row>
    <row r="539" spans="1:3" ht="13.2" x14ac:dyDescent="0.25">
      <c r="A539" s="6">
        <v>537</v>
      </c>
      <c r="B539" s="7">
        <v>66.769622802734375</v>
      </c>
      <c r="C539" s="3">
        <f t="shared" si="4"/>
        <v>0.46605732754978135</v>
      </c>
    </row>
    <row r="540" spans="1:3" ht="13.2" x14ac:dyDescent="0.25">
      <c r="A540" s="6">
        <v>538</v>
      </c>
      <c r="B540" s="7">
        <v>66.549957275390625</v>
      </c>
      <c r="C540" s="3">
        <f t="shared" si="4"/>
        <v>0.44555286700533908</v>
      </c>
    </row>
    <row r="541" spans="1:3" ht="13.2" x14ac:dyDescent="0.25">
      <c r="A541" s="6">
        <v>539</v>
      </c>
      <c r="B541" s="7">
        <v>67.428619384765625</v>
      </c>
      <c r="C541" s="3">
        <f t="shared" si="4"/>
        <v>0.47003467746203381</v>
      </c>
    </row>
    <row r="542" spans="1:3" ht="13.2" x14ac:dyDescent="0.25">
      <c r="A542" s="6">
        <v>540</v>
      </c>
      <c r="B542" s="7">
        <v>67.581443786621094</v>
      </c>
      <c r="C542" s="3">
        <f t="shared" si="4"/>
        <v>0.48085135073522439</v>
      </c>
    </row>
    <row r="543" spans="1:3" ht="13.2" x14ac:dyDescent="0.25">
      <c r="A543" s="6">
        <v>541</v>
      </c>
      <c r="B543" s="7">
        <v>65.222396850585938</v>
      </c>
      <c r="C543" s="3">
        <f t="shared" si="4"/>
        <v>0.45943446015072104</v>
      </c>
    </row>
    <row r="544" spans="1:3" ht="13.2" x14ac:dyDescent="0.25">
      <c r="A544" s="6">
        <v>542</v>
      </c>
      <c r="B544" s="7">
        <v>65.948257446289063</v>
      </c>
      <c r="C544" s="3">
        <f t="shared" si="4"/>
        <v>0.43624893754427557</v>
      </c>
    </row>
    <row r="545" spans="1:3" ht="13.2" x14ac:dyDescent="0.25">
      <c r="A545" s="6">
        <v>543</v>
      </c>
      <c r="B545" s="7">
        <v>66.960639953613281</v>
      </c>
      <c r="C545" s="3">
        <f t="shared" si="4"/>
        <v>0.45748295394127303</v>
      </c>
    </row>
    <row r="546" spans="1:3" ht="13.2" x14ac:dyDescent="0.25">
      <c r="A546" s="6">
        <v>544</v>
      </c>
      <c r="B546" s="7">
        <v>69.338783264160156</v>
      </c>
      <c r="C546" s="3">
        <f t="shared" si="4"/>
        <v>0.49305105036924629</v>
      </c>
    </row>
    <row r="547" spans="1:3" ht="13.2" x14ac:dyDescent="0.25">
      <c r="A547" s="6">
        <v>545</v>
      </c>
      <c r="B547" s="7">
        <v>68.288192749023438</v>
      </c>
      <c r="C547" s="3">
        <f t="shared" si="4"/>
        <v>0.50262107014959734</v>
      </c>
    </row>
    <row r="548" spans="1:3" ht="13.2" x14ac:dyDescent="0.25">
      <c r="A548" s="6">
        <v>546</v>
      </c>
      <c r="B548" s="7">
        <v>68.832595825195313</v>
      </c>
      <c r="C548" s="3">
        <f t="shared" si="4"/>
        <v>0.49513485148927416</v>
      </c>
    </row>
    <row r="549" spans="1:3" ht="13.2" x14ac:dyDescent="0.25">
      <c r="A549" s="6">
        <v>547</v>
      </c>
      <c r="B549" s="7">
        <v>69.157318115234375</v>
      </c>
      <c r="C549" s="3">
        <f t="shared" si="4"/>
        <v>0.49154622326667563</v>
      </c>
    </row>
    <row r="550" spans="1:3" ht="13.2" x14ac:dyDescent="0.25">
      <c r="A550" s="6">
        <v>548</v>
      </c>
      <c r="B550" s="7">
        <v>69.720817565917969</v>
      </c>
      <c r="C550" s="3">
        <f t="shared" si="4"/>
        <v>0.49966128818053773</v>
      </c>
    </row>
    <row r="551" spans="1:3" ht="13.2" x14ac:dyDescent="0.25">
      <c r="A551" s="6">
        <v>549</v>
      </c>
      <c r="B551" s="7">
        <v>71.096138000488281</v>
      </c>
      <c r="C551" s="3">
        <f t="shared" si="4"/>
        <v>0.5069905929334183</v>
      </c>
    </row>
    <row r="552" spans="1:3" ht="13.2" x14ac:dyDescent="0.25">
      <c r="A552" s="6">
        <v>550</v>
      </c>
      <c r="B552" s="7">
        <v>70.905120849609375</v>
      </c>
      <c r="C552" s="3">
        <f t="shared" si="4"/>
        <v>0.49704837986349409</v>
      </c>
    </row>
    <row r="553" spans="1:3" ht="13.2" x14ac:dyDescent="0.25">
      <c r="A553" s="6">
        <v>551</v>
      </c>
      <c r="B553" s="7">
        <v>70.742744445800781</v>
      </c>
      <c r="C553" s="3">
        <f t="shared" si="4"/>
        <v>0.50820232750214867</v>
      </c>
    </row>
    <row r="554" spans="1:3" ht="13.2" x14ac:dyDescent="0.25">
      <c r="A554" s="6">
        <v>552</v>
      </c>
      <c r="B554" s="7">
        <v>69.787673950195313</v>
      </c>
      <c r="C554" s="3">
        <f t="shared" si="4"/>
        <v>0.45800433800548279</v>
      </c>
    </row>
    <row r="555" spans="1:3" ht="13.2" x14ac:dyDescent="0.25">
      <c r="A555" s="6">
        <v>553</v>
      </c>
      <c r="B555" s="7">
        <v>71.707382202148438</v>
      </c>
      <c r="C555" s="3">
        <f t="shared" si="4"/>
        <v>0.5037117126052818</v>
      </c>
    </row>
    <row r="556" spans="1:3" ht="13.2" x14ac:dyDescent="0.25">
      <c r="A556" s="6">
        <v>554</v>
      </c>
      <c r="B556" s="7">
        <v>68.803932189941406</v>
      </c>
      <c r="C556" s="3">
        <f t="shared" si="4"/>
        <v>0.42326711696368674</v>
      </c>
    </row>
    <row r="557" spans="1:3" ht="13.2" x14ac:dyDescent="0.25">
      <c r="A557" s="6">
        <v>555</v>
      </c>
      <c r="B557" s="7">
        <v>67.953926086425781</v>
      </c>
      <c r="C557" s="3">
        <f t="shared" si="4"/>
        <v>0.39792472076236929</v>
      </c>
    </row>
    <row r="558" spans="1:3" ht="13.2" x14ac:dyDescent="0.25">
      <c r="A558" s="6">
        <v>556</v>
      </c>
      <c r="B558" s="7">
        <v>69.042709350585938</v>
      </c>
      <c r="C558" s="3">
        <f t="shared" si="4"/>
        <v>0.40516737572378975</v>
      </c>
    </row>
    <row r="559" spans="1:3" ht="13.2" x14ac:dyDescent="0.25">
      <c r="A559" s="6">
        <v>557</v>
      </c>
      <c r="B559" s="7">
        <v>68.364608764648438</v>
      </c>
      <c r="C559" s="3">
        <f t="shared" si="4"/>
        <v>0.40250265177479783</v>
      </c>
    </row>
    <row r="560" spans="1:3" ht="13.2" x14ac:dyDescent="0.25">
      <c r="A560" s="6">
        <v>558</v>
      </c>
      <c r="B560" s="7">
        <v>67.667396545410156</v>
      </c>
      <c r="C560" s="3">
        <f t="shared" si="4"/>
        <v>0.37993144606597573</v>
      </c>
    </row>
    <row r="561" spans="1:3" ht="13.2" x14ac:dyDescent="0.25">
      <c r="A561" s="6">
        <v>559</v>
      </c>
      <c r="B561" s="7">
        <v>67.008392333984375</v>
      </c>
      <c r="C561" s="3">
        <f t="shared" si="4"/>
        <v>0.36120537440706185</v>
      </c>
    </row>
    <row r="562" spans="1:3" ht="13.2" x14ac:dyDescent="0.25">
      <c r="A562" s="6">
        <v>560</v>
      </c>
      <c r="B562" s="7">
        <v>69.844970703125</v>
      </c>
      <c r="C562" s="3">
        <f t="shared" si="4"/>
        <v>0.40834509018969883</v>
      </c>
    </row>
    <row r="563" spans="1:3" ht="13.2" x14ac:dyDescent="0.25">
      <c r="A563" s="6">
        <v>561</v>
      </c>
      <c r="B563" s="7">
        <v>72.146720886230469</v>
      </c>
      <c r="C563" s="3">
        <f t="shared" si="4"/>
        <v>0.4300455121643218</v>
      </c>
    </row>
    <row r="564" spans="1:3" ht="13.2" x14ac:dyDescent="0.25">
      <c r="A564" s="6">
        <v>562</v>
      </c>
      <c r="B564" s="7">
        <v>72.882133483886719</v>
      </c>
      <c r="C564" s="3">
        <f t="shared" si="4"/>
        <v>0.45519141173159583</v>
      </c>
    </row>
    <row r="565" spans="1:3" ht="13.2" x14ac:dyDescent="0.25">
      <c r="A565" s="6">
        <v>563</v>
      </c>
      <c r="B565" s="7">
        <v>72.891677856445313</v>
      </c>
      <c r="C565" s="3">
        <f t="shared" si="4"/>
        <v>0.45654885244085408</v>
      </c>
    </row>
    <row r="566" spans="1:3" ht="13.2" x14ac:dyDescent="0.25">
      <c r="A566" s="6">
        <v>564</v>
      </c>
      <c r="B566" s="7">
        <v>73.245063781738281</v>
      </c>
      <c r="C566" s="3">
        <f t="shared" si="4"/>
        <v>0.44636275030545625</v>
      </c>
    </row>
    <row r="567" spans="1:3" ht="13.2" x14ac:dyDescent="0.25">
      <c r="A567" s="6">
        <v>565</v>
      </c>
      <c r="B567" s="7">
        <v>71.860191345214844</v>
      </c>
      <c r="C567" s="3">
        <f t="shared" si="4"/>
        <v>0.39164806672179325</v>
      </c>
    </row>
    <row r="568" spans="1:3" ht="13.2" x14ac:dyDescent="0.25">
      <c r="A568" s="6">
        <v>566</v>
      </c>
      <c r="B568" s="7">
        <v>71.411300659179688</v>
      </c>
      <c r="C568" s="3">
        <f t="shared" si="4"/>
        <v>0.39397382819154703</v>
      </c>
    </row>
    <row r="569" spans="1:3" ht="13.2" x14ac:dyDescent="0.25">
      <c r="A569" s="6">
        <v>567</v>
      </c>
      <c r="B569" s="7">
        <v>70.61859130859375</v>
      </c>
      <c r="C569" s="3">
        <f t="shared" si="4"/>
        <v>0.40622497526160334</v>
      </c>
    </row>
    <row r="570" spans="1:3" ht="13.2" x14ac:dyDescent="0.25">
      <c r="A570" s="6">
        <v>568</v>
      </c>
      <c r="B570" s="7">
        <v>70.255661010742188</v>
      </c>
      <c r="C570" s="3">
        <f t="shared" si="4"/>
        <v>0.40087174589609542</v>
      </c>
    </row>
    <row r="571" spans="1:3" ht="13.2" x14ac:dyDescent="0.25">
      <c r="A571" s="6">
        <v>569</v>
      </c>
      <c r="B571" s="7">
        <v>70.255661010742188</v>
      </c>
      <c r="C571" s="3">
        <f t="shared" si="4"/>
        <v>0.39866616243644937</v>
      </c>
    </row>
    <row r="572" spans="1:3" ht="13.2" x14ac:dyDescent="0.25">
      <c r="A572" s="6">
        <v>570</v>
      </c>
      <c r="B572" s="7">
        <v>71.172538757324219</v>
      </c>
      <c r="C572" s="3">
        <f t="shared" si="4"/>
        <v>0.42433023565945993</v>
      </c>
    </row>
    <row r="573" spans="1:3" ht="13.2" x14ac:dyDescent="0.25">
      <c r="A573" s="6">
        <v>571</v>
      </c>
      <c r="B573" s="7">
        <v>70.341621398925781</v>
      </c>
      <c r="C573" s="3">
        <f t="shared" si="4"/>
        <v>0.41807863034324144</v>
      </c>
    </row>
    <row r="574" spans="1:3" ht="13.2" x14ac:dyDescent="0.25">
      <c r="A574" s="6">
        <v>572</v>
      </c>
      <c r="B574" s="7">
        <v>70.198356628417969</v>
      </c>
      <c r="C574" s="3">
        <f t="shared" si="4"/>
        <v>0.40286977781183175</v>
      </c>
    </row>
    <row r="575" spans="1:3" ht="13.2" x14ac:dyDescent="0.25">
      <c r="A575" s="6">
        <v>573</v>
      </c>
      <c r="B575" s="7">
        <v>70.303413391113281</v>
      </c>
      <c r="C575" s="3">
        <f t="shared" ref="C575:C638" si="5">LN(B575/B323)</f>
        <v>0.40396270638654813</v>
      </c>
    </row>
    <row r="576" spans="1:3" ht="13.2" x14ac:dyDescent="0.25">
      <c r="A576" s="6">
        <v>574</v>
      </c>
      <c r="B576" s="7">
        <v>70.10284423828125</v>
      </c>
      <c r="C576" s="3">
        <f t="shared" si="5"/>
        <v>0.39869422437614466</v>
      </c>
    </row>
    <row r="577" spans="1:3" ht="13.2" x14ac:dyDescent="0.25">
      <c r="A577" s="6">
        <v>575</v>
      </c>
      <c r="B577" s="7">
        <v>67.934822082519531</v>
      </c>
      <c r="C577" s="3">
        <f t="shared" si="5"/>
        <v>0.34740607060849499</v>
      </c>
    </row>
    <row r="578" spans="1:3" ht="13.2" x14ac:dyDescent="0.25">
      <c r="A578" s="6">
        <v>576</v>
      </c>
      <c r="B578" s="7">
        <v>66.349388122558594</v>
      </c>
      <c r="C578" s="3">
        <f t="shared" si="5"/>
        <v>0.32714259841621074</v>
      </c>
    </row>
    <row r="579" spans="1:3" ht="13.2" x14ac:dyDescent="0.25">
      <c r="A579" s="6">
        <v>577</v>
      </c>
      <c r="B579" s="7">
        <v>63.245372772216797</v>
      </c>
      <c r="C579" s="3">
        <f t="shared" si="5"/>
        <v>0.2847735542510586</v>
      </c>
    </row>
    <row r="580" spans="1:3" ht="13.2" x14ac:dyDescent="0.25">
      <c r="A580" s="6">
        <v>578</v>
      </c>
      <c r="B580" s="7">
        <v>67.113449096679688</v>
      </c>
      <c r="C580" s="3">
        <f t="shared" si="5"/>
        <v>0.36337881968993485</v>
      </c>
    </row>
    <row r="581" spans="1:3" ht="13.2" x14ac:dyDescent="0.25">
      <c r="A581" s="6">
        <v>579</v>
      </c>
      <c r="B581" s="7">
        <v>68.737083435058594</v>
      </c>
      <c r="C581" s="3">
        <f t="shared" si="5"/>
        <v>0.37601326010141156</v>
      </c>
    </row>
    <row r="582" spans="1:3" ht="13.2" x14ac:dyDescent="0.25">
      <c r="A582" s="6">
        <v>580</v>
      </c>
      <c r="B582" s="7">
        <v>67.314018249511719</v>
      </c>
      <c r="C582" s="3">
        <f t="shared" si="5"/>
        <v>0.365553673717608</v>
      </c>
    </row>
    <row r="583" spans="1:3" ht="13.2" x14ac:dyDescent="0.25">
      <c r="A583" s="6">
        <v>581</v>
      </c>
      <c r="B583" s="7">
        <v>67.696044921875</v>
      </c>
      <c r="C583" s="3">
        <f t="shared" si="5"/>
        <v>0.36476271876833122</v>
      </c>
    </row>
    <row r="584" spans="1:3" ht="13.2" x14ac:dyDescent="0.25">
      <c r="A584" s="6">
        <v>582</v>
      </c>
      <c r="B584" s="7">
        <v>68.70843505859375</v>
      </c>
      <c r="C584" s="3">
        <f t="shared" si="5"/>
        <v>0.37339750217354262</v>
      </c>
    </row>
    <row r="585" spans="1:3" ht="13.2" x14ac:dyDescent="0.25">
      <c r="A585" s="6">
        <v>583</v>
      </c>
      <c r="B585" s="7">
        <v>68.880355834960938</v>
      </c>
      <c r="C585" s="3">
        <f t="shared" si="5"/>
        <v>0.37131450916159481</v>
      </c>
    </row>
    <row r="586" spans="1:3" ht="13.2" x14ac:dyDescent="0.25">
      <c r="A586" s="6">
        <v>584</v>
      </c>
      <c r="B586" s="7">
        <v>69.749458312988281</v>
      </c>
      <c r="C586" s="3">
        <f t="shared" si="5"/>
        <v>0.36358672278760062</v>
      </c>
    </row>
    <row r="587" spans="1:3" ht="13.2" x14ac:dyDescent="0.25">
      <c r="A587" s="6">
        <v>585</v>
      </c>
      <c r="B587" s="7">
        <v>70.389373779296875</v>
      </c>
      <c r="C587" s="3">
        <f t="shared" si="5"/>
        <v>0.29841675668692591</v>
      </c>
    </row>
    <row r="588" spans="1:3" ht="13.2" x14ac:dyDescent="0.25">
      <c r="A588" s="6">
        <v>586</v>
      </c>
      <c r="B588" s="7">
        <v>69.749458312988281</v>
      </c>
      <c r="C588" s="3">
        <f t="shared" si="5"/>
        <v>0.2767051900751068</v>
      </c>
    </row>
    <row r="589" spans="1:3" ht="13.2" x14ac:dyDescent="0.25">
      <c r="A589" s="6">
        <v>587</v>
      </c>
      <c r="B589" s="7">
        <v>69.38653564453125</v>
      </c>
      <c r="C589" s="3">
        <f t="shared" si="5"/>
        <v>0.26738965176635909</v>
      </c>
    </row>
    <row r="590" spans="1:3" ht="13.2" x14ac:dyDescent="0.25">
      <c r="A590" s="6">
        <v>588</v>
      </c>
      <c r="B590" s="7">
        <v>70.150596618652344</v>
      </c>
      <c r="C590" s="3">
        <f t="shared" si="5"/>
        <v>0.24890159169367437</v>
      </c>
    </row>
    <row r="591" spans="1:3" ht="13.2" x14ac:dyDescent="0.25">
      <c r="A591" s="6">
        <v>589</v>
      </c>
      <c r="B591" s="7">
        <v>69.6444091796875</v>
      </c>
      <c r="C591" s="3">
        <f t="shared" si="5"/>
        <v>0.2421778519760589</v>
      </c>
    </row>
    <row r="592" spans="1:3" ht="13.2" x14ac:dyDescent="0.25">
      <c r="A592" s="6">
        <v>590</v>
      </c>
      <c r="B592" s="7">
        <v>69.692161560058594</v>
      </c>
      <c r="C592" s="3">
        <f t="shared" si="5"/>
        <v>0.23597614718588511</v>
      </c>
    </row>
    <row r="593" spans="1:3" ht="13.2" x14ac:dyDescent="0.25">
      <c r="A593" s="6">
        <v>591</v>
      </c>
      <c r="B593" s="7">
        <v>70.284309387207031</v>
      </c>
      <c r="C593" s="3">
        <f t="shared" si="5"/>
        <v>0.24392221545614484</v>
      </c>
    </row>
    <row r="594" spans="1:3" ht="13.2" x14ac:dyDescent="0.25">
      <c r="A594" s="6">
        <v>592</v>
      </c>
      <c r="B594" s="7">
        <v>71.802902221679688</v>
      </c>
      <c r="C594" s="3">
        <f t="shared" si="5"/>
        <v>0.294709885021326</v>
      </c>
    </row>
    <row r="595" spans="1:3" ht="13.2" x14ac:dyDescent="0.25">
      <c r="A595" s="6">
        <v>593</v>
      </c>
      <c r="B595" s="7">
        <v>69.138221740722656</v>
      </c>
      <c r="C595" s="3">
        <f t="shared" si="5"/>
        <v>0.26238285859528387</v>
      </c>
    </row>
    <row r="596" spans="1:3" ht="13.2" x14ac:dyDescent="0.25">
      <c r="A596" s="6">
        <v>594</v>
      </c>
      <c r="B596" s="7">
        <v>68.288192749023438</v>
      </c>
      <c r="C596" s="3">
        <f t="shared" si="5"/>
        <v>0.26774970099008155</v>
      </c>
    </row>
    <row r="597" spans="1:3" ht="13.2" x14ac:dyDescent="0.25">
      <c r="A597" s="6">
        <v>595</v>
      </c>
      <c r="B597" s="7">
        <v>70.207908630371094</v>
      </c>
      <c r="C597" s="3">
        <f t="shared" si="5"/>
        <v>0.25110060687867392</v>
      </c>
    </row>
    <row r="598" spans="1:3" ht="13.2" x14ac:dyDescent="0.25">
      <c r="A598" s="6">
        <v>596</v>
      </c>
      <c r="B598" s="7">
        <v>70.198356628417969</v>
      </c>
      <c r="C598" s="3">
        <f t="shared" si="5"/>
        <v>0.24733975184126328</v>
      </c>
    </row>
    <row r="599" spans="1:3" ht="13.2" x14ac:dyDescent="0.25">
      <c r="A599" s="6">
        <v>597</v>
      </c>
      <c r="B599" s="7">
        <v>69.472496032714844</v>
      </c>
      <c r="C599" s="3">
        <f t="shared" si="5"/>
        <v>0.24977754883599715</v>
      </c>
    </row>
    <row r="600" spans="1:3" ht="13.2" x14ac:dyDescent="0.25">
      <c r="A600" s="6">
        <v>598</v>
      </c>
      <c r="B600" s="7">
        <v>67.590995788574219</v>
      </c>
      <c r="C600" s="3">
        <f t="shared" si="5"/>
        <v>0.22249586754589767</v>
      </c>
    </row>
    <row r="601" spans="1:3" ht="13.2" x14ac:dyDescent="0.25">
      <c r="A601" s="6">
        <v>599</v>
      </c>
      <c r="B601" s="7">
        <v>68.507865905761719</v>
      </c>
      <c r="C601" s="3">
        <f t="shared" si="5"/>
        <v>0.22399772542638494</v>
      </c>
    </row>
    <row r="602" spans="1:3" ht="13.2" x14ac:dyDescent="0.25">
      <c r="A602" s="6">
        <v>600</v>
      </c>
      <c r="B602" s="7">
        <v>68.460105895996094</v>
      </c>
      <c r="C602" s="3">
        <f t="shared" si="5"/>
        <v>0.20011485501982723</v>
      </c>
    </row>
    <row r="603" spans="1:3" ht="13.2" x14ac:dyDescent="0.25">
      <c r="A603" s="6">
        <v>601</v>
      </c>
      <c r="B603" s="7">
        <v>69.014060974121094</v>
      </c>
      <c r="C603" s="3">
        <f t="shared" si="5"/>
        <v>0.22585542619193374</v>
      </c>
    </row>
    <row r="604" spans="1:3" ht="13.2" x14ac:dyDescent="0.25">
      <c r="A604" s="6">
        <v>602</v>
      </c>
      <c r="B604" s="7">
        <v>67.848869323730469</v>
      </c>
      <c r="C604" s="3">
        <f t="shared" si="5"/>
        <v>0.20113885272758805</v>
      </c>
    </row>
    <row r="605" spans="1:3" ht="13.2" x14ac:dyDescent="0.25">
      <c r="A605" s="6">
        <v>603</v>
      </c>
      <c r="B605" s="7">
        <v>69.615760803222656</v>
      </c>
      <c r="C605" s="3">
        <f t="shared" si="5"/>
        <v>0.24678936669567486</v>
      </c>
    </row>
    <row r="606" spans="1:3" ht="13.2" x14ac:dyDescent="0.25">
      <c r="A606" s="6">
        <v>604</v>
      </c>
      <c r="B606" s="7">
        <v>67.247169494628906</v>
      </c>
      <c r="C606" s="3">
        <f t="shared" si="5"/>
        <v>0.2484187251438757</v>
      </c>
    </row>
    <row r="607" spans="1:3" ht="13.2" x14ac:dyDescent="0.25">
      <c r="A607" s="6">
        <v>605</v>
      </c>
      <c r="B607" s="7">
        <v>68.765731811523438</v>
      </c>
      <c r="C607" s="3">
        <f t="shared" si="5"/>
        <v>0.24708482981694146</v>
      </c>
    </row>
    <row r="608" spans="1:3" ht="13.2" x14ac:dyDescent="0.25">
      <c r="A608" s="6">
        <v>606</v>
      </c>
      <c r="B608" s="7">
        <v>67.99212646484375</v>
      </c>
      <c r="C608" s="3">
        <f t="shared" si="5"/>
        <v>0.23050987765999501</v>
      </c>
    </row>
    <row r="609" spans="1:3" ht="13.2" x14ac:dyDescent="0.25">
      <c r="A609" s="6">
        <v>607</v>
      </c>
      <c r="B609" s="7">
        <v>67.495475769042969</v>
      </c>
      <c r="C609" s="3">
        <f t="shared" si="5"/>
        <v>0.21083599517309815</v>
      </c>
    </row>
    <row r="610" spans="1:3" ht="13.2" x14ac:dyDescent="0.25">
      <c r="A610" s="6">
        <v>608</v>
      </c>
      <c r="B610" s="7">
        <v>66.912879943847656</v>
      </c>
      <c r="C610" s="3">
        <f t="shared" si="5"/>
        <v>0.17237996938006384</v>
      </c>
    </row>
    <row r="611" spans="1:3" ht="13.2" x14ac:dyDescent="0.25">
      <c r="A611" s="6">
        <v>609</v>
      </c>
      <c r="B611" s="7">
        <v>69.720817565917969</v>
      </c>
      <c r="C611" s="3">
        <f t="shared" si="5"/>
        <v>0.24760295261911655</v>
      </c>
    </row>
    <row r="612" spans="1:3" ht="13.2" x14ac:dyDescent="0.25">
      <c r="A612" s="6">
        <v>610</v>
      </c>
      <c r="B612" s="7">
        <v>68.698875427246094</v>
      </c>
      <c r="C612" s="3">
        <f t="shared" si="5"/>
        <v>0.22850825495222543</v>
      </c>
    </row>
    <row r="613" spans="1:3" ht="13.2" x14ac:dyDescent="0.25">
      <c r="A613" s="6">
        <v>611</v>
      </c>
      <c r="B613" s="7">
        <v>66.893783569335938</v>
      </c>
      <c r="C613" s="3">
        <f t="shared" si="5"/>
        <v>0.20603659981914677</v>
      </c>
    </row>
    <row r="614" spans="1:3" ht="13.2" x14ac:dyDescent="0.25">
      <c r="A614" s="6">
        <v>612</v>
      </c>
      <c r="B614" s="7">
        <v>67.333122253417969</v>
      </c>
      <c r="C614" s="3">
        <f t="shared" si="5"/>
        <v>0.2323819178950691</v>
      </c>
    </row>
    <row r="615" spans="1:3" ht="13.2" x14ac:dyDescent="0.25">
      <c r="A615" s="6">
        <v>613</v>
      </c>
      <c r="B615" s="7">
        <v>68.574729919433594</v>
      </c>
      <c r="C615" s="3">
        <f t="shared" si="5"/>
        <v>0.24870908721540466</v>
      </c>
    </row>
    <row r="616" spans="1:3" ht="13.2" x14ac:dyDescent="0.25">
      <c r="A616" s="6">
        <v>614</v>
      </c>
      <c r="B616" s="7">
        <v>70.074195861816406</v>
      </c>
      <c r="C616" s="3">
        <f t="shared" si="5"/>
        <v>0.25596105169359784</v>
      </c>
    </row>
    <row r="617" spans="1:3" ht="13.2" x14ac:dyDescent="0.25">
      <c r="A617" s="6">
        <v>615</v>
      </c>
      <c r="B617" s="7">
        <v>71.841094970703125</v>
      </c>
      <c r="C617" s="3">
        <f t="shared" si="5"/>
        <v>0.27964516234393022</v>
      </c>
    </row>
    <row r="618" spans="1:3" ht="13.2" x14ac:dyDescent="0.25">
      <c r="A618" s="6">
        <v>616</v>
      </c>
      <c r="B618" s="7">
        <v>71.248947143554688</v>
      </c>
      <c r="C618" s="3">
        <f t="shared" si="5"/>
        <v>0.29298805765189156</v>
      </c>
    </row>
    <row r="619" spans="1:3" ht="13.2" x14ac:dyDescent="0.25">
      <c r="A619" s="6">
        <v>617</v>
      </c>
      <c r="B619" s="7">
        <v>71.439971923828125</v>
      </c>
      <c r="C619" s="3">
        <f t="shared" si="5"/>
        <v>0.21611506775475198</v>
      </c>
    </row>
    <row r="620" spans="1:3" ht="13.2" x14ac:dyDescent="0.25">
      <c r="A620" s="6">
        <v>618</v>
      </c>
      <c r="B620" s="7">
        <v>72.996742248535156</v>
      </c>
      <c r="C620" s="3">
        <f t="shared" si="5"/>
        <v>0.20665206292817848</v>
      </c>
    </row>
    <row r="621" spans="1:3" ht="13.2" x14ac:dyDescent="0.25">
      <c r="A621" s="6">
        <v>619</v>
      </c>
      <c r="B621" s="7">
        <v>73.359664916992188</v>
      </c>
      <c r="C621" s="3">
        <f t="shared" si="5"/>
        <v>0.22570983984988677</v>
      </c>
    </row>
    <row r="622" spans="1:3" ht="13.2" x14ac:dyDescent="0.25">
      <c r="A622" s="6">
        <v>620</v>
      </c>
      <c r="B622" s="7">
        <v>78.221023559570313</v>
      </c>
      <c r="C622" s="3">
        <f t="shared" si="5"/>
        <v>0.27498054825902724</v>
      </c>
    </row>
    <row r="623" spans="1:3" ht="13.2" x14ac:dyDescent="0.25">
      <c r="A623" s="6">
        <v>621</v>
      </c>
      <c r="B623" s="7">
        <v>75.995681762695313</v>
      </c>
      <c r="C623" s="3">
        <f t="shared" si="5"/>
        <v>0.23835993463373764</v>
      </c>
    </row>
    <row r="624" spans="1:3" ht="13.2" x14ac:dyDescent="0.25">
      <c r="A624" s="6">
        <v>622</v>
      </c>
      <c r="B624" s="7">
        <v>77.428306579589844</v>
      </c>
      <c r="C624" s="3">
        <f t="shared" si="5"/>
        <v>0.29218911927469082</v>
      </c>
    </row>
    <row r="625" spans="1:3" ht="13.2" x14ac:dyDescent="0.25">
      <c r="A625" s="6">
        <v>623</v>
      </c>
      <c r="B625" s="7">
        <v>76.654701232910156</v>
      </c>
      <c r="C625" s="3">
        <f t="shared" si="5"/>
        <v>0.25618470287567707</v>
      </c>
    </row>
    <row r="626" spans="1:3" ht="13.2" x14ac:dyDescent="0.25">
      <c r="A626" s="6">
        <v>624</v>
      </c>
      <c r="B626" s="7">
        <v>77.896293640136719</v>
      </c>
      <c r="C626" s="3">
        <f t="shared" si="5"/>
        <v>0.29218847909686907</v>
      </c>
    </row>
    <row r="627" spans="1:3" ht="13.2" x14ac:dyDescent="0.25">
      <c r="A627" s="6">
        <v>625</v>
      </c>
      <c r="B627" s="7">
        <v>77.905845642089844</v>
      </c>
      <c r="C627" s="3">
        <f t="shared" si="5"/>
        <v>0.32398647577334816</v>
      </c>
    </row>
    <row r="628" spans="1:3" ht="13.2" x14ac:dyDescent="0.25">
      <c r="A628" s="6">
        <v>626</v>
      </c>
      <c r="B628" s="7">
        <v>79.156997680664063</v>
      </c>
      <c r="C628" s="3">
        <f t="shared" si="5"/>
        <v>0.33690618952116091</v>
      </c>
    </row>
    <row r="629" spans="1:3" ht="13.2" x14ac:dyDescent="0.25">
      <c r="A629" s="6">
        <v>627</v>
      </c>
      <c r="B629" s="7">
        <v>79.739601135253906</v>
      </c>
      <c r="C629" s="3">
        <f t="shared" si="5"/>
        <v>0.32585977055973353</v>
      </c>
    </row>
    <row r="630" spans="1:3" ht="13.2" x14ac:dyDescent="0.25">
      <c r="A630" s="6">
        <v>628</v>
      </c>
      <c r="B630" s="7">
        <v>81.878982543945313</v>
      </c>
      <c r="C630" s="3">
        <f t="shared" si="5"/>
        <v>0.3595809399439186</v>
      </c>
    </row>
    <row r="631" spans="1:3" ht="13.2" x14ac:dyDescent="0.25">
      <c r="A631" s="6">
        <v>629</v>
      </c>
      <c r="B631" s="7">
        <v>81.726173400878906</v>
      </c>
      <c r="C631" s="3">
        <f t="shared" si="5"/>
        <v>0.3583742270486775</v>
      </c>
    </row>
    <row r="632" spans="1:3" ht="13.2" x14ac:dyDescent="0.25">
      <c r="A632" s="6">
        <v>630</v>
      </c>
      <c r="B632" s="7">
        <v>82.0509033203125</v>
      </c>
      <c r="C632" s="3">
        <f t="shared" si="5"/>
        <v>0.4012892714888428</v>
      </c>
    </row>
    <row r="633" spans="1:3" ht="13.2" x14ac:dyDescent="0.25">
      <c r="A633" s="6">
        <v>631</v>
      </c>
      <c r="B633" s="7">
        <v>81.544692993164063</v>
      </c>
      <c r="C633" s="3">
        <f t="shared" si="5"/>
        <v>0.42582926682940991</v>
      </c>
    </row>
    <row r="634" spans="1:3" ht="13.2" x14ac:dyDescent="0.25">
      <c r="A634" s="6">
        <v>632</v>
      </c>
      <c r="B634" s="7">
        <v>83.569473266601563</v>
      </c>
      <c r="C634" s="3">
        <f t="shared" si="5"/>
        <v>0.46374351313936835</v>
      </c>
    </row>
    <row r="635" spans="1:3" ht="13.2" x14ac:dyDescent="0.25">
      <c r="A635" s="6">
        <v>633</v>
      </c>
      <c r="B635" s="7">
        <v>81.7357177734375</v>
      </c>
      <c r="C635" s="3">
        <f t="shared" si="5"/>
        <v>0.42781467707572851</v>
      </c>
    </row>
    <row r="636" spans="1:3" ht="13.2" x14ac:dyDescent="0.25">
      <c r="A636" s="6">
        <v>634</v>
      </c>
      <c r="B636" s="7">
        <v>83.082382202148438</v>
      </c>
      <c r="C636" s="3">
        <f t="shared" si="5"/>
        <v>0.46873817809306584</v>
      </c>
    </row>
    <row r="637" spans="1:3" ht="13.2" x14ac:dyDescent="0.25">
      <c r="A637" s="6">
        <v>635</v>
      </c>
      <c r="B637" s="7">
        <v>84.102378845214844</v>
      </c>
      <c r="C637" s="3">
        <f t="shared" si="5"/>
        <v>0.49226670674937117</v>
      </c>
    </row>
    <row r="638" spans="1:3" ht="13.2" x14ac:dyDescent="0.25">
      <c r="A638" s="6">
        <v>636</v>
      </c>
      <c r="B638" s="7">
        <v>83.226722717285156</v>
      </c>
      <c r="C638" s="3">
        <f t="shared" si="5"/>
        <v>0.51201510761545677</v>
      </c>
    </row>
    <row r="639" spans="1:3" ht="13.2" x14ac:dyDescent="0.25">
      <c r="A639" s="6">
        <v>637</v>
      </c>
      <c r="B639" s="7">
        <v>80.551612854003906</v>
      </c>
      <c r="C639" s="3">
        <f t="shared" ref="C639:C702" si="6">LN(B639/B387)</f>
        <v>0.41677281528815968</v>
      </c>
    </row>
    <row r="640" spans="1:3" ht="13.2" x14ac:dyDescent="0.25">
      <c r="A640" s="6">
        <v>638</v>
      </c>
      <c r="B640" s="7">
        <v>78.9061279296875</v>
      </c>
      <c r="C640" s="3">
        <f t="shared" si="6"/>
        <v>0.39755759397094015</v>
      </c>
    </row>
    <row r="641" spans="1:3" ht="13.2" x14ac:dyDescent="0.25">
      <c r="A641" s="6">
        <v>639</v>
      </c>
      <c r="B641" s="7">
        <v>78.781036376953125</v>
      </c>
      <c r="C641" s="3">
        <f t="shared" si="6"/>
        <v>0.39294745690820793</v>
      </c>
    </row>
    <row r="642" spans="1:3" ht="13.2" x14ac:dyDescent="0.25">
      <c r="A642" s="6">
        <v>640</v>
      </c>
      <c r="B642" s="7">
        <v>79.146697998046875</v>
      </c>
      <c r="C642" s="3">
        <f t="shared" si="6"/>
        <v>0.38838594295034912</v>
      </c>
    </row>
    <row r="643" spans="1:3" ht="13.2" x14ac:dyDescent="0.25">
      <c r="A643" s="6">
        <v>641</v>
      </c>
      <c r="B643" s="7">
        <v>79.954994201660156</v>
      </c>
      <c r="C643" s="3">
        <f t="shared" si="6"/>
        <v>0.40951655912648549</v>
      </c>
    </row>
    <row r="644" spans="1:3" ht="13.2" x14ac:dyDescent="0.25">
      <c r="A644" s="6">
        <v>642</v>
      </c>
      <c r="B644" s="7">
        <v>80.426513671875</v>
      </c>
      <c r="C644" s="3">
        <f t="shared" si="6"/>
        <v>0.39114227052900719</v>
      </c>
    </row>
    <row r="645" spans="1:3" ht="13.2" x14ac:dyDescent="0.25">
      <c r="A645" s="6">
        <v>643</v>
      </c>
      <c r="B645" s="7">
        <v>78.954246520996094</v>
      </c>
      <c r="C645" s="3">
        <f t="shared" si="6"/>
        <v>0.42250815406295766</v>
      </c>
    </row>
    <row r="646" spans="1:3" ht="13.2" x14ac:dyDescent="0.25">
      <c r="A646" s="6">
        <v>644</v>
      </c>
      <c r="B646" s="7">
        <v>80.224441528320313</v>
      </c>
      <c r="C646" s="3">
        <f t="shared" si="6"/>
        <v>0.41163624119927666</v>
      </c>
    </row>
    <row r="647" spans="1:3" ht="13.2" x14ac:dyDescent="0.25">
      <c r="A647" s="6">
        <v>645</v>
      </c>
      <c r="B647" s="7">
        <v>82.428031921386719</v>
      </c>
      <c r="C647" s="3">
        <f t="shared" si="6"/>
        <v>0.4017569581115823</v>
      </c>
    </row>
    <row r="648" spans="1:3" ht="13.2" x14ac:dyDescent="0.25">
      <c r="A648" s="6">
        <v>646</v>
      </c>
      <c r="B648" s="7">
        <v>82.553138732910156</v>
      </c>
      <c r="C648" s="3">
        <f t="shared" si="6"/>
        <v>0.43052506762165843</v>
      </c>
    </row>
    <row r="649" spans="1:3" ht="13.2" x14ac:dyDescent="0.25">
      <c r="A649" s="6">
        <v>647</v>
      </c>
      <c r="B649" s="7">
        <v>83.698234558105469</v>
      </c>
      <c r="C649" s="3">
        <f t="shared" si="6"/>
        <v>0.41056361054518387</v>
      </c>
    </row>
    <row r="650" spans="1:3" ht="13.2" x14ac:dyDescent="0.25">
      <c r="A650" s="6">
        <v>648</v>
      </c>
      <c r="B650" s="7">
        <v>82.832191467285156</v>
      </c>
      <c r="C650" s="3">
        <f t="shared" si="6"/>
        <v>0.38832391611286299</v>
      </c>
    </row>
    <row r="651" spans="1:3" ht="13.2" x14ac:dyDescent="0.25">
      <c r="A651" s="6">
        <v>649</v>
      </c>
      <c r="B651" s="7">
        <v>81.234825134277344</v>
      </c>
      <c r="C651" s="3">
        <f t="shared" si="6"/>
        <v>0.38974725544024497</v>
      </c>
    </row>
    <row r="652" spans="1:3" ht="13.2" x14ac:dyDescent="0.25">
      <c r="A652" s="6">
        <v>650</v>
      </c>
      <c r="B652" s="7">
        <v>82.062370300292969</v>
      </c>
      <c r="C652" s="3">
        <f t="shared" si="6"/>
        <v>0.34607762458049196</v>
      </c>
    </row>
    <row r="653" spans="1:3" ht="13.2" x14ac:dyDescent="0.25">
      <c r="A653" s="6">
        <v>651</v>
      </c>
      <c r="B653" s="7">
        <v>83.21710205078125</v>
      </c>
      <c r="C653" s="3">
        <f t="shared" si="6"/>
        <v>0.337372055607848</v>
      </c>
    </row>
    <row r="654" spans="1:3" ht="13.2" x14ac:dyDescent="0.25">
      <c r="A654" s="6">
        <v>652</v>
      </c>
      <c r="B654" s="7">
        <v>82.524261474609375</v>
      </c>
      <c r="C654" s="3">
        <f t="shared" si="6"/>
        <v>0.35690972928013126</v>
      </c>
    </row>
    <row r="655" spans="1:3" ht="13.2" x14ac:dyDescent="0.25">
      <c r="A655" s="6">
        <v>653</v>
      </c>
      <c r="B655" s="7">
        <v>83.255584716796875</v>
      </c>
      <c r="C655" s="3">
        <f t="shared" si="6"/>
        <v>0.341339228844808</v>
      </c>
    </row>
    <row r="656" spans="1:3" ht="13.2" x14ac:dyDescent="0.25">
      <c r="A656" s="6">
        <v>654</v>
      </c>
      <c r="B656" s="7">
        <v>82.437652587890625</v>
      </c>
      <c r="C656" s="3">
        <f t="shared" si="6"/>
        <v>0.33996061535634559</v>
      </c>
    </row>
    <row r="657" spans="1:3" ht="13.2" x14ac:dyDescent="0.25">
      <c r="A657" s="6">
        <v>655</v>
      </c>
      <c r="B657" s="7">
        <v>82.841812133789063</v>
      </c>
      <c r="C657" s="3">
        <f t="shared" si="6"/>
        <v>0.33396588551395989</v>
      </c>
    </row>
    <row r="658" spans="1:3" ht="13.2" x14ac:dyDescent="0.25">
      <c r="A658" s="6">
        <v>656</v>
      </c>
      <c r="B658" s="7">
        <v>82.505020141601563</v>
      </c>
      <c r="C658" s="3">
        <f t="shared" si="6"/>
        <v>0.3294146950510875</v>
      </c>
    </row>
    <row r="659" spans="1:3" ht="13.2" x14ac:dyDescent="0.25">
      <c r="A659" s="6">
        <v>657</v>
      </c>
      <c r="B659" s="7">
        <v>83.467277526855469</v>
      </c>
      <c r="C659" s="3">
        <f t="shared" si="6"/>
        <v>0.35012217539937895</v>
      </c>
    </row>
    <row r="660" spans="1:3" ht="13.2" x14ac:dyDescent="0.25">
      <c r="A660" s="6">
        <v>658</v>
      </c>
      <c r="B660" s="7">
        <v>82.379920959472656</v>
      </c>
      <c r="C660" s="3">
        <f t="shared" si="6"/>
        <v>0.33926006347299348</v>
      </c>
    </row>
    <row r="661" spans="1:3" ht="13.2" x14ac:dyDescent="0.25">
      <c r="A661" s="6">
        <v>659</v>
      </c>
      <c r="B661" s="7">
        <v>80.946144104003906</v>
      </c>
      <c r="C661" s="3">
        <f t="shared" si="6"/>
        <v>0.30874941310132625</v>
      </c>
    </row>
    <row r="662" spans="1:3" ht="13.2" x14ac:dyDescent="0.25">
      <c r="A662" s="6">
        <v>660</v>
      </c>
      <c r="B662" s="7">
        <v>79.194808959960938</v>
      </c>
      <c r="C662" s="3">
        <f t="shared" si="6"/>
        <v>0.2863996213692645</v>
      </c>
    </row>
    <row r="663" spans="1:3" ht="13.2" x14ac:dyDescent="0.25">
      <c r="A663" s="6">
        <v>661</v>
      </c>
      <c r="B663" s="7">
        <v>81.456146240234375</v>
      </c>
      <c r="C663" s="3">
        <f t="shared" si="6"/>
        <v>0.32252566752899064</v>
      </c>
    </row>
    <row r="664" spans="1:3" ht="13.2" x14ac:dyDescent="0.25">
      <c r="A664" s="6">
        <v>662</v>
      </c>
      <c r="B664" s="7">
        <v>81.321426391601563</v>
      </c>
      <c r="C664" s="3">
        <f t="shared" si="6"/>
        <v>0.31385162245038639</v>
      </c>
    </row>
    <row r="665" spans="1:3" ht="13.2" x14ac:dyDescent="0.25">
      <c r="A665" s="6">
        <v>663</v>
      </c>
      <c r="B665" s="7">
        <v>82.649360656738281</v>
      </c>
      <c r="C665" s="3">
        <f t="shared" si="6"/>
        <v>0.36104448071042217</v>
      </c>
    </row>
    <row r="666" spans="1:3" ht="13.2" x14ac:dyDescent="0.25">
      <c r="A666" s="6">
        <v>664</v>
      </c>
      <c r="B666" s="7">
        <v>84.371818542480469</v>
      </c>
      <c r="C666" s="3">
        <f t="shared" si="6"/>
        <v>0.33835316240429664</v>
      </c>
    </row>
    <row r="667" spans="1:3" ht="13.2" x14ac:dyDescent="0.25">
      <c r="A667" s="6">
        <v>665</v>
      </c>
      <c r="B667" s="7">
        <v>84.795219421386719</v>
      </c>
      <c r="C667" s="3">
        <f t="shared" si="6"/>
        <v>0.33103127304686852</v>
      </c>
    </row>
    <row r="668" spans="1:3" ht="13.2" x14ac:dyDescent="0.25">
      <c r="A668" s="6">
        <v>666</v>
      </c>
      <c r="B668" s="7">
        <v>87.075790405273438</v>
      </c>
      <c r="C668" s="3">
        <f t="shared" si="6"/>
        <v>0.37556696673077478</v>
      </c>
    </row>
    <row r="669" spans="1:3" ht="13.2" x14ac:dyDescent="0.25">
      <c r="A669" s="6">
        <v>667</v>
      </c>
      <c r="B669" s="7">
        <v>86.892974853515625</v>
      </c>
      <c r="C669" s="3">
        <f t="shared" si="6"/>
        <v>0.34728329444964512</v>
      </c>
    </row>
    <row r="670" spans="1:3" ht="13.2" x14ac:dyDescent="0.25">
      <c r="A670" s="6">
        <v>668</v>
      </c>
      <c r="B670" s="7">
        <v>87.037300109863281</v>
      </c>
      <c r="C670" s="3">
        <f t="shared" si="6"/>
        <v>0.31819451482012423</v>
      </c>
    </row>
    <row r="671" spans="1:3" ht="13.2" x14ac:dyDescent="0.25">
      <c r="A671" s="6">
        <v>669</v>
      </c>
      <c r="B671" s="7">
        <v>87.951469421386719</v>
      </c>
      <c r="C671" s="3">
        <f t="shared" si="6"/>
        <v>0.34518717631256668</v>
      </c>
    </row>
    <row r="672" spans="1:3" ht="13.2" x14ac:dyDescent="0.25">
      <c r="A672" s="6">
        <v>670</v>
      </c>
      <c r="B672" s="7">
        <v>87.787887573242188</v>
      </c>
      <c r="C672" s="3">
        <f t="shared" si="6"/>
        <v>0.33592211800455063</v>
      </c>
    </row>
    <row r="673" spans="1:3" ht="13.2" x14ac:dyDescent="0.25">
      <c r="A673" s="6">
        <v>671</v>
      </c>
      <c r="B673" s="7">
        <v>89.144683837890625</v>
      </c>
      <c r="C673" s="3">
        <f t="shared" si="6"/>
        <v>0.34960473201639908</v>
      </c>
    </row>
    <row r="674" spans="1:3" ht="13.2" x14ac:dyDescent="0.25">
      <c r="A674" s="6">
        <v>672</v>
      </c>
      <c r="B674" s="7">
        <v>88.39410400390625</v>
      </c>
      <c r="C674" s="3">
        <f t="shared" si="6"/>
        <v>0.39122519844677428</v>
      </c>
    </row>
    <row r="675" spans="1:3" ht="13.2" x14ac:dyDescent="0.25">
      <c r="A675" s="6">
        <v>673</v>
      </c>
      <c r="B675" s="7">
        <v>88.336372375488281</v>
      </c>
      <c r="C675" s="3">
        <f t="shared" si="6"/>
        <v>0.38615756551530955</v>
      </c>
    </row>
    <row r="676" spans="1:3" ht="13.2" x14ac:dyDescent="0.25">
      <c r="A676" s="6">
        <v>674</v>
      </c>
      <c r="B676" s="7">
        <v>88.807884216308594</v>
      </c>
      <c r="C676" s="3">
        <f t="shared" si="6"/>
        <v>0.38567756047797669</v>
      </c>
    </row>
    <row r="677" spans="1:3" ht="13.2" x14ac:dyDescent="0.25">
      <c r="A677" s="6">
        <v>675</v>
      </c>
      <c r="B677" s="7">
        <v>88.528831481933594</v>
      </c>
      <c r="C677" s="3">
        <f t="shared" si="6"/>
        <v>0.39369667344330228</v>
      </c>
    </row>
    <row r="678" spans="1:3" ht="13.2" x14ac:dyDescent="0.25">
      <c r="A678" s="6">
        <v>676</v>
      </c>
      <c r="B678" s="7">
        <v>91.425262451171875</v>
      </c>
      <c r="C678" s="3">
        <f t="shared" si="6"/>
        <v>0.43128197888171371</v>
      </c>
    </row>
    <row r="679" spans="1:3" ht="13.2" x14ac:dyDescent="0.25">
      <c r="A679" s="6">
        <v>677</v>
      </c>
      <c r="B679" s="7">
        <v>92.233566284179688</v>
      </c>
      <c r="C679" s="3">
        <f t="shared" si="6"/>
        <v>0.43817799148990294</v>
      </c>
    </row>
    <row r="680" spans="1:3" ht="13.2" x14ac:dyDescent="0.25">
      <c r="A680" s="6">
        <v>678</v>
      </c>
      <c r="B680" s="7">
        <v>92.175827026367188</v>
      </c>
      <c r="C680" s="3">
        <f t="shared" si="6"/>
        <v>0.44744018442867561</v>
      </c>
    </row>
    <row r="681" spans="1:3" ht="13.2" x14ac:dyDescent="0.25">
      <c r="A681" s="6">
        <v>679</v>
      </c>
      <c r="B681" s="7">
        <v>91.954498291015625</v>
      </c>
      <c r="C681" s="3">
        <f t="shared" si="6"/>
        <v>0.47513677975627616</v>
      </c>
    </row>
    <row r="682" spans="1:3" ht="13.2" x14ac:dyDescent="0.25">
      <c r="A682" s="6">
        <v>680</v>
      </c>
      <c r="B682" s="7">
        <v>90.751670837402344</v>
      </c>
      <c r="C682" s="3">
        <f t="shared" si="6"/>
        <v>0.44574932704661674</v>
      </c>
    </row>
    <row r="683" spans="1:3" ht="13.2" x14ac:dyDescent="0.25">
      <c r="A683" s="6">
        <v>681</v>
      </c>
      <c r="B683" s="7">
        <v>90.626571655273438</v>
      </c>
      <c r="C683" s="3">
        <f t="shared" si="6"/>
        <v>0.39583519487457824</v>
      </c>
    </row>
    <row r="684" spans="1:3" ht="13.2" x14ac:dyDescent="0.25">
      <c r="A684" s="6">
        <v>682</v>
      </c>
      <c r="B684" s="7">
        <v>89.962600708007813</v>
      </c>
      <c r="C684" s="3">
        <f t="shared" si="6"/>
        <v>0.38061685292241654</v>
      </c>
    </row>
    <row r="685" spans="1:3" ht="13.2" x14ac:dyDescent="0.25">
      <c r="A685" s="6">
        <v>683</v>
      </c>
      <c r="B685" s="7">
        <v>90.511100769042969</v>
      </c>
      <c r="C685" s="3">
        <f t="shared" si="6"/>
        <v>0.41615733959210893</v>
      </c>
    </row>
    <row r="686" spans="1:3" ht="13.2" x14ac:dyDescent="0.25">
      <c r="A686" s="6">
        <v>684</v>
      </c>
      <c r="B686" s="7">
        <v>89.491096496582031</v>
      </c>
      <c r="C686" s="3">
        <f t="shared" si="6"/>
        <v>0.44188903986264411</v>
      </c>
    </row>
    <row r="687" spans="1:3" ht="13.2" x14ac:dyDescent="0.25">
      <c r="A687" s="6">
        <v>685</v>
      </c>
      <c r="B687" s="7">
        <v>90.097328186035156</v>
      </c>
      <c r="C687" s="3">
        <f t="shared" si="6"/>
        <v>0.43074221214818403</v>
      </c>
    </row>
    <row r="688" spans="1:3" ht="13.2" x14ac:dyDescent="0.25">
      <c r="A688" s="6">
        <v>686</v>
      </c>
      <c r="B688" s="7">
        <v>87.768630981445313</v>
      </c>
      <c r="C688" s="3">
        <f t="shared" si="6"/>
        <v>0.38238757355994779</v>
      </c>
    </row>
    <row r="689" spans="1:3" ht="13.2" x14ac:dyDescent="0.25">
      <c r="A689" s="6">
        <v>687</v>
      </c>
      <c r="B689" s="7">
        <v>87.316360473632813</v>
      </c>
      <c r="C689" s="3">
        <f t="shared" si="6"/>
        <v>0.36717725438981014</v>
      </c>
    </row>
    <row r="690" spans="1:3" ht="13.2" x14ac:dyDescent="0.25">
      <c r="A690" s="6">
        <v>688</v>
      </c>
      <c r="B690" s="7">
        <v>86.854484558105469</v>
      </c>
      <c r="C690" s="3">
        <f t="shared" si="6"/>
        <v>0.37128684690376029</v>
      </c>
    </row>
    <row r="691" spans="1:3" ht="13.2" x14ac:dyDescent="0.25">
      <c r="A691" s="6">
        <v>689</v>
      </c>
      <c r="B691" s="7">
        <v>85.709373474121094</v>
      </c>
      <c r="C691" s="3">
        <f t="shared" si="6"/>
        <v>0.33943079323572145</v>
      </c>
    </row>
    <row r="692" spans="1:3" ht="13.2" x14ac:dyDescent="0.25">
      <c r="A692" s="6">
        <v>690</v>
      </c>
      <c r="B692" s="7">
        <v>86.248245239257813</v>
      </c>
      <c r="C692" s="3">
        <f t="shared" si="6"/>
        <v>0.37283078467374126</v>
      </c>
    </row>
    <row r="693" spans="1:3" ht="13.2" x14ac:dyDescent="0.25">
      <c r="A693" s="6">
        <v>691</v>
      </c>
      <c r="B693" s="7">
        <v>85.343719482421875</v>
      </c>
      <c r="C693" s="3">
        <f t="shared" si="6"/>
        <v>0.35958888748832873</v>
      </c>
    </row>
    <row r="694" spans="1:3" ht="13.2" x14ac:dyDescent="0.25">
      <c r="A694" s="6">
        <v>692</v>
      </c>
      <c r="B694" s="7">
        <v>86.20013427734375</v>
      </c>
      <c r="C694" s="3">
        <f t="shared" si="6"/>
        <v>0.36719837033982228</v>
      </c>
    </row>
    <row r="695" spans="1:3" ht="13.2" x14ac:dyDescent="0.25">
      <c r="A695" s="6">
        <v>693</v>
      </c>
      <c r="B695" s="7">
        <v>85.545791625976563</v>
      </c>
      <c r="C695" s="3">
        <f t="shared" si="6"/>
        <v>0.35122990706975898</v>
      </c>
    </row>
    <row r="696" spans="1:3" ht="13.2" x14ac:dyDescent="0.25">
      <c r="A696" s="6">
        <v>694</v>
      </c>
      <c r="B696" s="7">
        <v>84.092758178710938</v>
      </c>
      <c r="C696" s="3">
        <f t="shared" si="6"/>
        <v>0.31760783711223689</v>
      </c>
    </row>
    <row r="697" spans="1:3" ht="13.2" x14ac:dyDescent="0.25">
      <c r="A697" s="6">
        <v>695</v>
      </c>
      <c r="B697" s="7">
        <v>85.449562072753906</v>
      </c>
      <c r="C697" s="3">
        <f t="shared" si="6"/>
        <v>0.33546688905099564</v>
      </c>
    </row>
    <row r="698" spans="1:3" ht="13.2" x14ac:dyDescent="0.25">
      <c r="A698" s="6">
        <v>696</v>
      </c>
      <c r="B698" s="7">
        <v>84.448806762695313</v>
      </c>
      <c r="C698" s="3">
        <f t="shared" si="6"/>
        <v>0.31139544741353015</v>
      </c>
    </row>
    <row r="699" spans="1:3" ht="13.2" x14ac:dyDescent="0.25">
      <c r="A699" s="6">
        <v>697</v>
      </c>
      <c r="B699" s="7">
        <v>83.419174194335938</v>
      </c>
      <c r="C699" s="3">
        <f t="shared" si="6"/>
        <v>0.34330220789619559</v>
      </c>
    </row>
    <row r="700" spans="1:3" ht="13.2" x14ac:dyDescent="0.25">
      <c r="A700" s="6">
        <v>698</v>
      </c>
      <c r="B700" s="7">
        <v>83.900314331054688</v>
      </c>
      <c r="C700" s="3">
        <f t="shared" si="6"/>
        <v>0.35385262253365396</v>
      </c>
    </row>
    <row r="701" spans="1:3" ht="13.2" x14ac:dyDescent="0.25">
      <c r="A701" s="6">
        <v>699</v>
      </c>
      <c r="B701" s="7">
        <v>84.901077270507813</v>
      </c>
      <c r="C701" s="3">
        <f t="shared" si="6"/>
        <v>0.33429718960035065</v>
      </c>
    </row>
    <row r="702" spans="1:3" ht="13.2" x14ac:dyDescent="0.25">
      <c r="A702" s="6">
        <v>700</v>
      </c>
      <c r="B702" s="7">
        <v>85.8922119140625</v>
      </c>
      <c r="C702" s="3">
        <f t="shared" si="6"/>
        <v>0.36599518671584402</v>
      </c>
    </row>
    <row r="703" spans="1:3" ht="13.2" x14ac:dyDescent="0.25">
      <c r="A703" s="6">
        <v>701</v>
      </c>
      <c r="B703" s="7">
        <v>83.938796997070313</v>
      </c>
      <c r="C703" s="3">
        <f t="shared" ref="C703:C766" si="7">LN(B703/B451)</f>
        <v>0.35479241471289352</v>
      </c>
    </row>
    <row r="704" spans="1:3" ht="13.2" x14ac:dyDescent="0.25">
      <c r="A704" s="6">
        <v>702</v>
      </c>
      <c r="B704" s="7">
        <v>83.77520751953125</v>
      </c>
      <c r="C704" s="3">
        <f t="shared" si="7"/>
        <v>0.35976415496604147</v>
      </c>
    </row>
    <row r="705" spans="1:3" ht="13.2" x14ac:dyDescent="0.25">
      <c r="A705" s="6">
        <v>703</v>
      </c>
      <c r="B705" s="7">
        <v>84.718231201171875</v>
      </c>
      <c r="C705" s="3">
        <f t="shared" si="7"/>
        <v>0.41538767887465239</v>
      </c>
    </row>
    <row r="706" spans="1:3" ht="13.2" x14ac:dyDescent="0.25">
      <c r="A706" s="6">
        <v>704</v>
      </c>
      <c r="B706" s="7">
        <v>85.132011413574219</v>
      </c>
      <c r="C706" s="3">
        <f t="shared" si="7"/>
        <v>0.45060955727155205</v>
      </c>
    </row>
    <row r="707" spans="1:3" ht="13.2" x14ac:dyDescent="0.25">
      <c r="A707" s="6">
        <v>705</v>
      </c>
      <c r="B707" s="7">
        <v>84.573898315429688</v>
      </c>
      <c r="C707" s="3">
        <f t="shared" si="7"/>
        <v>0.52071451836972926</v>
      </c>
    </row>
    <row r="708" spans="1:3" ht="13.2" x14ac:dyDescent="0.25">
      <c r="A708" s="6">
        <v>706</v>
      </c>
      <c r="B708" s="7">
        <v>82.812942504882813</v>
      </c>
      <c r="C708" s="3">
        <f t="shared" si="7"/>
        <v>0.48086627057684911</v>
      </c>
    </row>
    <row r="709" spans="1:3" ht="13.2" x14ac:dyDescent="0.25">
      <c r="A709" s="6">
        <v>707</v>
      </c>
      <c r="B709" s="7">
        <v>83.226722717285156</v>
      </c>
      <c r="C709" s="3">
        <f t="shared" si="7"/>
        <v>0.44518330612777141</v>
      </c>
    </row>
    <row r="710" spans="1:3" ht="13.2" x14ac:dyDescent="0.25">
      <c r="A710" s="6">
        <v>708</v>
      </c>
      <c r="B710" s="7">
        <v>82.899551391601563</v>
      </c>
      <c r="C710" s="3">
        <f t="shared" si="7"/>
        <v>0.42997279817981954</v>
      </c>
    </row>
    <row r="711" spans="1:3" ht="13.2" x14ac:dyDescent="0.25">
      <c r="A711" s="6">
        <v>709</v>
      </c>
      <c r="B711" s="7">
        <v>80.378395080566406</v>
      </c>
      <c r="C711" s="3">
        <f t="shared" si="7"/>
        <v>0.4070005960250111</v>
      </c>
    </row>
    <row r="712" spans="1:3" ht="13.2" x14ac:dyDescent="0.25">
      <c r="A712" s="6">
        <v>710</v>
      </c>
      <c r="B712" s="7">
        <v>82.139350891113281</v>
      </c>
      <c r="C712" s="3">
        <f t="shared" si="7"/>
        <v>0.45460151036414986</v>
      </c>
    </row>
    <row r="713" spans="1:3" ht="13.2" x14ac:dyDescent="0.25">
      <c r="A713" s="6">
        <v>711</v>
      </c>
      <c r="B713" s="7">
        <v>81.908416748046875</v>
      </c>
      <c r="C713" s="3">
        <f t="shared" si="7"/>
        <v>0.43258740879382007</v>
      </c>
    </row>
    <row r="714" spans="1:3" ht="13.2" x14ac:dyDescent="0.25">
      <c r="A714" s="6">
        <v>712</v>
      </c>
      <c r="B714" s="7">
        <v>82.360671997070313</v>
      </c>
      <c r="C714" s="3">
        <f t="shared" si="7"/>
        <v>0.3925840728404239</v>
      </c>
    </row>
    <row r="715" spans="1:3" ht="13.2" x14ac:dyDescent="0.25">
      <c r="A715" s="6">
        <v>713</v>
      </c>
      <c r="B715" s="7">
        <v>82.755203247070313</v>
      </c>
      <c r="C715" s="3">
        <f t="shared" si="7"/>
        <v>0.40025375693712228</v>
      </c>
    </row>
    <row r="716" spans="1:3" ht="13.2" x14ac:dyDescent="0.25">
      <c r="A716" s="6">
        <v>714</v>
      </c>
      <c r="B716" s="7">
        <v>85.141639709472656</v>
      </c>
      <c r="C716" s="3">
        <f t="shared" si="7"/>
        <v>0.44136537520326469</v>
      </c>
    </row>
    <row r="717" spans="1:3" ht="13.2" x14ac:dyDescent="0.25">
      <c r="A717" s="6">
        <v>715</v>
      </c>
      <c r="B717" s="7">
        <v>84.458412170410156</v>
      </c>
      <c r="C717" s="3">
        <f t="shared" si="7"/>
        <v>0.41096587088450964</v>
      </c>
    </row>
    <row r="718" spans="1:3" ht="13.2" x14ac:dyDescent="0.25">
      <c r="A718" s="6">
        <v>716</v>
      </c>
      <c r="B718" s="7">
        <v>84.62200927734375</v>
      </c>
      <c r="C718" s="3">
        <f t="shared" si="7"/>
        <v>0.44373066584934723</v>
      </c>
    </row>
    <row r="719" spans="1:3" ht="13.2" x14ac:dyDescent="0.25">
      <c r="A719" s="6">
        <v>717</v>
      </c>
      <c r="B719" s="7">
        <v>84.035018920898438</v>
      </c>
      <c r="C719" s="3">
        <f t="shared" si="7"/>
        <v>0.43260399825185747</v>
      </c>
    </row>
    <row r="720" spans="1:3" ht="13.2" x14ac:dyDescent="0.25">
      <c r="A720" s="6">
        <v>718</v>
      </c>
      <c r="B720" s="7">
        <v>84.188995361328125</v>
      </c>
      <c r="C720" s="3">
        <f t="shared" si="7"/>
        <v>0.4249525117124705</v>
      </c>
    </row>
    <row r="721" spans="1:3" ht="13.2" x14ac:dyDescent="0.25">
      <c r="A721" s="6">
        <v>719</v>
      </c>
      <c r="B721" s="7">
        <v>85.064651489257813</v>
      </c>
      <c r="C721" s="3">
        <f t="shared" si="7"/>
        <v>0.4192995415137335</v>
      </c>
    </row>
    <row r="722" spans="1:3" ht="13.2" x14ac:dyDescent="0.25">
      <c r="A722" s="6">
        <v>720</v>
      </c>
      <c r="B722" s="7">
        <v>85.064651489257813</v>
      </c>
      <c r="C722" s="3">
        <f t="shared" si="7"/>
        <v>0.39626395868661018</v>
      </c>
    </row>
    <row r="723" spans="1:3" ht="13.2" x14ac:dyDescent="0.25">
      <c r="A723" s="6">
        <v>721</v>
      </c>
      <c r="B723" s="7">
        <v>86.585044860839844</v>
      </c>
      <c r="C723" s="3">
        <f t="shared" si="7"/>
        <v>0.42193189370227685</v>
      </c>
    </row>
    <row r="724" spans="1:3" ht="13.2" x14ac:dyDescent="0.25">
      <c r="A724" s="6">
        <v>722</v>
      </c>
      <c r="B724" s="7">
        <v>88.269020080566406</v>
      </c>
      <c r="C724" s="3">
        <f t="shared" si="7"/>
        <v>0.44219235120174305</v>
      </c>
    </row>
    <row r="725" spans="1:3" ht="13.2" x14ac:dyDescent="0.25">
      <c r="A725" s="6">
        <v>723</v>
      </c>
      <c r="B725" s="7">
        <v>87.162406921386719</v>
      </c>
      <c r="C725" s="3">
        <f t="shared" si="7"/>
        <v>0.3821032529885296</v>
      </c>
    </row>
    <row r="726" spans="1:3" ht="13.2" x14ac:dyDescent="0.25">
      <c r="A726" s="6">
        <v>724</v>
      </c>
      <c r="B726" s="7">
        <v>86.604286193847656</v>
      </c>
      <c r="C726" s="3">
        <f t="shared" si="7"/>
        <v>0.35462593141923354</v>
      </c>
    </row>
    <row r="727" spans="1:3" ht="13.2" x14ac:dyDescent="0.25">
      <c r="A727" s="6">
        <v>725</v>
      </c>
      <c r="B727" s="7">
        <v>88.018821716308594</v>
      </c>
      <c r="C727" s="3">
        <f t="shared" si="7"/>
        <v>0.39953140196761178</v>
      </c>
    </row>
    <row r="728" spans="1:3" ht="13.2" x14ac:dyDescent="0.25">
      <c r="A728" s="6">
        <v>726</v>
      </c>
      <c r="B728" s="7">
        <v>87.114295959472656</v>
      </c>
      <c r="C728" s="3">
        <f t="shared" si="7"/>
        <v>0.43822386928449819</v>
      </c>
    </row>
    <row r="729" spans="1:3" ht="13.2" x14ac:dyDescent="0.25">
      <c r="A729" s="6">
        <v>727</v>
      </c>
      <c r="B729" s="7">
        <v>87.826370239257813</v>
      </c>
      <c r="C729" s="3">
        <f t="shared" si="7"/>
        <v>0.44653273063756577</v>
      </c>
    </row>
    <row r="730" spans="1:3" ht="13.2" x14ac:dyDescent="0.25">
      <c r="A730" s="6">
        <v>728</v>
      </c>
      <c r="B730" s="7">
        <v>88.5384521484375</v>
      </c>
      <c r="C730" s="3">
        <f t="shared" si="7"/>
        <v>0.45932491358587374</v>
      </c>
    </row>
    <row r="731" spans="1:3" ht="13.2" x14ac:dyDescent="0.25">
      <c r="A731" s="6">
        <v>729</v>
      </c>
      <c r="B731" s="7">
        <v>87.383720397949219</v>
      </c>
      <c r="C731" s="3">
        <f t="shared" si="7"/>
        <v>0.4599692249863821</v>
      </c>
    </row>
    <row r="732" spans="1:3" ht="13.2" x14ac:dyDescent="0.25">
      <c r="A732" s="6">
        <v>730</v>
      </c>
      <c r="B732" s="7">
        <v>88.336372375488281</v>
      </c>
      <c r="C732" s="3">
        <f t="shared" si="7"/>
        <v>0.50140711483172906</v>
      </c>
    </row>
    <row r="733" spans="1:3" ht="13.2" x14ac:dyDescent="0.25">
      <c r="A733" s="6">
        <v>731</v>
      </c>
      <c r="B733" s="7">
        <v>86.710128784179688</v>
      </c>
      <c r="C733" s="3">
        <f t="shared" si="7"/>
        <v>0.46307531223174442</v>
      </c>
    </row>
    <row r="734" spans="1:3" ht="13.2" x14ac:dyDescent="0.25">
      <c r="A734" s="6">
        <v>732</v>
      </c>
      <c r="B734" s="7">
        <v>88.932975769042969</v>
      </c>
      <c r="C734" s="3">
        <f t="shared" si="7"/>
        <v>0.4883876143923922</v>
      </c>
    </row>
    <row r="735" spans="1:3" ht="13.2" x14ac:dyDescent="0.25">
      <c r="A735" s="6">
        <v>733</v>
      </c>
      <c r="B735" s="7">
        <v>87.72052001953125</v>
      </c>
      <c r="C735" s="3">
        <f t="shared" si="7"/>
        <v>0.44347982783948176</v>
      </c>
    </row>
    <row r="736" spans="1:3" ht="13.2" x14ac:dyDescent="0.25">
      <c r="A736" s="6">
        <v>734</v>
      </c>
      <c r="B736" s="7">
        <v>87.027679443359375</v>
      </c>
      <c r="C736" s="3">
        <f t="shared" si="7"/>
        <v>0.46967735344961947</v>
      </c>
    </row>
    <row r="737" spans="1:3" ht="13.2" x14ac:dyDescent="0.25">
      <c r="A737" s="6">
        <v>735</v>
      </c>
      <c r="B737" s="7">
        <v>89.847145080566406</v>
      </c>
      <c r="C737" s="3">
        <f t="shared" si="7"/>
        <v>0.53276672817933968</v>
      </c>
    </row>
    <row r="738" spans="1:3" ht="13.2" x14ac:dyDescent="0.25">
      <c r="A738" s="6">
        <v>736</v>
      </c>
      <c r="B738" s="7">
        <v>88.740524291992188</v>
      </c>
      <c r="C738" s="3">
        <f t="shared" si="7"/>
        <v>0.51769078912358979</v>
      </c>
    </row>
    <row r="739" spans="1:3" ht="13.2" x14ac:dyDescent="0.25">
      <c r="A739" s="6">
        <v>737</v>
      </c>
      <c r="B739" s="7">
        <v>89.770156860351563</v>
      </c>
      <c r="C739" s="3">
        <f t="shared" si="7"/>
        <v>0.52655129321744276</v>
      </c>
    </row>
    <row r="740" spans="1:3" ht="13.2" x14ac:dyDescent="0.25">
      <c r="A740" s="6">
        <v>738</v>
      </c>
      <c r="B740" s="7">
        <v>88.865615844726563</v>
      </c>
      <c r="C740" s="3">
        <f t="shared" si="7"/>
        <v>0.51553377371616171</v>
      </c>
    </row>
    <row r="741" spans="1:3" ht="13.2" x14ac:dyDescent="0.25">
      <c r="A741" s="6">
        <v>739</v>
      </c>
      <c r="B741" s="7">
        <v>88.499961853027344</v>
      </c>
      <c r="C741" s="3">
        <f t="shared" si="7"/>
        <v>0.42127484286884276</v>
      </c>
    </row>
    <row r="742" spans="1:3" ht="13.2" x14ac:dyDescent="0.25">
      <c r="A742" s="6">
        <v>740</v>
      </c>
      <c r="B742" s="7">
        <v>89.962600708007813</v>
      </c>
      <c r="C742" s="3">
        <f t="shared" si="7"/>
        <v>0.41961632028770779</v>
      </c>
    </row>
    <row r="743" spans="1:3" ht="13.2" x14ac:dyDescent="0.25">
      <c r="A743" s="6">
        <v>741</v>
      </c>
      <c r="B743" s="7">
        <v>92.859039306640625</v>
      </c>
      <c r="C743" s="3">
        <f t="shared" si="7"/>
        <v>0.44668371094941917</v>
      </c>
    </row>
    <row r="744" spans="1:3" ht="13.2" x14ac:dyDescent="0.25">
      <c r="A744" s="6">
        <v>742</v>
      </c>
      <c r="B744" s="7">
        <v>91.9737548828125</v>
      </c>
      <c r="C744" s="3">
        <f t="shared" si="7"/>
        <v>0.37261559918550113</v>
      </c>
    </row>
    <row r="745" spans="1:3" ht="13.2" x14ac:dyDescent="0.25">
      <c r="A745" s="6">
        <v>743</v>
      </c>
      <c r="B745" s="7">
        <v>91.5792236328125</v>
      </c>
      <c r="C745" s="3">
        <f t="shared" si="7"/>
        <v>0.44641123848104486</v>
      </c>
    </row>
    <row r="746" spans="1:3" ht="13.2" x14ac:dyDescent="0.25">
      <c r="A746" s="6">
        <v>744</v>
      </c>
      <c r="B746" s="7">
        <v>93.936790466308594</v>
      </c>
      <c r="C746" s="3">
        <f t="shared" si="7"/>
        <v>0.51732873556925352</v>
      </c>
    </row>
    <row r="747" spans="1:3" ht="13.2" x14ac:dyDescent="0.25">
      <c r="A747" s="6">
        <v>745</v>
      </c>
      <c r="B747" s="7">
        <v>95.235847473144531</v>
      </c>
      <c r="C747" s="3">
        <f t="shared" si="7"/>
        <v>0.5073952796176141</v>
      </c>
    </row>
    <row r="748" spans="1:3" ht="13.2" x14ac:dyDescent="0.25">
      <c r="A748" s="6">
        <v>746</v>
      </c>
      <c r="B748" s="7">
        <v>94.109992980957031</v>
      </c>
      <c r="C748" s="3">
        <f t="shared" si="7"/>
        <v>0.48648440776758323</v>
      </c>
    </row>
    <row r="749" spans="1:3" ht="13.2" x14ac:dyDescent="0.25">
      <c r="A749" s="6">
        <v>747</v>
      </c>
      <c r="B749" s="7">
        <v>94.100364685058594</v>
      </c>
      <c r="C749" s="3">
        <f t="shared" si="7"/>
        <v>0.50167967717781381</v>
      </c>
    </row>
    <row r="750" spans="1:3" ht="13.2" x14ac:dyDescent="0.25">
      <c r="A750" s="6">
        <v>748</v>
      </c>
      <c r="B750" s="7">
        <v>94.831695556640625</v>
      </c>
      <c r="C750" s="3">
        <f t="shared" si="7"/>
        <v>0.51041647524232026</v>
      </c>
    </row>
    <row r="751" spans="1:3" ht="13.2" x14ac:dyDescent="0.25">
      <c r="A751" s="6">
        <v>749</v>
      </c>
      <c r="B751" s="7">
        <v>92.839797973632813</v>
      </c>
      <c r="C751" s="3">
        <f t="shared" si="7"/>
        <v>0.52534083648685692</v>
      </c>
    </row>
    <row r="752" spans="1:3" ht="13.2" x14ac:dyDescent="0.25">
      <c r="A752" s="6">
        <v>750</v>
      </c>
      <c r="B752" s="7">
        <v>92.887908935546875</v>
      </c>
      <c r="C752" s="3">
        <f t="shared" si="7"/>
        <v>0.50475169333372594</v>
      </c>
    </row>
    <row r="753" spans="1:3" ht="13.2" x14ac:dyDescent="0.25">
      <c r="A753" s="6">
        <v>751</v>
      </c>
      <c r="B753" s="7">
        <v>92.666587829589844</v>
      </c>
      <c r="C753" s="3">
        <f t="shared" si="7"/>
        <v>0.52726525454489281</v>
      </c>
    </row>
    <row r="754" spans="1:3" ht="13.2" x14ac:dyDescent="0.25">
      <c r="A754" s="6">
        <v>752</v>
      </c>
      <c r="B754" s="7">
        <v>92.055404663085938</v>
      </c>
      <c r="C754" s="3">
        <f t="shared" si="7"/>
        <v>0.51170847377008777</v>
      </c>
    </row>
    <row r="755" spans="1:3" ht="13.2" x14ac:dyDescent="0.25">
      <c r="A755" s="6">
        <v>753</v>
      </c>
      <c r="B755" s="7">
        <v>90.066635131835938</v>
      </c>
      <c r="C755" s="3">
        <f t="shared" si="7"/>
        <v>0.46948145402096736</v>
      </c>
    </row>
    <row r="756" spans="1:3" ht="13.2" x14ac:dyDescent="0.25">
      <c r="A756" s="6">
        <v>754</v>
      </c>
      <c r="B756" s="7">
        <v>91.191993713378906</v>
      </c>
      <c r="C756" s="3">
        <f t="shared" si="7"/>
        <v>0.51289831767584826</v>
      </c>
    </row>
    <row r="757" spans="1:3" ht="13.2" x14ac:dyDescent="0.25">
      <c r="A757" s="6">
        <v>755</v>
      </c>
      <c r="B757" s="7">
        <v>90.03753662109375</v>
      </c>
      <c r="C757" s="3">
        <f t="shared" si="7"/>
        <v>0.51265469167594535</v>
      </c>
    </row>
    <row r="758" spans="1:3" ht="13.2" x14ac:dyDescent="0.25">
      <c r="A758" s="6">
        <v>756</v>
      </c>
      <c r="B758" s="7">
        <v>87.835357666015625</v>
      </c>
      <c r="C758" s="3">
        <f t="shared" si="7"/>
        <v>0.46495508695979526</v>
      </c>
    </row>
    <row r="759" spans="1:3" ht="13.2" x14ac:dyDescent="0.25">
      <c r="A759" s="6">
        <v>757</v>
      </c>
      <c r="B759" s="7">
        <v>88.116683959960938</v>
      </c>
      <c r="C759" s="3">
        <f t="shared" si="7"/>
        <v>0.45525383619908605</v>
      </c>
    </row>
    <row r="760" spans="1:3" ht="13.2" x14ac:dyDescent="0.25">
      <c r="A760" s="6">
        <v>758</v>
      </c>
      <c r="B760" s="7">
        <v>89.707695007324219</v>
      </c>
      <c r="C760" s="3">
        <f t="shared" si="7"/>
        <v>0.48035142822977384</v>
      </c>
    </row>
    <row r="761" spans="1:3" ht="13.2" x14ac:dyDescent="0.25">
      <c r="A761" s="6">
        <v>759</v>
      </c>
      <c r="B761" s="7">
        <v>90.697219848632813</v>
      </c>
      <c r="C761" s="3">
        <f t="shared" si="7"/>
        <v>0.46683878860698341</v>
      </c>
    </row>
    <row r="762" spans="1:3" ht="13.2" x14ac:dyDescent="0.25">
      <c r="A762" s="6">
        <v>760</v>
      </c>
      <c r="B762" s="7">
        <v>90.920356750488281</v>
      </c>
      <c r="C762" s="3">
        <f t="shared" si="7"/>
        <v>0.44245103677722236</v>
      </c>
    </row>
    <row r="763" spans="1:3" ht="13.2" x14ac:dyDescent="0.25">
      <c r="A763" s="6">
        <v>761</v>
      </c>
      <c r="B763" s="7">
        <v>90.774833679199219</v>
      </c>
      <c r="C763" s="3">
        <f t="shared" si="7"/>
        <v>0.43628156638975685</v>
      </c>
    </row>
    <row r="764" spans="1:3" ht="13.2" x14ac:dyDescent="0.25">
      <c r="A764" s="6">
        <v>762</v>
      </c>
      <c r="B764" s="7">
        <v>89.853218078613281</v>
      </c>
      <c r="C764" s="3">
        <f t="shared" si="7"/>
        <v>0.43178968555683567</v>
      </c>
    </row>
    <row r="765" spans="1:3" ht="13.2" x14ac:dyDescent="0.25">
      <c r="A765" s="6">
        <v>763</v>
      </c>
      <c r="B765" s="7">
        <v>92.00689697265625</v>
      </c>
      <c r="C765" s="3">
        <f t="shared" si="7"/>
        <v>0.39775379712016096</v>
      </c>
    </row>
    <row r="766" spans="1:3" ht="13.2" x14ac:dyDescent="0.25">
      <c r="A766" s="6">
        <v>764</v>
      </c>
      <c r="B766" s="7">
        <v>90.687530517578125</v>
      </c>
      <c r="C766" s="3">
        <f t="shared" si="7"/>
        <v>0.38423755519392405</v>
      </c>
    </row>
    <row r="767" spans="1:3" ht="13.2" x14ac:dyDescent="0.25">
      <c r="A767" s="6">
        <v>765</v>
      </c>
      <c r="B767" s="7">
        <v>89.746498107910156</v>
      </c>
      <c r="C767" s="3">
        <f t="shared" ref="C767:C830" si="8">LN(B767/B515)</f>
        <v>0.40810301717223635</v>
      </c>
    </row>
    <row r="768" spans="1:3" ht="13.2" x14ac:dyDescent="0.25">
      <c r="A768" s="6">
        <v>766</v>
      </c>
      <c r="B768" s="7">
        <v>89.843521118164063</v>
      </c>
      <c r="C768" s="3">
        <f t="shared" si="8"/>
        <v>0.41399664335546144</v>
      </c>
    </row>
    <row r="769" spans="1:3" ht="13.2" x14ac:dyDescent="0.25">
      <c r="A769" s="6">
        <v>767</v>
      </c>
      <c r="B769" s="7">
        <v>89.513671875</v>
      </c>
      <c r="C769" s="3">
        <f t="shared" si="8"/>
        <v>0.39025735122122468</v>
      </c>
    </row>
    <row r="770" spans="1:3" ht="13.2" x14ac:dyDescent="0.25">
      <c r="A770" s="6">
        <v>768</v>
      </c>
      <c r="B770" s="7">
        <v>88.999504089355469</v>
      </c>
      <c r="C770" s="3">
        <f t="shared" si="8"/>
        <v>0.38244962363813356</v>
      </c>
    </row>
    <row r="771" spans="1:3" ht="13.2" x14ac:dyDescent="0.25">
      <c r="A771" s="6">
        <v>769</v>
      </c>
      <c r="B771" s="7">
        <v>90.435287475585938</v>
      </c>
      <c r="C771" s="3">
        <f t="shared" si="8"/>
        <v>0.40397438621168719</v>
      </c>
    </row>
    <row r="772" spans="1:3" ht="13.2" x14ac:dyDescent="0.25">
      <c r="A772" s="6">
        <v>770</v>
      </c>
      <c r="B772" s="7">
        <v>91.337509155273438</v>
      </c>
      <c r="C772" s="3">
        <f t="shared" si="8"/>
        <v>0.39354683241367022</v>
      </c>
    </row>
    <row r="773" spans="1:3" ht="13.2" x14ac:dyDescent="0.25">
      <c r="A773" s="6">
        <v>771</v>
      </c>
      <c r="B773" s="7">
        <v>89.88232421875</v>
      </c>
      <c r="C773" s="3">
        <f t="shared" si="8"/>
        <v>0.42705199326678728</v>
      </c>
    </row>
    <row r="774" spans="1:3" ht="13.2" x14ac:dyDescent="0.25">
      <c r="A774" s="6">
        <v>772</v>
      </c>
      <c r="B774" s="7">
        <v>88.766670227050781</v>
      </c>
      <c r="C774" s="3">
        <f t="shared" si="8"/>
        <v>0.40017085957269988</v>
      </c>
    </row>
    <row r="775" spans="1:3" ht="13.2" x14ac:dyDescent="0.25">
      <c r="A775" s="6">
        <v>773</v>
      </c>
      <c r="B775" s="7">
        <v>90.823348999023438</v>
      </c>
      <c r="C775" s="3">
        <f t="shared" si="8"/>
        <v>0.44860375548111958</v>
      </c>
    </row>
    <row r="776" spans="1:3" ht="13.2" x14ac:dyDescent="0.25">
      <c r="A776" s="6">
        <v>774</v>
      </c>
      <c r="B776" s="7">
        <v>89.989036560058594</v>
      </c>
      <c r="C776" s="3">
        <f t="shared" si="8"/>
        <v>0.40888309651374327</v>
      </c>
    </row>
    <row r="777" spans="1:3" ht="13.2" x14ac:dyDescent="0.25">
      <c r="A777" s="6">
        <v>775</v>
      </c>
      <c r="B777" s="7">
        <v>89.387550354003906</v>
      </c>
      <c r="C777" s="3">
        <f t="shared" si="8"/>
        <v>0.40169754918983686</v>
      </c>
    </row>
    <row r="778" spans="1:3" ht="13.2" x14ac:dyDescent="0.25">
      <c r="A778" s="6">
        <v>776</v>
      </c>
      <c r="B778" s="7">
        <v>89.1644287109375</v>
      </c>
      <c r="C778" s="3">
        <f t="shared" si="8"/>
        <v>0.401116216462576</v>
      </c>
    </row>
    <row r="779" spans="1:3" ht="13.2" x14ac:dyDescent="0.25">
      <c r="A779" s="6">
        <v>777</v>
      </c>
      <c r="B779" s="7">
        <v>89.096511840820313</v>
      </c>
      <c r="C779" s="3">
        <f t="shared" si="8"/>
        <v>0.37508024793998485</v>
      </c>
    </row>
    <row r="780" spans="1:3" ht="13.2" x14ac:dyDescent="0.25">
      <c r="A780" s="6">
        <v>778</v>
      </c>
      <c r="B780" s="7">
        <v>89.659187316894531</v>
      </c>
      <c r="C780" s="3">
        <f t="shared" si="8"/>
        <v>0.41969223502946917</v>
      </c>
    </row>
    <row r="781" spans="1:3" ht="13.2" x14ac:dyDescent="0.25">
      <c r="A781" s="6">
        <v>779</v>
      </c>
      <c r="B781" s="7">
        <v>88.640556335449219</v>
      </c>
      <c r="C781" s="3">
        <f t="shared" si="8"/>
        <v>0.37966760619589252</v>
      </c>
    </row>
    <row r="782" spans="1:3" ht="13.2" x14ac:dyDescent="0.25">
      <c r="A782" s="6">
        <v>780</v>
      </c>
      <c r="B782" s="7">
        <v>89.077110290527344</v>
      </c>
      <c r="C782" s="3">
        <f t="shared" si="8"/>
        <v>0.38473798372992979</v>
      </c>
    </row>
    <row r="783" spans="1:3" ht="13.2" x14ac:dyDescent="0.25">
      <c r="A783" s="6">
        <v>781</v>
      </c>
      <c r="B783" s="7">
        <v>87.942070007324219</v>
      </c>
      <c r="C783" s="3">
        <f t="shared" si="8"/>
        <v>0.36672883499172304</v>
      </c>
    </row>
    <row r="784" spans="1:3" ht="13.2" x14ac:dyDescent="0.25">
      <c r="A784" s="6">
        <v>782</v>
      </c>
      <c r="B784" s="7">
        <v>88.301010131835938</v>
      </c>
      <c r="C784" s="3">
        <f t="shared" si="8"/>
        <v>0.3376635671963707</v>
      </c>
    </row>
    <row r="785" spans="1:3" ht="13.2" x14ac:dyDescent="0.25">
      <c r="A785" s="6">
        <v>783</v>
      </c>
      <c r="B785" s="7">
        <v>88.000267028808594</v>
      </c>
      <c r="C785" s="3">
        <f t="shared" si="8"/>
        <v>0.33364566898986026</v>
      </c>
    </row>
    <row r="786" spans="1:3" ht="13.2" x14ac:dyDescent="0.25">
      <c r="A786" s="6">
        <v>784</v>
      </c>
      <c r="B786" s="7">
        <v>88.446525573730469</v>
      </c>
      <c r="C786" s="3">
        <f t="shared" si="8"/>
        <v>0.34097931746233823</v>
      </c>
    </row>
    <row r="787" spans="1:3" ht="13.2" x14ac:dyDescent="0.25">
      <c r="A787" s="6">
        <v>785</v>
      </c>
      <c r="B787" s="7">
        <v>89.193534851074219</v>
      </c>
      <c r="C787" s="3">
        <f t="shared" si="8"/>
        <v>0.35670561572290516</v>
      </c>
    </row>
    <row r="788" spans="1:3" ht="13.2" x14ac:dyDescent="0.25">
      <c r="A788" s="6">
        <v>786</v>
      </c>
      <c r="B788" s="7">
        <v>90.22186279296875</v>
      </c>
      <c r="C788" s="3">
        <f t="shared" si="8"/>
        <v>0.36146059965638239</v>
      </c>
    </row>
    <row r="789" spans="1:3" ht="13.2" x14ac:dyDescent="0.25">
      <c r="A789" s="6">
        <v>787</v>
      </c>
      <c r="B789" s="7">
        <v>89.688285827636719</v>
      </c>
      <c r="C789" s="3">
        <f t="shared" si="8"/>
        <v>0.29996724208538611</v>
      </c>
    </row>
    <row r="790" spans="1:3" ht="13.2" x14ac:dyDescent="0.25">
      <c r="A790" s="6">
        <v>788</v>
      </c>
      <c r="B790" s="7">
        <v>88.204002380371094</v>
      </c>
      <c r="C790" s="3">
        <f t="shared" si="8"/>
        <v>0.31823724138385662</v>
      </c>
    </row>
    <row r="791" spans="1:3" ht="13.2" x14ac:dyDescent="0.25">
      <c r="A791" s="6">
        <v>789</v>
      </c>
      <c r="B791" s="7">
        <v>86.244346618652344</v>
      </c>
      <c r="C791" s="3">
        <f t="shared" si="8"/>
        <v>0.25593627866169866</v>
      </c>
    </row>
    <row r="792" spans="1:3" ht="13.2" x14ac:dyDescent="0.25">
      <c r="A792" s="6">
        <v>790</v>
      </c>
      <c r="B792" s="7">
        <v>86.186134338378906</v>
      </c>
      <c r="C792" s="3">
        <f t="shared" si="8"/>
        <v>0.25855640733971291</v>
      </c>
    </row>
    <row r="793" spans="1:3" ht="13.2" x14ac:dyDescent="0.25">
      <c r="A793" s="6">
        <v>791</v>
      </c>
      <c r="B793" s="7">
        <v>84.895866394042969</v>
      </c>
      <c r="C793" s="3">
        <f t="shared" si="8"/>
        <v>0.23035585644902654</v>
      </c>
    </row>
    <row r="794" spans="1:3" ht="13.2" x14ac:dyDescent="0.25">
      <c r="A794" s="6">
        <v>792</v>
      </c>
      <c r="B794" s="7">
        <v>86.962234497070313</v>
      </c>
      <c r="C794" s="3">
        <f t="shared" si="8"/>
        <v>0.25214049300237629</v>
      </c>
    </row>
    <row r="795" spans="1:3" ht="13.2" x14ac:dyDescent="0.25">
      <c r="A795" s="6">
        <v>793</v>
      </c>
      <c r="B795" s="7">
        <v>85.681663513183594</v>
      </c>
      <c r="C795" s="3">
        <f t="shared" si="8"/>
        <v>0.27283592144611862</v>
      </c>
    </row>
    <row r="796" spans="1:3" ht="13.2" x14ac:dyDescent="0.25">
      <c r="A796" s="6">
        <v>794</v>
      </c>
      <c r="B796" s="7">
        <v>87.030143737792969</v>
      </c>
      <c r="C796" s="3">
        <f t="shared" si="8"/>
        <v>0.27738408192071989</v>
      </c>
    </row>
    <row r="797" spans="1:3" ht="13.2" x14ac:dyDescent="0.25">
      <c r="A797" s="6">
        <v>795</v>
      </c>
      <c r="B797" s="7">
        <v>86.952529907226563</v>
      </c>
      <c r="C797" s="3">
        <f t="shared" si="8"/>
        <v>0.26125735310448361</v>
      </c>
    </row>
    <row r="798" spans="1:3" ht="13.2" x14ac:dyDescent="0.25">
      <c r="A798" s="6">
        <v>796</v>
      </c>
      <c r="B798" s="7">
        <v>86.060012817382813</v>
      </c>
      <c r="C798" s="3">
        <f t="shared" si="8"/>
        <v>0.21604048363031331</v>
      </c>
    </row>
    <row r="799" spans="1:3" ht="13.2" x14ac:dyDescent="0.25">
      <c r="A799" s="6">
        <v>797</v>
      </c>
      <c r="B799" s="7">
        <v>87.796539306640625</v>
      </c>
      <c r="C799" s="3">
        <f t="shared" si="8"/>
        <v>0.25128520595707948</v>
      </c>
    </row>
    <row r="800" spans="1:3" ht="13.2" x14ac:dyDescent="0.25">
      <c r="A800" s="6">
        <v>798</v>
      </c>
      <c r="B800" s="7">
        <v>85.148086547851563</v>
      </c>
      <c r="C800" s="3">
        <f t="shared" si="8"/>
        <v>0.21271452603849558</v>
      </c>
    </row>
    <row r="801" spans="1:3" ht="13.2" x14ac:dyDescent="0.25">
      <c r="A801" s="6">
        <v>799</v>
      </c>
      <c r="B801" s="7">
        <v>84.439903259277344</v>
      </c>
      <c r="C801" s="3">
        <f t="shared" si="8"/>
        <v>0.19965619521735078</v>
      </c>
    </row>
    <row r="802" spans="1:3" ht="13.2" x14ac:dyDescent="0.25">
      <c r="A802" s="6">
        <v>800</v>
      </c>
      <c r="B802" s="7">
        <v>86.069717407226563</v>
      </c>
      <c r="C802" s="3">
        <f t="shared" si="8"/>
        <v>0.21065868836410132</v>
      </c>
    </row>
    <row r="803" spans="1:3" ht="13.2" x14ac:dyDescent="0.25">
      <c r="A803" s="6">
        <v>801</v>
      </c>
      <c r="B803" s="7">
        <v>84.255577087402344</v>
      </c>
      <c r="C803" s="3">
        <f t="shared" si="8"/>
        <v>0.1698217464460394</v>
      </c>
    </row>
    <row r="804" spans="1:3" ht="13.2" x14ac:dyDescent="0.25">
      <c r="A804" s="6">
        <v>802</v>
      </c>
      <c r="B804" s="7">
        <v>85.2451171875</v>
      </c>
      <c r="C804" s="3">
        <f t="shared" si="8"/>
        <v>0.18418818083075908</v>
      </c>
    </row>
    <row r="805" spans="1:3" ht="13.2" x14ac:dyDescent="0.25">
      <c r="A805" s="6">
        <v>803</v>
      </c>
      <c r="B805" s="7">
        <v>85.322715759277344</v>
      </c>
      <c r="C805" s="3">
        <f t="shared" si="8"/>
        <v>0.18739074411237455</v>
      </c>
    </row>
    <row r="806" spans="1:3" ht="13.2" x14ac:dyDescent="0.25">
      <c r="A806" s="6">
        <v>804</v>
      </c>
      <c r="B806" s="7">
        <v>84.3428955078125</v>
      </c>
      <c r="C806" s="3">
        <f t="shared" si="8"/>
        <v>0.18943317589700526</v>
      </c>
    </row>
    <row r="807" spans="1:3" ht="13.2" x14ac:dyDescent="0.25">
      <c r="A807" s="6">
        <v>805</v>
      </c>
      <c r="B807" s="7">
        <v>86.09881591796875</v>
      </c>
      <c r="C807" s="3">
        <f t="shared" si="8"/>
        <v>0.18290195704531506</v>
      </c>
    </row>
    <row r="808" spans="1:3" ht="13.2" x14ac:dyDescent="0.25">
      <c r="A808" s="6">
        <v>806</v>
      </c>
      <c r="B808" s="7">
        <v>84.430198669433594</v>
      </c>
      <c r="C808" s="3">
        <f t="shared" si="8"/>
        <v>0.20466424451584189</v>
      </c>
    </row>
    <row r="809" spans="1:3" ht="13.2" x14ac:dyDescent="0.25">
      <c r="A809" s="6">
        <v>807</v>
      </c>
      <c r="B809" s="7">
        <v>81.034751892089844</v>
      </c>
      <c r="C809" s="3">
        <f t="shared" si="8"/>
        <v>0.17604818039006154</v>
      </c>
    </row>
    <row r="810" spans="1:3" ht="13.2" x14ac:dyDescent="0.25">
      <c r="A810" s="6">
        <v>808</v>
      </c>
      <c r="B810" s="7">
        <v>80.57879638671875</v>
      </c>
      <c r="C810" s="3">
        <f t="shared" si="8"/>
        <v>0.15451025357194614</v>
      </c>
    </row>
    <row r="811" spans="1:3" ht="13.2" x14ac:dyDescent="0.25">
      <c r="A811" s="6">
        <v>809</v>
      </c>
      <c r="B811" s="7">
        <v>84.430198669433594</v>
      </c>
      <c r="C811" s="3">
        <f t="shared" si="8"/>
        <v>0.21106986674419925</v>
      </c>
    </row>
    <row r="812" spans="1:3" ht="13.2" x14ac:dyDescent="0.25">
      <c r="A812" s="6">
        <v>810</v>
      </c>
      <c r="B812" s="7">
        <v>86.933135986328125</v>
      </c>
      <c r="C812" s="3">
        <f t="shared" si="8"/>
        <v>0.25053479458501599</v>
      </c>
    </row>
    <row r="813" spans="1:3" ht="13.2" x14ac:dyDescent="0.25">
      <c r="A813" s="6">
        <v>811</v>
      </c>
      <c r="B813" s="7">
        <v>86.448066711425781</v>
      </c>
      <c r="C813" s="3">
        <f t="shared" si="8"/>
        <v>0.25472597853274392</v>
      </c>
    </row>
    <row r="814" spans="1:3" ht="13.2" x14ac:dyDescent="0.25">
      <c r="A814" s="6">
        <v>812</v>
      </c>
      <c r="B814" s="7">
        <v>84.973472595214844</v>
      </c>
      <c r="C814" s="3">
        <f t="shared" si="8"/>
        <v>0.19606103894203253</v>
      </c>
    </row>
    <row r="815" spans="1:3" ht="13.2" x14ac:dyDescent="0.25">
      <c r="A815" s="6">
        <v>813</v>
      </c>
      <c r="B815" s="7">
        <v>86.884628295898438</v>
      </c>
      <c r="C815" s="3">
        <f t="shared" si="8"/>
        <v>0.18587929142437984</v>
      </c>
    </row>
    <row r="816" spans="1:3" ht="13.2" x14ac:dyDescent="0.25">
      <c r="A816" s="6">
        <v>814</v>
      </c>
      <c r="B816" s="7">
        <v>86.797309875488281</v>
      </c>
      <c r="C816" s="3">
        <f t="shared" si="8"/>
        <v>0.17473210251673585</v>
      </c>
    </row>
    <row r="817" spans="1:3" ht="13.2" x14ac:dyDescent="0.25">
      <c r="A817" s="6">
        <v>815</v>
      </c>
      <c r="B817" s="7">
        <v>85.963005065917969</v>
      </c>
      <c r="C817" s="3">
        <f t="shared" si="8"/>
        <v>0.16494255589991125</v>
      </c>
    </row>
    <row r="818" spans="1:3" ht="13.2" x14ac:dyDescent="0.25">
      <c r="A818" s="6">
        <v>816</v>
      </c>
      <c r="B818" s="7">
        <v>85.807777404785156</v>
      </c>
      <c r="C818" s="3">
        <f t="shared" si="8"/>
        <v>0.15829879114800752</v>
      </c>
    </row>
    <row r="819" spans="1:3" ht="13.2" x14ac:dyDescent="0.25">
      <c r="A819" s="6">
        <v>817</v>
      </c>
      <c r="B819" s="7">
        <v>86.884628295898438</v>
      </c>
      <c r="C819" s="3">
        <f t="shared" si="8"/>
        <v>0.1898586826173228</v>
      </c>
    </row>
    <row r="820" spans="1:3" ht="13.2" x14ac:dyDescent="0.25">
      <c r="A820" s="6">
        <v>818</v>
      </c>
      <c r="B820" s="7">
        <v>88.136085510253906</v>
      </c>
      <c r="C820" s="3">
        <f t="shared" si="8"/>
        <v>0.2104259168860188</v>
      </c>
    </row>
    <row r="821" spans="1:3" ht="13.2" x14ac:dyDescent="0.25">
      <c r="A821" s="6">
        <v>819</v>
      </c>
      <c r="B821" s="7">
        <v>87.301780700683594</v>
      </c>
      <c r="C821" s="3">
        <f t="shared" si="8"/>
        <v>0.21207741730924884</v>
      </c>
    </row>
    <row r="822" spans="1:3" ht="13.2" x14ac:dyDescent="0.25">
      <c r="A822" s="6">
        <v>820</v>
      </c>
      <c r="B822" s="7">
        <v>86.157020568847656</v>
      </c>
      <c r="C822" s="3">
        <f t="shared" si="8"/>
        <v>0.2040305632872573</v>
      </c>
    </row>
    <row r="823" spans="1:3" ht="13.2" x14ac:dyDescent="0.25">
      <c r="A823" s="6">
        <v>821</v>
      </c>
      <c r="B823" s="7">
        <v>85.846588134765625</v>
      </c>
      <c r="C823" s="3">
        <f t="shared" si="8"/>
        <v>0.20042095563448054</v>
      </c>
    </row>
    <row r="824" spans="1:3" ht="13.2" x14ac:dyDescent="0.25">
      <c r="A824" s="6">
        <v>822</v>
      </c>
      <c r="B824" s="7">
        <v>85.982406616210938</v>
      </c>
      <c r="C824" s="3">
        <f t="shared" si="8"/>
        <v>0.18903564868606476</v>
      </c>
    </row>
    <row r="825" spans="1:3" ht="13.2" x14ac:dyDescent="0.25">
      <c r="A825" s="6">
        <v>823</v>
      </c>
      <c r="B825" s="7">
        <v>86.855522155761719</v>
      </c>
      <c r="C825" s="3">
        <f t="shared" si="8"/>
        <v>0.21088239568531703</v>
      </c>
    </row>
    <row r="826" spans="1:3" ht="13.2" x14ac:dyDescent="0.25">
      <c r="A826" s="6">
        <v>824</v>
      </c>
      <c r="B826" s="7">
        <v>86.079421997070313</v>
      </c>
      <c r="C826" s="3">
        <f t="shared" si="8"/>
        <v>0.20394548076672642</v>
      </c>
    </row>
    <row r="827" spans="1:3" ht="13.2" x14ac:dyDescent="0.25">
      <c r="A827" s="6">
        <v>825</v>
      </c>
      <c r="B827" s="7">
        <v>84.255577087402344</v>
      </c>
      <c r="C827" s="3">
        <f t="shared" si="8"/>
        <v>0.18103441164790685</v>
      </c>
    </row>
    <row r="828" spans="1:3" ht="13.2" x14ac:dyDescent="0.25">
      <c r="A828" s="6">
        <v>826</v>
      </c>
      <c r="B828" s="7">
        <v>85.274215698242188</v>
      </c>
      <c r="C828" s="3">
        <f t="shared" si="8"/>
        <v>0.19590876370894392</v>
      </c>
    </row>
    <row r="829" spans="1:3" ht="13.2" x14ac:dyDescent="0.25">
      <c r="A829" s="6">
        <v>827</v>
      </c>
      <c r="B829" s="7">
        <v>85.5943603515625</v>
      </c>
      <c r="C829" s="3">
        <f t="shared" si="8"/>
        <v>0.23107065049791298</v>
      </c>
    </row>
    <row r="830" spans="1:3" ht="13.2" x14ac:dyDescent="0.25">
      <c r="A830" s="6">
        <v>828</v>
      </c>
      <c r="B830" s="7">
        <v>85.351829528808594</v>
      </c>
      <c r="C830" s="3">
        <f t="shared" si="8"/>
        <v>0.25184734584506002</v>
      </c>
    </row>
    <row r="831" spans="1:3" ht="13.2" x14ac:dyDescent="0.25">
      <c r="A831" s="6">
        <v>829</v>
      </c>
      <c r="B831" s="7">
        <v>81.384002685546875</v>
      </c>
      <c r="C831" s="3">
        <f t="shared" ref="C831:C894" si="9">LN(B831/B579)</f>
        <v>0.25215675930995141</v>
      </c>
    </row>
    <row r="832" spans="1:3" ht="13.2" x14ac:dyDescent="0.25">
      <c r="A832" s="6">
        <v>830</v>
      </c>
      <c r="B832" s="7">
        <v>82.092193603515625</v>
      </c>
      <c r="C832" s="3">
        <f t="shared" si="9"/>
        <v>0.2014584704114952</v>
      </c>
    </row>
    <row r="833" spans="1:3" ht="13.2" x14ac:dyDescent="0.25">
      <c r="A833" s="6">
        <v>831</v>
      </c>
      <c r="B833" s="7">
        <v>81.490715026855469</v>
      </c>
      <c r="C833" s="3">
        <f t="shared" si="9"/>
        <v>0.17020024611860876</v>
      </c>
    </row>
    <row r="834" spans="1:3" ht="13.2" x14ac:dyDescent="0.25">
      <c r="A834" s="6">
        <v>832</v>
      </c>
      <c r="B834" s="7">
        <v>81.403404235839844</v>
      </c>
      <c r="C834" s="3">
        <f t="shared" si="9"/>
        <v>0.19004858331208951</v>
      </c>
    </row>
    <row r="835" spans="1:3" ht="13.2" x14ac:dyDescent="0.25">
      <c r="A835" s="6">
        <v>833</v>
      </c>
      <c r="B835" s="7">
        <v>81.946678161621094</v>
      </c>
      <c r="C835" s="3">
        <f t="shared" si="9"/>
        <v>0.19104101186781158</v>
      </c>
    </row>
    <row r="836" spans="1:3" ht="13.2" x14ac:dyDescent="0.25">
      <c r="A836" s="6">
        <v>834</v>
      </c>
      <c r="B836" s="7">
        <v>80.666107177734375</v>
      </c>
      <c r="C836" s="3">
        <f t="shared" si="9"/>
        <v>0.16044652890330932</v>
      </c>
    </row>
    <row r="837" spans="1:3" ht="13.2" x14ac:dyDescent="0.25">
      <c r="A837" s="6">
        <v>835</v>
      </c>
      <c r="B837" s="7">
        <v>81.180274963378906</v>
      </c>
      <c r="C837" s="3">
        <f t="shared" si="9"/>
        <v>0.16430127236886</v>
      </c>
    </row>
    <row r="838" spans="1:3" ht="13.2" x14ac:dyDescent="0.25">
      <c r="A838" s="6">
        <v>836</v>
      </c>
      <c r="B838" s="7">
        <v>82.092193603515625</v>
      </c>
      <c r="C838" s="3">
        <f t="shared" si="9"/>
        <v>0.16293327338729791</v>
      </c>
    </row>
    <row r="839" spans="1:3" ht="13.2" x14ac:dyDescent="0.25">
      <c r="A839" s="6">
        <v>837</v>
      </c>
      <c r="B839" s="7">
        <v>81.393699645996094</v>
      </c>
      <c r="C839" s="3">
        <f t="shared" si="9"/>
        <v>0.14525555895030268</v>
      </c>
    </row>
    <row r="840" spans="1:3" ht="13.2" x14ac:dyDescent="0.25">
      <c r="A840" s="6">
        <v>838</v>
      </c>
      <c r="B840" s="7">
        <v>80.132530212402344</v>
      </c>
      <c r="C840" s="3">
        <f t="shared" si="9"/>
        <v>0.13877223708564135</v>
      </c>
    </row>
    <row r="841" spans="1:3" ht="13.2" x14ac:dyDescent="0.25">
      <c r="A841" s="6">
        <v>839</v>
      </c>
      <c r="B841" s="7">
        <v>79.734786987304688</v>
      </c>
      <c r="C841" s="3">
        <f t="shared" si="9"/>
        <v>0.13901312688380973</v>
      </c>
    </row>
    <row r="842" spans="1:3" ht="13.2" x14ac:dyDescent="0.25">
      <c r="A842" s="6">
        <v>840</v>
      </c>
      <c r="B842" s="7">
        <v>79.453445434570313</v>
      </c>
      <c r="C842" s="3">
        <f t="shared" si="9"/>
        <v>0.12452694670520573</v>
      </c>
    </row>
    <row r="843" spans="1:3" ht="13.2" x14ac:dyDescent="0.25">
      <c r="A843" s="6">
        <v>841</v>
      </c>
      <c r="B843" s="7">
        <v>80.161636352539063</v>
      </c>
      <c r="C843" s="3">
        <f t="shared" si="9"/>
        <v>0.14064262391646123</v>
      </c>
    </row>
    <row r="844" spans="1:3" ht="13.2" x14ac:dyDescent="0.25">
      <c r="A844" s="6">
        <v>842</v>
      </c>
      <c r="B844" s="7">
        <v>80.22955322265625</v>
      </c>
      <c r="C844" s="3">
        <f t="shared" si="9"/>
        <v>0.14080408928440144</v>
      </c>
    </row>
    <row r="845" spans="1:3" ht="13.2" x14ac:dyDescent="0.25">
      <c r="A845" s="6">
        <v>843</v>
      </c>
      <c r="B845" s="7">
        <v>80.860137939453125</v>
      </c>
      <c r="C845" s="3">
        <f t="shared" si="9"/>
        <v>0.1401723912720301</v>
      </c>
    </row>
    <row r="846" spans="1:3" ht="13.2" x14ac:dyDescent="0.25">
      <c r="A846" s="6">
        <v>844</v>
      </c>
      <c r="B846" s="7">
        <v>79.598968505859375</v>
      </c>
      <c r="C846" s="3">
        <f t="shared" si="9"/>
        <v>0.10307623814523814</v>
      </c>
    </row>
    <row r="847" spans="1:3" ht="13.2" x14ac:dyDescent="0.25">
      <c r="A847" s="6">
        <v>845</v>
      </c>
      <c r="B847" s="7">
        <v>79.977317810058594</v>
      </c>
      <c r="C847" s="3">
        <f t="shared" si="9"/>
        <v>0.14563535262411653</v>
      </c>
    </row>
    <row r="848" spans="1:3" ht="13.2" x14ac:dyDescent="0.25">
      <c r="A848" s="6">
        <v>846</v>
      </c>
      <c r="B848" s="7">
        <v>80.539993286132813</v>
      </c>
      <c r="C848" s="3">
        <f t="shared" si="9"/>
        <v>0.1650169937973808</v>
      </c>
    </row>
    <row r="849" spans="1:3" ht="13.2" x14ac:dyDescent="0.25">
      <c r="A849" s="6">
        <v>847</v>
      </c>
      <c r="B849" s="7">
        <v>82.528755187988281</v>
      </c>
      <c r="C849" s="3">
        <f t="shared" si="9"/>
        <v>0.16168581710661414</v>
      </c>
    </row>
    <row r="850" spans="1:3" ht="13.2" x14ac:dyDescent="0.25">
      <c r="A850" s="6">
        <v>848</v>
      </c>
      <c r="B850" s="7">
        <v>83.236953735351563</v>
      </c>
      <c r="C850" s="3">
        <f t="shared" si="9"/>
        <v>0.17036650378613871</v>
      </c>
    </row>
    <row r="851" spans="1:3" ht="13.2" x14ac:dyDescent="0.25">
      <c r="A851" s="6">
        <v>849</v>
      </c>
      <c r="B851" s="7">
        <v>82.286224365234375</v>
      </c>
      <c r="C851" s="3">
        <f t="shared" si="9"/>
        <v>0.16927277679610356</v>
      </c>
    </row>
    <row r="852" spans="1:3" ht="13.2" x14ac:dyDescent="0.25">
      <c r="A852" s="6">
        <v>850</v>
      </c>
      <c r="B852" s="7">
        <v>81.277290344238281</v>
      </c>
      <c r="C852" s="3">
        <f t="shared" si="9"/>
        <v>0.18439187019090167</v>
      </c>
    </row>
    <row r="853" spans="1:3" ht="13.2" x14ac:dyDescent="0.25">
      <c r="A853" s="6">
        <v>851</v>
      </c>
      <c r="B853" s="7">
        <v>80.510879516601563</v>
      </c>
      <c r="C853" s="3">
        <f t="shared" si="9"/>
        <v>0.16144375515054907</v>
      </c>
    </row>
    <row r="854" spans="1:3" ht="13.2" x14ac:dyDescent="0.25">
      <c r="A854" s="6">
        <v>852</v>
      </c>
      <c r="B854" s="7">
        <v>79.443740844726563</v>
      </c>
      <c r="C854" s="3">
        <f t="shared" si="9"/>
        <v>0.1487979288875721</v>
      </c>
    </row>
    <row r="855" spans="1:3" ht="13.2" x14ac:dyDescent="0.25">
      <c r="A855" s="6">
        <v>853</v>
      </c>
      <c r="B855" s="7">
        <v>78.851966857910156</v>
      </c>
      <c r="C855" s="3">
        <f t="shared" si="9"/>
        <v>0.13326199132598709</v>
      </c>
    </row>
    <row r="856" spans="1:3" ht="13.2" x14ac:dyDescent="0.25">
      <c r="A856" s="6">
        <v>854</v>
      </c>
      <c r="B856" s="7">
        <v>80.336257934570313</v>
      </c>
      <c r="C856" s="3">
        <f t="shared" si="9"/>
        <v>0.16893832819416826</v>
      </c>
    </row>
    <row r="857" spans="1:3" ht="13.2" x14ac:dyDescent="0.25">
      <c r="A857" s="6">
        <v>855</v>
      </c>
      <c r="B857" s="7">
        <v>79.928810119628906</v>
      </c>
      <c r="C857" s="3">
        <f t="shared" si="9"/>
        <v>0.13814537496978221</v>
      </c>
    </row>
    <row r="858" spans="1:3" ht="13.2" x14ac:dyDescent="0.25">
      <c r="A858" s="6">
        <v>856</v>
      </c>
      <c r="B858" s="7">
        <v>79.036293029785156</v>
      </c>
      <c r="C858" s="3">
        <f t="shared" si="9"/>
        <v>0.16153222411599852</v>
      </c>
    </row>
    <row r="859" spans="1:3" ht="13.2" x14ac:dyDescent="0.25">
      <c r="A859" s="6">
        <v>857</v>
      </c>
      <c r="B859" s="7">
        <v>79.841499328613281</v>
      </c>
      <c r="C859" s="3">
        <f t="shared" si="9"/>
        <v>0.1493378742735236</v>
      </c>
    </row>
    <row r="860" spans="1:3" ht="13.2" x14ac:dyDescent="0.25">
      <c r="A860" s="6">
        <v>858</v>
      </c>
      <c r="B860" s="7">
        <v>77.425880432128906</v>
      </c>
      <c r="C860" s="3">
        <f t="shared" si="9"/>
        <v>0.12992918602324577</v>
      </c>
    </row>
    <row r="861" spans="1:3" ht="13.2" x14ac:dyDescent="0.25">
      <c r="A861" s="6">
        <v>859</v>
      </c>
      <c r="B861" s="7">
        <v>76.562469482421875</v>
      </c>
      <c r="C861" s="3">
        <f t="shared" si="9"/>
        <v>0.1260464321536704</v>
      </c>
    </row>
    <row r="862" spans="1:3" ht="13.2" x14ac:dyDescent="0.25">
      <c r="A862" s="6">
        <v>860</v>
      </c>
      <c r="B862" s="7">
        <v>75.883384704589844</v>
      </c>
      <c r="C862" s="3">
        <f t="shared" si="9"/>
        <v>0.1258062761665967</v>
      </c>
    </row>
    <row r="863" spans="1:3" ht="13.2" x14ac:dyDescent="0.25">
      <c r="A863" s="6">
        <v>861</v>
      </c>
      <c r="B863" s="7">
        <v>76.261734008789063</v>
      </c>
      <c r="C863" s="3">
        <f t="shared" si="9"/>
        <v>8.9672345285880167E-2</v>
      </c>
    </row>
    <row r="864" spans="1:3" ht="13.2" x14ac:dyDescent="0.25">
      <c r="A864" s="6">
        <v>862</v>
      </c>
      <c r="B864" s="7">
        <v>76.125907897949219</v>
      </c>
      <c r="C864" s="3">
        <f t="shared" si="9"/>
        <v>0.10265582260129913</v>
      </c>
    </row>
    <row r="865" spans="1:3" ht="13.2" x14ac:dyDescent="0.25">
      <c r="A865" s="6">
        <v>863</v>
      </c>
      <c r="B865" s="7">
        <v>75.272193908691406</v>
      </c>
      <c r="C865" s="3">
        <f t="shared" si="9"/>
        <v>0.11800475422658437</v>
      </c>
    </row>
    <row r="866" spans="1:3" ht="13.2" x14ac:dyDescent="0.25">
      <c r="A866" s="6">
        <v>864</v>
      </c>
      <c r="B866" s="7">
        <v>72.846870422363281</v>
      </c>
      <c r="C866" s="3">
        <f t="shared" si="9"/>
        <v>7.8707298641630952E-2</v>
      </c>
    </row>
    <row r="867" spans="1:3" ht="13.2" x14ac:dyDescent="0.25">
      <c r="A867" s="6">
        <v>865</v>
      </c>
      <c r="B867" s="7">
        <v>71.197654724121094</v>
      </c>
      <c r="C867" s="3">
        <f t="shared" si="9"/>
        <v>3.7535780261345381E-2</v>
      </c>
    </row>
    <row r="868" spans="1:3" ht="13.2" x14ac:dyDescent="0.25">
      <c r="A868" s="6">
        <v>866</v>
      </c>
      <c r="B868" s="7">
        <v>72.662559509277344</v>
      </c>
      <c r="C868" s="3">
        <f t="shared" si="9"/>
        <v>3.6271630417366515E-2</v>
      </c>
    </row>
    <row r="869" spans="1:3" ht="13.2" x14ac:dyDescent="0.25">
      <c r="A869" s="6">
        <v>867</v>
      </c>
      <c r="B869" s="7">
        <v>71.556617736816406</v>
      </c>
      <c r="C869" s="3">
        <f t="shared" si="9"/>
        <v>-3.9676728688653349E-3</v>
      </c>
    </row>
    <row r="870" spans="1:3" ht="13.2" x14ac:dyDescent="0.25">
      <c r="A870" s="6">
        <v>868</v>
      </c>
      <c r="B870" s="7">
        <v>73.040908813476563</v>
      </c>
      <c r="C870" s="3">
        <f t="shared" si="9"/>
        <v>2.4839636784060488E-2</v>
      </c>
    </row>
    <row r="871" spans="1:3" ht="13.2" x14ac:dyDescent="0.25">
      <c r="A871" s="6">
        <v>869</v>
      </c>
      <c r="B871" s="7">
        <v>72.856575012207031</v>
      </c>
      <c r="C871" s="3">
        <f t="shared" si="9"/>
        <v>1.9635239117944989E-2</v>
      </c>
    </row>
    <row r="872" spans="1:3" ht="13.2" x14ac:dyDescent="0.25">
      <c r="A872" s="6">
        <v>870</v>
      </c>
      <c r="B872" s="7">
        <v>70.450668334960938</v>
      </c>
      <c r="C872" s="3">
        <f t="shared" si="9"/>
        <v>-3.5502088463853373E-2</v>
      </c>
    </row>
    <row r="873" spans="1:3" ht="13.2" x14ac:dyDescent="0.25">
      <c r="A873" s="6">
        <v>871</v>
      </c>
      <c r="B873" s="7">
        <v>67.918632507324219</v>
      </c>
      <c r="C873" s="3">
        <f t="shared" si="9"/>
        <v>-7.706385235791495E-2</v>
      </c>
    </row>
    <row r="874" spans="1:3" ht="13.2" x14ac:dyDescent="0.25">
      <c r="A874" s="6">
        <v>872</v>
      </c>
      <c r="B874" s="7">
        <v>70.993934631347656</v>
      </c>
      <c r="C874" s="3">
        <f t="shared" si="9"/>
        <v>-9.6944009227439371E-2</v>
      </c>
    </row>
    <row r="875" spans="1:3" ht="13.2" x14ac:dyDescent="0.25">
      <c r="A875" s="6">
        <v>873</v>
      </c>
      <c r="B875" s="7">
        <v>73.584175109863281</v>
      </c>
      <c r="C875" s="3">
        <f t="shared" si="9"/>
        <v>-3.2246529238004348E-2</v>
      </c>
    </row>
    <row r="876" spans="1:3" ht="13.2" x14ac:dyDescent="0.25">
      <c r="A876" s="6">
        <v>874</v>
      </c>
      <c r="B876" s="7">
        <v>76.319931030273438</v>
      </c>
      <c r="C876" s="3">
        <f t="shared" si="9"/>
        <v>-1.4418308371443058E-2</v>
      </c>
    </row>
    <row r="877" spans="1:3" ht="13.2" x14ac:dyDescent="0.25">
      <c r="A877" s="6">
        <v>875</v>
      </c>
      <c r="B877" s="7">
        <v>79.792991638183594</v>
      </c>
      <c r="C877" s="3">
        <f t="shared" si="9"/>
        <v>4.012473931641572E-2</v>
      </c>
    </row>
    <row r="878" spans="1:3" ht="13.2" x14ac:dyDescent="0.25">
      <c r="A878" s="6">
        <v>876</v>
      </c>
      <c r="B878" s="7">
        <v>78.366905212402344</v>
      </c>
      <c r="C878" s="3">
        <f t="shared" si="9"/>
        <v>6.0233375300073784E-3</v>
      </c>
    </row>
    <row r="879" spans="1:3" ht="13.2" x14ac:dyDescent="0.25">
      <c r="A879" s="6">
        <v>877</v>
      </c>
      <c r="B879" s="7">
        <v>77.649009704589844</v>
      </c>
      <c r="C879" s="3">
        <f t="shared" si="9"/>
        <v>-3.3021942043046297E-3</v>
      </c>
    </row>
    <row r="880" spans="1:3" ht="13.2" x14ac:dyDescent="0.25">
      <c r="A880" s="6">
        <v>878</v>
      </c>
      <c r="B880" s="7">
        <v>78.279594421386719</v>
      </c>
      <c r="C880" s="3">
        <f t="shared" si="9"/>
        <v>-1.1146231399961466E-2</v>
      </c>
    </row>
    <row r="881" spans="1:3" ht="13.2" x14ac:dyDescent="0.25">
      <c r="A881" s="6">
        <v>879</v>
      </c>
      <c r="B881" s="7">
        <v>78.095268249511719</v>
      </c>
      <c r="C881" s="3">
        <f t="shared" si="9"/>
        <v>-2.0836870658114792E-2</v>
      </c>
    </row>
    <row r="882" spans="1:3" ht="13.2" x14ac:dyDescent="0.25">
      <c r="A882" s="6">
        <v>880</v>
      </c>
      <c r="B882" s="7">
        <v>77.454978942871094</v>
      </c>
      <c r="C882" s="3">
        <f t="shared" si="9"/>
        <v>-5.5545483835010317E-2</v>
      </c>
    </row>
    <row r="883" spans="1:3" ht="13.2" x14ac:dyDescent="0.25">
      <c r="A883" s="6">
        <v>881</v>
      </c>
      <c r="B883" s="7">
        <v>80.219856262207031</v>
      </c>
      <c r="C883" s="3">
        <f t="shared" si="9"/>
        <v>-1.8603241880246223E-2</v>
      </c>
    </row>
    <row r="884" spans="1:3" ht="13.2" x14ac:dyDescent="0.25">
      <c r="A884" s="6">
        <v>882</v>
      </c>
      <c r="B884" s="7">
        <v>80.763114929199219</v>
      </c>
      <c r="C884" s="3">
        <f t="shared" si="9"/>
        <v>-1.5819463964893279E-2</v>
      </c>
    </row>
    <row r="885" spans="1:3" ht="13.2" x14ac:dyDescent="0.25">
      <c r="A885" s="6">
        <v>883</v>
      </c>
      <c r="B885" s="7">
        <v>81.209381103515625</v>
      </c>
      <c r="C885" s="3">
        <f t="shared" si="9"/>
        <v>-4.1204788995848323E-3</v>
      </c>
    </row>
    <row r="886" spans="1:3" ht="13.2" x14ac:dyDescent="0.25">
      <c r="A886" s="6">
        <v>884</v>
      </c>
      <c r="B886" s="7">
        <v>80.94744873046875</v>
      </c>
      <c r="C886" s="3">
        <f t="shared" si="9"/>
        <v>-3.1878138075356305E-2</v>
      </c>
    </row>
    <row r="887" spans="1:3" ht="13.2" x14ac:dyDescent="0.25">
      <c r="A887" s="6">
        <v>885</v>
      </c>
      <c r="B887" s="7">
        <v>82.441444396972656</v>
      </c>
      <c r="C887" s="3">
        <f t="shared" si="9"/>
        <v>8.5971880739635909E-3</v>
      </c>
    </row>
    <row r="888" spans="1:3" ht="13.2" x14ac:dyDescent="0.25">
      <c r="A888" s="6">
        <v>886</v>
      </c>
      <c r="B888" s="7">
        <v>82.460838317871094</v>
      </c>
      <c r="C888" s="3">
        <f t="shared" si="9"/>
        <v>-7.5091786053767817E-3</v>
      </c>
    </row>
    <row r="889" spans="1:3" ht="13.2" x14ac:dyDescent="0.25">
      <c r="A889" s="6">
        <v>887</v>
      </c>
      <c r="B889" s="7">
        <v>82.810089111328125</v>
      </c>
      <c r="C889" s="3">
        <f t="shared" si="9"/>
        <v>-1.5484949352213133E-2</v>
      </c>
    </row>
    <row r="890" spans="1:3" ht="13.2" x14ac:dyDescent="0.25">
      <c r="A890" s="6">
        <v>888</v>
      </c>
      <c r="B890" s="7">
        <v>83.314552307128906</v>
      </c>
      <c r="C890" s="3">
        <f t="shared" si="9"/>
        <v>1.0547487158768939E-3</v>
      </c>
    </row>
    <row r="891" spans="1:3" ht="13.2" x14ac:dyDescent="0.25">
      <c r="A891" s="6">
        <v>889</v>
      </c>
      <c r="B891" s="7">
        <v>83.411567687988281</v>
      </c>
      <c r="C891" s="3">
        <f t="shared" si="9"/>
        <v>3.4888868602055714E-2</v>
      </c>
    </row>
    <row r="892" spans="1:3" ht="13.2" x14ac:dyDescent="0.25">
      <c r="A892" s="6">
        <v>890</v>
      </c>
      <c r="B892" s="7">
        <v>83.43096923828125</v>
      </c>
      <c r="C892" s="3">
        <f t="shared" si="9"/>
        <v>5.5760682350878256E-2</v>
      </c>
    </row>
    <row r="893" spans="1:3" ht="13.2" x14ac:dyDescent="0.25">
      <c r="A893" s="6">
        <v>891</v>
      </c>
      <c r="B893" s="7">
        <v>83.935432434082031</v>
      </c>
      <c r="C893" s="3">
        <f t="shared" si="9"/>
        <v>6.3375528985630897E-2</v>
      </c>
    </row>
    <row r="894" spans="1:3" ht="13.2" x14ac:dyDescent="0.25">
      <c r="A894" s="6">
        <v>892</v>
      </c>
      <c r="B894" s="7">
        <v>84.6727294921875</v>
      </c>
      <c r="C894" s="3">
        <f t="shared" si="9"/>
        <v>6.7490516786488569E-2</v>
      </c>
    </row>
    <row r="895" spans="1:3" ht="13.2" x14ac:dyDescent="0.25">
      <c r="A895" s="6">
        <v>893</v>
      </c>
      <c r="B895" s="7">
        <v>84.663032531738281</v>
      </c>
      <c r="C895" s="3">
        <f t="shared" ref="C895:C958" si="10">LN(B895/B643)</f>
        <v>5.7215150684367749E-2</v>
      </c>
    </row>
    <row r="896" spans="1:3" ht="13.2" x14ac:dyDescent="0.25">
      <c r="A896" s="6">
        <v>894</v>
      </c>
      <c r="B896" s="7">
        <v>84.798851013183594</v>
      </c>
      <c r="C896" s="3">
        <f t="shared" si="10"/>
        <v>5.2938099472909145E-2</v>
      </c>
    </row>
    <row r="897" spans="1:3" ht="13.2" x14ac:dyDescent="0.25">
      <c r="A897" s="6">
        <v>895</v>
      </c>
      <c r="B897" s="7">
        <v>86.273445129394531</v>
      </c>
      <c r="C897" s="3">
        <f t="shared" si="10"/>
        <v>8.8653319832035615E-2</v>
      </c>
    </row>
    <row r="898" spans="1:3" ht="13.2" x14ac:dyDescent="0.25">
      <c r="A898" s="6">
        <v>896</v>
      </c>
      <c r="B898" s="7">
        <v>86.341354370117188</v>
      </c>
      <c r="C898" s="3">
        <f t="shared" si="10"/>
        <v>7.3480450823345048E-2</v>
      </c>
    </row>
    <row r="899" spans="1:3" ht="13.2" x14ac:dyDescent="0.25">
      <c r="A899" s="6">
        <v>897</v>
      </c>
      <c r="B899" s="7">
        <v>86.283149719238281</v>
      </c>
      <c r="C899" s="3">
        <f t="shared" si="10"/>
        <v>4.570875435734767E-2</v>
      </c>
    </row>
    <row r="900" spans="1:3" ht="13.2" x14ac:dyDescent="0.25">
      <c r="A900" s="6">
        <v>898</v>
      </c>
      <c r="B900" s="7">
        <v>84.556327819824219</v>
      </c>
      <c r="C900" s="3">
        <f t="shared" si="10"/>
        <v>2.3975721854180589E-2</v>
      </c>
    </row>
    <row r="901" spans="1:3" ht="13.2" x14ac:dyDescent="0.25">
      <c r="A901" s="6">
        <v>899</v>
      </c>
      <c r="B901" s="7">
        <v>84.449607849121094</v>
      </c>
      <c r="C901" s="3">
        <f t="shared" si="10"/>
        <v>8.9371148793130108E-3</v>
      </c>
    </row>
    <row r="902" spans="1:3" ht="13.2" x14ac:dyDescent="0.25">
      <c r="A902" s="6">
        <v>900</v>
      </c>
      <c r="B902" s="7">
        <v>85.74957275390625</v>
      </c>
      <c r="C902" s="3">
        <f t="shared" si="10"/>
        <v>3.4614331901541007E-2</v>
      </c>
    </row>
    <row r="903" spans="1:3" ht="13.2" x14ac:dyDescent="0.25">
      <c r="A903" s="6">
        <v>901</v>
      </c>
      <c r="B903" s="7">
        <v>85.507049560546875</v>
      </c>
      <c r="C903" s="3">
        <f t="shared" si="10"/>
        <v>5.1254787355879967E-2</v>
      </c>
    </row>
    <row r="904" spans="1:3" ht="13.2" x14ac:dyDescent="0.25">
      <c r="A904" s="6">
        <v>902</v>
      </c>
      <c r="B904" s="7">
        <v>85.895095825195313</v>
      </c>
      <c r="C904" s="3">
        <f t="shared" si="10"/>
        <v>4.5647164123653543E-2</v>
      </c>
    </row>
    <row r="905" spans="1:3" ht="13.2" x14ac:dyDescent="0.25">
      <c r="A905" s="6">
        <v>903</v>
      </c>
      <c r="B905" s="7">
        <v>86.583885192871094</v>
      </c>
      <c r="C905" s="3">
        <f t="shared" si="10"/>
        <v>3.9660834830655974E-2</v>
      </c>
    </row>
    <row r="906" spans="1:3" ht="13.2" x14ac:dyDescent="0.25">
      <c r="A906" s="6">
        <v>904</v>
      </c>
      <c r="B906" s="7">
        <v>84.692138671875</v>
      </c>
      <c r="C906" s="3">
        <f t="shared" si="10"/>
        <v>2.5930454971071572E-2</v>
      </c>
    </row>
    <row r="907" spans="1:3" ht="13.2" x14ac:dyDescent="0.25">
      <c r="A907" s="6">
        <v>905</v>
      </c>
      <c r="B907" s="7">
        <v>84.139167785644531</v>
      </c>
      <c r="C907" s="3">
        <f t="shared" si="10"/>
        <v>1.0556976988628626E-2</v>
      </c>
    </row>
    <row r="908" spans="1:3" ht="13.2" x14ac:dyDescent="0.25">
      <c r="A908" s="6">
        <v>906</v>
      </c>
      <c r="B908" s="7">
        <v>85.526451110839844</v>
      </c>
      <c r="C908" s="3">
        <f t="shared" si="10"/>
        <v>3.6783416386949777E-2</v>
      </c>
    </row>
    <row r="909" spans="1:3" ht="13.2" x14ac:dyDescent="0.25">
      <c r="A909" s="6">
        <v>907</v>
      </c>
      <c r="B909" s="7">
        <v>86.011512756347656</v>
      </c>
      <c r="C909" s="3">
        <f t="shared" si="10"/>
        <v>3.7548245159450849E-2</v>
      </c>
    </row>
    <row r="910" spans="1:3" ht="13.2" x14ac:dyDescent="0.25">
      <c r="A910" s="6">
        <v>908</v>
      </c>
      <c r="B910" s="7">
        <v>85.604057312011719</v>
      </c>
      <c r="C910" s="3">
        <f t="shared" si="10"/>
        <v>3.6873538838664531E-2</v>
      </c>
    </row>
    <row r="911" spans="1:3" ht="13.2" x14ac:dyDescent="0.25">
      <c r="A911" s="6">
        <v>909</v>
      </c>
      <c r="B911" s="7">
        <v>85.060783386230469</v>
      </c>
      <c r="C911" s="3">
        <f t="shared" si="10"/>
        <v>1.891143044709212E-2</v>
      </c>
    </row>
    <row r="912" spans="1:3" ht="13.2" x14ac:dyDescent="0.25">
      <c r="A912" s="6">
        <v>910</v>
      </c>
      <c r="B912" s="7">
        <v>84.721237182617188</v>
      </c>
      <c r="C912" s="3">
        <f t="shared" si="10"/>
        <v>2.8024574835885028E-2</v>
      </c>
    </row>
    <row r="913" spans="1:3" ht="13.2" x14ac:dyDescent="0.25">
      <c r="A913" s="6">
        <v>911</v>
      </c>
      <c r="B913" s="7">
        <v>83.295150756835938</v>
      </c>
      <c r="C913" s="3">
        <f t="shared" si="10"/>
        <v>2.8606287342874841E-2</v>
      </c>
    </row>
    <row r="914" spans="1:3" ht="13.2" x14ac:dyDescent="0.25">
      <c r="A914" s="6">
        <v>912</v>
      </c>
      <c r="B914" s="7">
        <v>84.391395568847656</v>
      </c>
      <c r="C914" s="3">
        <f t="shared" si="10"/>
        <v>6.3554694930955877E-2</v>
      </c>
    </row>
    <row r="915" spans="1:3" ht="13.2" x14ac:dyDescent="0.25">
      <c r="A915" s="6">
        <v>913</v>
      </c>
      <c r="B915" s="7">
        <v>82.150398254394531</v>
      </c>
      <c r="C915" s="3">
        <f t="shared" si="10"/>
        <v>8.4868998780091107E-3</v>
      </c>
    </row>
    <row r="916" spans="1:3" ht="13.2" x14ac:dyDescent="0.25">
      <c r="A916" s="6">
        <v>914</v>
      </c>
      <c r="B916" s="7">
        <v>82.237709045410156</v>
      </c>
      <c r="C916" s="3">
        <f t="shared" si="10"/>
        <v>1.120441529727698E-2</v>
      </c>
    </row>
    <row r="917" spans="1:3" ht="13.2" x14ac:dyDescent="0.25">
      <c r="A917" s="6">
        <v>915</v>
      </c>
      <c r="B917" s="7">
        <v>85.701065063476563</v>
      </c>
      <c r="C917" s="3">
        <f t="shared" si="10"/>
        <v>3.6258164651913651E-2</v>
      </c>
    </row>
    <row r="918" spans="1:3" ht="13.2" x14ac:dyDescent="0.25">
      <c r="A918" s="6">
        <v>916</v>
      </c>
      <c r="B918" s="7">
        <v>83.537689208984375</v>
      </c>
      <c r="C918" s="3">
        <f t="shared" si="10"/>
        <v>-9.9355445253169559E-3</v>
      </c>
    </row>
    <row r="919" spans="1:3" ht="13.2" x14ac:dyDescent="0.25">
      <c r="A919" s="6">
        <v>917</v>
      </c>
      <c r="B919" s="7">
        <v>81.907875061035156</v>
      </c>
      <c r="C919" s="3">
        <f t="shared" si="10"/>
        <v>-3.4644025633082214E-2</v>
      </c>
    </row>
    <row r="920" spans="1:3" ht="13.2" x14ac:dyDescent="0.25">
      <c r="A920" s="6">
        <v>918</v>
      </c>
      <c r="B920" s="7">
        <v>81.616828918457031</v>
      </c>
      <c r="C920" s="3">
        <f t="shared" si="10"/>
        <v>-6.4743416051715422E-2</v>
      </c>
    </row>
    <row r="921" spans="1:3" ht="13.2" x14ac:dyDescent="0.25">
      <c r="A921" s="6">
        <v>919</v>
      </c>
      <c r="B921" s="7">
        <v>82.179512023925781</v>
      </c>
      <c r="C921" s="3">
        <f t="shared" si="10"/>
        <v>-5.5771161727481547E-2</v>
      </c>
    </row>
    <row r="922" spans="1:3" ht="13.2" x14ac:dyDescent="0.25">
      <c r="A922" s="6">
        <v>920</v>
      </c>
      <c r="B922" s="7">
        <v>82.945907592773438</v>
      </c>
      <c r="C922" s="3">
        <f t="shared" si="10"/>
        <v>-4.8148084080304979E-2</v>
      </c>
    </row>
    <row r="923" spans="1:3" ht="13.2" x14ac:dyDescent="0.25">
      <c r="A923" s="6">
        <v>921</v>
      </c>
      <c r="B923" s="7">
        <v>82.208610534667969</v>
      </c>
      <c r="C923" s="3">
        <f t="shared" si="10"/>
        <v>-6.7525130901027353E-2</v>
      </c>
    </row>
    <row r="924" spans="1:3" ht="13.2" x14ac:dyDescent="0.25">
      <c r="A924" s="6">
        <v>922</v>
      </c>
      <c r="B924" s="7">
        <v>84.410797119140625</v>
      </c>
      <c r="C924" s="3">
        <f t="shared" si="10"/>
        <v>-3.922821500603562E-2</v>
      </c>
    </row>
    <row r="925" spans="1:3" ht="13.2" x14ac:dyDescent="0.25">
      <c r="A925" s="6">
        <v>923</v>
      </c>
      <c r="B925" s="7">
        <v>83.333961486816406</v>
      </c>
      <c r="C925" s="3">
        <f t="shared" si="10"/>
        <v>-6.7404543867845626E-2</v>
      </c>
    </row>
    <row r="926" spans="1:3" ht="13.2" x14ac:dyDescent="0.25">
      <c r="A926" s="6">
        <v>924</v>
      </c>
      <c r="B926" s="7">
        <v>81.975776672363281</v>
      </c>
      <c r="C926" s="3">
        <f t="shared" si="10"/>
        <v>-7.5381473442293762E-2</v>
      </c>
    </row>
    <row r="927" spans="1:3" ht="13.2" x14ac:dyDescent="0.25">
      <c r="A927" s="6">
        <v>925</v>
      </c>
      <c r="B927" s="7">
        <v>81.733245849609375</v>
      </c>
      <c r="C927" s="3">
        <f t="shared" si="10"/>
        <v>-7.7691095939250152E-2</v>
      </c>
    </row>
    <row r="928" spans="1:3" ht="13.2" x14ac:dyDescent="0.25">
      <c r="A928" s="6">
        <v>926</v>
      </c>
      <c r="B928" s="7">
        <v>75.970687866210938</v>
      </c>
      <c r="C928" s="3">
        <f t="shared" si="10"/>
        <v>-0.15612785235709389</v>
      </c>
    </row>
    <row r="929" spans="1:3" ht="13.2" x14ac:dyDescent="0.25">
      <c r="A929" s="6">
        <v>927</v>
      </c>
      <c r="B929" s="7">
        <v>75.728157043457031</v>
      </c>
      <c r="C929" s="3">
        <f t="shared" si="10"/>
        <v>-0.15617823147117613</v>
      </c>
    </row>
    <row r="930" spans="1:3" ht="13.2" x14ac:dyDescent="0.25">
      <c r="A930" s="6">
        <v>928</v>
      </c>
      <c r="B930" s="7">
        <v>75.087875366210938</v>
      </c>
      <c r="C930" s="3">
        <f t="shared" si="10"/>
        <v>-0.19686273548878108</v>
      </c>
    </row>
    <row r="931" spans="1:3" ht="13.2" x14ac:dyDescent="0.25">
      <c r="A931" s="6">
        <v>929</v>
      </c>
      <c r="B931" s="7">
        <v>74.641616821289063</v>
      </c>
      <c r="C931" s="3">
        <f t="shared" si="10"/>
        <v>-0.21162590589300376</v>
      </c>
    </row>
    <row r="932" spans="1:3" ht="13.2" x14ac:dyDescent="0.25">
      <c r="A932" s="6">
        <v>930</v>
      </c>
      <c r="B932" s="7">
        <v>76.678886413574219</v>
      </c>
      <c r="C932" s="3">
        <f t="shared" si="10"/>
        <v>-0.18407152087271189</v>
      </c>
    </row>
    <row r="933" spans="1:3" ht="13.2" x14ac:dyDescent="0.25">
      <c r="A933" s="6">
        <v>931</v>
      </c>
      <c r="B933" s="7">
        <v>77.163948059082031</v>
      </c>
      <c r="C933" s="3">
        <f t="shared" si="10"/>
        <v>-0.17536151700711924</v>
      </c>
    </row>
    <row r="934" spans="1:3" ht="13.2" x14ac:dyDescent="0.25">
      <c r="A934" s="6">
        <v>932</v>
      </c>
      <c r="B934" s="7">
        <v>75.272193908691406</v>
      </c>
      <c r="C934" s="3">
        <f t="shared" si="10"/>
        <v>-0.18701608859921717</v>
      </c>
    </row>
    <row r="935" spans="1:3" ht="13.2" x14ac:dyDescent="0.25">
      <c r="A935" s="6">
        <v>933</v>
      </c>
      <c r="B935" s="7">
        <v>75.922187805175781</v>
      </c>
      <c r="C935" s="3">
        <f t="shared" si="10"/>
        <v>-0.17703848429686592</v>
      </c>
    </row>
    <row r="936" spans="1:3" ht="13.2" x14ac:dyDescent="0.25">
      <c r="A936" s="6">
        <v>934</v>
      </c>
      <c r="B936" s="7">
        <v>76.174407958984375</v>
      </c>
      <c r="C936" s="3">
        <f t="shared" si="10"/>
        <v>-0.16636848355306746</v>
      </c>
    </row>
    <row r="937" spans="1:3" ht="13.2" x14ac:dyDescent="0.25">
      <c r="A937" s="6">
        <v>935</v>
      </c>
      <c r="B937" s="7">
        <v>75.572944641113281</v>
      </c>
      <c r="C937" s="3">
        <f t="shared" si="10"/>
        <v>-0.18037415959976291</v>
      </c>
    </row>
    <row r="938" spans="1:3" ht="13.2" x14ac:dyDescent="0.25">
      <c r="A938" s="6">
        <v>936</v>
      </c>
      <c r="B938" s="7">
        <v>78.9683837890625</v>
      </c>
      <c r="C938" s="3">
        <f t="shared" si="10"/>
        <v>-0.12509157268537438</v>
      </c>
    </row>
    <row r="939" spans="1:3" ht="13.2" x14ac:dyDescent="0.25">
      <c r="A939" s="6">
        <v>937</v>
      </c>
      <c r="B939" s="7">
        <v>77.086334228515625</v>
      </c>
      <c r="C939" s="3">
        <f t="shared" si="10"/>
        <v>-0.15596449280277769</v>
      </c>
    </row>
    <row r="940" spans="1:3" ht="13.2" x14ac:dyDescent="0.25">
      <c r="A940" s="6">
        <v>938</v>
      </c>
      <c r="B940" s="7">
        <v>77.193046569824219</v>
      </c>
      <c r="C940" s="3">
        <f t="shared" si="10"/>
        <v>-0.1283947760512926</v>
      </c>
    </row>
    <row r="941" spans="1:3" ht="13.2" x14ac:dyDescent="0.25">
      <c r="A941" s="6">
        <v>939</v>
      </c>
      <c r="B941" s="7">
        <v>76.222923278808594</v>
      </c>
      <c r="C941" s="3">
        <f t="shared" si="10"/>
        <v>-0.13587560260089004</v>
      </c>
    </row>
    <row r="942" spans="1:3" ht="13.2" x14ac:dyDescent="0.25">
      <c r="A942" s="6">
        <v>940</v>
      </c>
      <c r="B942" s="7">
        <v>76.45574951171875</v>
      </c>
      <c r="C942" s="3">
        <f t="shared" si="10"/>
        <v>-0.12752199130842939</v>
      </c>
    </row>
    <row r="943" spans="1:3" ht="13.2" x14ac:dyDescent="0.25">
      <c r="A943" s="6">
        <v>941</v>
      </c>
      <c r="B943" s="7">
        <v>75.699050903320313</v>
      </c>
      <c r="C943" s="3">
        <f t="shared" si="10"/>
        <v>-0.12419657228994034</v>
      </c>
    </row>
    <row r="944" spans="1:3" ht="13.2" x14ac:dyDescent="0.25">
      <c r="A944" s="6">
        <v>942</v>
      </c>
      <c r="B944" s="7">
        <v>75.340110778808594</v>
      </c>
      <c r="C944" s="3">
        <f t="shared" si="10"/>
        <v>-0.13521703800457271</v>
      </c>
    </row>
    <row r="945" spans="1:3" ht="13.2" x14ac:dyDescent="0.25">
      <c r="A945" s="6">
        <v>943</v>
      </c>
      <c r="B945" s="7">
        <v>76.329635620117188</v>
      </c>
      <c r="C945" s="3">
        <f t="shared" si="10"/>
        <v>-0.11162558903475484</v>
      </c>
    </row>
    <row r="946" spans="1:3" ht="13.2" x14ac:dyDescent="0.25">
      <c r="A946" s="6">
        <v>944</v>
      </c>
      <c r="B946" s="7">
        <v>75.301307678222656</v>
      </c>
      <c r="C946" s="3">
        <f t="shared" si="10"/>
        <v>-0.13517423451052779</v>
      </c>
    </row>
    <row r="947" spans="1:3" ht="13.2" x14ac:dyDescent="0.25">
      <c r="A947" s="6">
        <v>945</v>
      </c>
      <c r="B947" s="7">
        <v>76.775894165039063</v>
      </c>
      <c r="C947" s="3">
        <f t="shared" si="10"/>
        <v>-0.10816109432245477</v>
      </c>
    </row>
    <row r="948" spans="1:3" ht="13.2" x14ac:dyDescent="0.25">
      <c r="A948" s="6">
        <v>946</v>
      </c>
      <c r="B948" s="7">
        <v>73.836410522460938</v>
      </c>
      <c r="C948" s="3">
        <f t="shared" si="10"/>
        <v>-0.13006847617082318</v>
      </c>
    </row>
    <row r="949" spans="1:3" ht="13.2" x14ac:dyDescent="0.25">
      <c r="A949" s="6">
        <v>947</v>
      </c>
      <c r="B949" s="7">
        <v>72.51702880859375</v>
      </c>
      <c r="C949" s="3">
        <f t="shared" si="10"/>
        <v>-0.16410487019617692</v>
      </c>
    </row>
    <row r="950" spans="1:3" ht="13.2" x14ac:dyDescent="0.25">
      <c r="A950" s="6">
        <v>948</v>
      </c>
      <c r="B950" s="7">
        <v>70.693199157714844</v>
      </c>
      <c r="C950" s="3">
        <f t="shared" si="10"/>
        <v>-0.17779613832629229</v>
      </c>
    </row>
    <row r="951" spans="1:3" ht="13.2" x14ac:dyDescent="0.25">
      <c r="A951" s="6">
        <v>949</v>
      </c>
      <c r="B951" s="7">
        <v>71.430488586425781</v>
      </c>
      <c r="C951" s="3">
        <f t="shared" si="10"/>
        <v>-0.1551534001305315</v>
      </c>
    </row>
    <row r="952" spans="1:3" ht="13.2" x14ac:dyDescent="0.25">
      <c r="A952" s="6">
        <v>950</v>
      </c>
      <c r="B952" s="7">
        <v>70.508865356445313</v>
      </c>
      <c r="C952" s="3">
        <f t="shared" si="10"/>
        <v>-0.17389090831342208</v>
      </c>
    </row>
    <row r="953" spans="1:3" ht="13.2" x14ac:dyDescent="0.25">
      <c r="A953" s="6">
        <v>951</v>
      </c>
      <c r="B953" s="7">
        <v>71.10064697265625</v>
      </c>
      <c r="C953" s="3">
        <f t="shared" si="10"/>
        <v>-0.17739034569279494</v>
      </c>
    </row>
    <row r="954" spans="1:3" ht="13.2" x14ac:dyDescent="0.25">
      <c r="A954" s="6">
        <v>952</v>
      </c>
      <c r="B954" s="7">
        <v>70.120819091796875</v>
      </c>
      <c r="C954" s="3">
        <f t="shared" si="10"/>
        <v>-0.20287341904608172</v>
      </c>
    </row>
    <row r="955" spans="1:3" ht="13.2" x14ac:dyDescent="0.25">
      <c r="A955" s="6">
        <v>953</v>
      </c>
      <c r="B955" s="7">
        <v>69.179794311523438</v>
      </c>
      <c r="C955" s="3">
        <f t="shared" si="10"/>
        <v>-0.19337909583391069</v>
      </c>
    </row>
    <row r="956" spans="1:3" ht="13.2" x14ac:dyDescent="0.25">
      <c r="A956" s="6">
        <v>954</v>
      </c>
      <c r="B956" s="7">
        <v>69.441734313964844</v>
      </c>
      <c r="C956" s="3">
        <f t="shared" si="10"/>
        <v>-0.18764906496627431</v>
      </c>
    </row>
    <row r="957" spans="1:3" ht="13.2" x14ac:dyDescent="0.25">
      <c r="A957" s="6">
        <v>955</v>
      </c>
      <c r="B957" s="7">
        <v>69.577552795410156</v>
      </c>
      <c r="C957" s="3">
        <f t="shared" si="10"/>
        <v>-0.1968888248889058</v>
      </c>
    </row>
    <row r="958" spans="1:3" ht="13.2" x14ac:dyDescent="0.25">
      <c r="A958" s="6">
        <v>956</v>
      </c>
      <c r="B958" s="7">
        <v>70.314849853515625</v>
      </c>
      <c r="C958" s="3">
        <f t="shared" si="10"/>
        <v>-0.19122011519050283</v>
      </c>
    </row>
    <row r="959" spans="1:3" ht="13.2" x14ac:dyDescent="0.25">
      <c r="A959" s="6">
        <v>957</v>
      </c>
      <c r="B959" s="7">
        <v>69.752174377441406</v>
      </c>
      <c r="C959" s="3">
        <f t="shared" ref="C959:C1022" si="11">LN(B959/B707)</f>
        <v>-0.192677094370651</v>
      </c>
    </row>
    <row r="960" spans="1:3" ht="13.2" x14ac:dyDescent="0.25">
      <c r="A960" s="6">
        <v>958</v>
      </c>
      <c r="B960" s="7">
        <v>69.84918212890625</v>
      </c>
      <c r="C960" s="3">
        <f t="shared" si="11"/>
        <v>-0.17024598295043714</v>
      </c>
    </row>
    <row r="961" spans="1:3" ht="13.2" x14ac:dyDescent="0.25">
      <c r="A961" s="6">
        <v>959</v>
      </c>
      <c r="B961" s="7">
        <v>69.548446655273438</v>
      </c>
      <c r="C961" s="3">
        <f t="shared" si="11"/>
        <v>-0.17954489885966485</v>
      </c>
    </row>
    <row r="962" spans="1:3" ht="13.2" x14ac:dyDescent="0.25">
      <c r="A962" s="6">
        <v>960</v>
      </c>
      <c r="B962" s="7">
        <v>69.829780578613281</v>
      </c>
      <c r="C962" s="3">
        <f t="shared" si="11"/>
        <v>-0.17156907605567992</v>
      </c>
    </row>
    <row r="963" spans="1:3" ht="13.2" x14ac:dyDescent="0.25">
      <c r="A963" s="6">
        <v>961</v>
      </c>
      <c r="B963" s="7">
        <v>69.674560546875</v>
      </c>
      <c r="C963" s="3">
        <f t="shared" si="11"/>
        <v>-0.14291015600741652</v>
      </c>
    </row>
    <row r="964" spans="1:3" ht="13.2" x14ac:dyDescent="0.25">
      <c r="A964" s="6">
        <v>962</v>
      </c>
      <c r="B964" s="7">
        <v>68.830543518066406</v>
      </c>
      <c r="C964" s="3">
        <f t="shared" si="11"/>
        <v>-0.17676961311943953</v>
      </c>
    </row>
    <row r="965" spans="1:3" ht="13.2" x14ac:dyDescent="0.25">
      <c r="A965" s="6">
        <v>963</v>
      </c>
      <c r="B965" s="7">
        <v>69.480537414550781</v>
      </c>
      <c r="C965" s="3">
        <f t="shared" si="11"/>
        <v>-0.16455507802281469</v>
      </c>
    </row>
    <row r="966" spans="1:3" ht="13.2" x14ac:dyDescent="0.25">
      <c r="A966" s="6">
        <v>964</v>
      </c>
      <c r="B966" s="7">
        <v>69.053680419921875</v>
      </c>
      <c r="C966" s="3">
        <f t="shared" si="11"/>
        <v>-0.17622386216110464</v>
      </c>
    </row>
    <row r="967" spans="1:3" ht="13.2" x14ac:dyDescent="0.25">
      <c r="A967" s="6">
        <v>965</v>
      </c>
      <c r="B967" s="7">
        <v>71.546905517578125</v>
      </c>
      <c r="C967" s="3">
        <f t="shared" si="11"/>
        <v>-0.14553363556206766</v>
      </c>
    </row>
    <row r="968" spans="1:3" ht="13.2" x14ac:dyDescent="0.25">
      <c r="A968" s="6">
        <v>966</v>
      </c>
      <c r="B968" s="7">
        <v>75.330406188964844</v>
      </c>
      <c r="C968" s="3">
        <f t="shared" si="11"/>
        <v>-0.12243236524299211</v>
      </c>
    </row>
    <row r="969" spans="1:3" ht="13.2" x14ac:dyDescent="0.25">
      <c r="A969" s="6">
        <v>967</v>
      </c>
      <c r="B969" s="7">
        <v>74.040138244628906</v>
      </c>
      <c r="C969" s="3">
        <f t="shared" si="11"/>
        <v>-0.13165189468211613</v>
      </c>
    </row>
    <row r="970" spans="1:3" ht="13.2" x14ac:dyDescent="0.25">
      <c r="A970" s="6">
        <v>968</v>
      </c>
      <c r="B970" s="7">
        <v>71.673019409179688</v>
      </c>
      <c r="C970" s="3">
        <f t="shared" si="11"/>
        <v>-0.16608001127003774</v>
      </c>
    </row>
    <row r="971" spans="1:3" ht="13.2" x14ac:dyDescent="0.25">
      <c r="A971" s="6">
        <v>969</v>
      </c>
      <c r="B971" s="7">
        <v>75.37890625</v>
      </c>
      <c r="C971" s="3">
        <f t="shared" si="11"/>
        <v>-0.10870612596668741</v>
      </c>
    </row>
    <row r="972" spans="1:3" ht="13.2" x14ac:dyDescent="0.25">
      <c r="A972" s="6">
        <v>970</v>
      </c>
      <c r="B972" s="7">
        <v>76.834098815917969</v>
      </c>
      <c r="C972" s="3">
        <f t="shared" si="11"/>
        <v>-9.1415679669534053E-2</v>
      </c>
    </row>
    <row r="973" spans="1:3" ht="13.2" x14ac:dyDescent="0.25">
      <c r="A973" s="6">
        <v>971</v>
      </c>
      <c r="B973" s="7">
        <v>76.349037170410156</v>
      </c>
      <c r="C973" s="3">
        <f t="shared" si="11"/>
        <v>-0.10809615228184011</v>
      </c>
    </row>
    <row r="974" spans="1:3" ht="13.2" x14ac:dyDescent="0.25">
      <c r="A974" s="6">
        <v>972</v>
      </c>
      <c r="B974" s="7">
        <v>75.136375427246094</v>
      </c>
      <c r="C974" s="3">
        <f t="shared" si="11"/>
        <v>-0.12410677174318327</v>
      </c>
    </row>
    <row r="975" spans="1:3" ht="13.2" x14ac:dyDescent="0.25">
      <c r="A975" s="6">
        <v>973</v>
      </c>
      <c r="B975" s="7">
        <v>74.243865966796875</v>
      </c>
      <c r="C975" s="3">
        <f t="shared" si="11"/>
        <v>-0.15377194748892295</v>
      </c>
    </row>
    <row r="976" spans="1:3" ht="13.2" x14ac:dyDescent="0.25">
      <c r="A976" s="6">
        <v>974</v>
      </c>
      <c r="B976" s="7">
        <v>71.750633239746094</v>
      </c>
      <c r="C976" s="3">
        <f t="shared" si="11"/>
        <v>-0.20719251734164018</v>
      </c>
    </row>
    <row r="977" spans="1:3" ht="13.2" x14ac:dyDescent="0.25">
      <c r="A977" s="6">
        <v>975</v>
      </c>
      <c r="B977" s="7">
        <v>69.781272888183594</v>
      </c>
      <c r="C977" s="3">
        <f t="shared" si="11"/>
        <v>-0.22240744763260811</v>
      </c>
    </row>
    <row r="978" spans="1:3" ht="13.2" x14ac:dyDescent="0.25">
      <c r="A978" s="6">
        <v>976</v>
      </c>
      <c r="B978" s="7">
        <v>71.333480834960938</v>
      </c>
      <c r="C978" s="3">
        <f t="shared" si="11"/>
        <v>-0.19398351436744879</v>
      </c>
    </row>
    <row r="979" spans="1:3" ht="13.2" x14ac:dyDescent="0.25">
      <c r="A979" s="6">
        <v>977</v>
      </c>
      <c r="B979" s="7">
        <v>69.975303649902344</v>
      </c>
      <c r="C979" s="3">
        <f t="shared" si="11"/>
        <v>-0.2294082999507015</v>
      </c>
    </row>
    <row r="980" spans="1:3" ht="13.2" x14ac:dyDescent="0.25">
      <c r="A980" s="6">
        <v>978</v>
      </c>
      <c r="B980" s="7">
        <v>68.597724914550781</v>
      </c>
      <c r="C980" s="3">
        <f t="shared" si="11"/>
        <v>-0.23896163343414922</v>
      </c>
    </row>
    <row r="981" spans="1:3" ht="13.2" x14ac:dyDescent="0.25">
      <c r="A981" s="6">
        <v>979</v>
      </c>
      <c r="B981" s="7">
        <v>67.094024658203125</v>
      </c>
      <c r="C981" s="3">
        <f t="shared" si="11"/>
        <v>-0.26926681123860952</v>
      </c>
    </row>
    <row r="982" spans="1:3" ht="13.2" x14ac:dyDescent="0.25">
      <c r="A982" s="6">
        <v>980</v>
      </c>
      <c r="B982" s="7">
        <v>67.123130798339844</v>
      </c>
      <c r="C982" s="3">
        <f t="shared" si="11"/>
        <v>-0.2769082393428266</v>
      </c>
    </row>
    <row r="983" spans="1:3" ht="13.2" x14ac:dyDescent="0.25">
      <c r="A983" s="6">
        <v>981</v>
      </c>
      <c r="B983" s="7">
        <v>66.64776611328125</v>
      </c>
      <c r="C983" s="3">
        <f t="shared" si="11"/>
        <v>-0.27088747045916423</v>
      </c>
    </row>
    <row r="984" spans="1:3" ht="13.2" x14ac:dyDescent="0.25">
      <c r="A984" s="6">
        <v>982</v>
      </c>
      <c r="B984" s="7">
        <v>64.979148864746094</v>
      </c>
      <c r="C984" s="3">
        <f t="shared" si="11"/>
        <v>-0.30708550924074574</v>
      </c>
    </row>
    <row r="985" spans="1:3" ht="13.2" x14ac:dyDescent="0.25">
      <c r="A985" s="6">
        <v>983</v>
      </c>
      <c r="B985" s="7">
        <v>65.658233642578125</v>
      </c>
      <c r="C985" s="3">
        <f t="shared" si="11"/>
        <v>-0.27810769248017547</v>
      </c>
    </row>
    <row r="986" spans="1:3" ht="13.2" x14ac:dyDescent="0.25">
      <c r="A986" s="6">
        <v>984</v>
      </c>
      <c r="B986" s="7">
        <v>64.14483642578125</v>
      </c>
      <c r="C986" s="3">
        <f t="shared" si="11"/>
        <v>-0.32673940914891803</v>
      </c>
    </row>
    <row r="987" spans="1:3" ht="13.2" x14ac:dyDescent="0.25">
      <c r="A987" s="6">
        <v>985</v>
      </c>
      <c r="B987" s="7">
        <v>64.979148864746094</v>
      </c>
      <c r="C987" s="3">
        <f t="shared" si="11"/>
        <v>-0.30008941997098187</v>
      </c>
    </row>
    <row r="988" spans="1:3" ht="13.2" x14ac:dyDescent="0.25">
      <c r="A988" s="6">
        <v>986</v>
      </c>
      <c r="B988" s="7">
        <v>66.938804626464844</v>
      </c>
      <c r="C988" s="3">
        <f t="shared" si="11"/>
        <v>-0.26244738433954051</v>
      </c>
    </row>
    <row r="989" spans="1:3" ht="13.2" x14ac:dyDescent="0.25">
      <c r="A989" s="6">
        <v>987</v>
      </c>
      <c r="B989" s="7">
        <v>68.743240356445313</v>
      </c>
      <c r="C989" s="3">
        <f t="shared" si="11"/>
        <v>-0.26773142881589534</v>
      </c>
    </row>
    <row r="990" spans="1:3" ht="13.2" x14ac:dyDescent="0.25">
      <c r="A990" s="6">
        <v>988</v>
      </c>
      <c r="B990" s="7">
        <v>67.055221557617188</v>
      </c>
      <c r="C990" s="3">
        <f t="shared" si="11"/>
        <v>-0.28020017183920903</v>
      </c>
    </row>
    <row r="991" spans="1:3" ht="13.2" x14ac:dyDescent="0.25">
      <c r="A991" s="6">
        <v>989</v>
      </c>
      <c r="B991" s="7">
        <v>67.191032409667969</v>
      </c>
      <c r="C991" s="3">
        <f t="shared" si="11"/>
        <v>-0.28971279878568335</v>
      </c>
    </row>
    <row r="992" spans="1:3" ht="13.2" x14ac:dyDescent="0.25">
      <c r="A992" s="6">
        <v>990</v>
      </c>
      <c r="B992" s="7">
        <v>68.2581787109375</v>
      </c>
      <c r="C992" s="3">
        <f t="shared" si="11"/>
        <v>-0.26382803282561557</v>
      </c>
    </row>
    <row r="993" spans="1:3" ht="13.2" x14ac:dyDescent="0.25">
      <c r="A993" s="6">
        <v>991</v>
      </c>
      <c r="B993" s="7">
        <v>66.638069152832031</v>
      </c>
      <c r="C993" s="3">
        <f t="shared" si="11"/>
        <v>-0.28372609783296604</v>
      </c>
    </row>
    <row r="994" spans="1:3" ht="13.2" x14ac:dyDescent="0.25">
      <c r="A994" s="6">
        <v>992</v>
      </c>
      <c r="B994" s="7">
        <v>68.025344848632813</v>
      </c>
      <c r="C994" s="3">
        <f t="shared" si="11"/>
        <v>-0.27951368218147621</v>
      </c>
    </row>
    <row r="995" spans="1:3" ht="13.2" x14ac:dyDescent="0.25">
      <c r="A995" s="6">
        <v>993</v>
      </c>
      <c r="B995" s="7">
        <v>69.480537414550781</v>
      </c>
      <c r="C995" s="3">
        <f t="shared" si="11"/>
        <v>-0.29003596077580079</v>
      </c>
    </row>
    <row r="996" spans="1:3" ht="13.2" x14ac:dyDescent="0.25">
      <c r="A996" s="6">
        <v>994</v>
      </c>
      <c r="B996" s="7">
        <v>70.431259155273438</v>
      </c>
      <c r="C996" s="3">
        <f t="shared" si="11"/>
        <v>-0.26686607663073586</v>
      </c>
    </row>
    <row r="997" spans="1:3" ht="13.2" x14ac:dyDescent="0.25">
      <c r="A997" s="6">
        <v>995</v>
      </c>
      <c r="B997" s="7">
        <v>67.908935546875</v>
      </c>
      <c r="C997" s="3">
        <f t="shared" si="11"/>
        <v>-0.29903680518291231</v>
      </c>
    </row>
    <row r="998" spans="1:3" ht="13.2" x14ac:dyDescent="0.25">
      <c r="A998" s="6">
        <v>996</v>
      </c>
      <c r="B998" s="7">
        <v>67.734306335449219</v>
      </c>
      <c r="C998" s="3">
        <f t="shared" si="11"/>
        <v>-0.32702932211004043</v>
      </c>
    </row>
    <row r="999" spans="1:3" ht="13.2" x14ac:dyDescent="0.25">
      <c r="A999" s="6">
        <v>997</v>
      </c>
      <c r="B999" s="7">
        <v>69.111885070800781</v>
      </c>
      <c r="C999" s="3">
        <f t="shared" si="11"/>
        <v>-0.32062970589425738</v>
      </c>
    </row>
    <row r="1000" spans="1:3" ht="13.2" x14ac:dyDescent="0.25">
      <c r="A1000" s="6">
        <v>998</v>
      </c>
      <c r="B1000" s="7">
        <v>68.61712646484375</v>
      </c>
      <c r="C1000" s="3">
        <f t="shared" si="11"/>
        <v>-0.31592207579264553</v>
      </c>
    </row>
    <row r="1001" spans="1:3" ht="13.2" x14ac:dyDescent="0.25">
      <c r="A1001" s="6">
        <v>999</v>
      </c>
      <c r="B1001" s="7">
        <v>70.431259155273438</v>
      </c>
      <c r="C1001" s="3">
        <f t="shared" si="11"/>
        <v>-0.28972473538191834</v>
      </c>
    </row>
    <row r="1002" spans="1:3" ht="13.2" x14ac:dyDescent="0.25">
      <c r="A1002" s="6">
        <v>1000</v>
      </c>
      <c r="B1002" s="7">
        <v>68.642463684082031</v>
      </c>
      <c r="C1002" s="3">
        <f t="shared" si="11"/>
        <v>-0.32319234732721069</v>
      </c>
    </row>
    <row r="1003" spans="1:3" ht="13.2" x14ac:dyDescent="0.25">
      <c r="A1003" s="6">
        <v>1001</v>
      </c>
      <c r="B1003" s="7">
        <v>69.153556823730469</v>
      </c>
      <c r="C1003" s="3">
        <f t="shared" si="11"/>
        <v>-0.29454591219374893</v>
      </c>
    </row>
    <row r="1004" spans="1:3" ht="13.2" x14ac:dyDescent="0.25">
      <c r="A1004" s="6">
        <v>1002</v>
      </c>
      <c r="B1004" s="7">
        <v>68.465560913085938</v>
      </c>
      <c r="C1004" s="3">
        <f t="shared" si="11"/>
        <v>-0.30506262750700713</v>
      </c>
    </row>
    <row r="1005" spans="1:3" ht="13.2" x14ac:dyDescent="0.25">
      <c r="A1005" s="6">
        <v>1003</v>
      </c>
      <c r="B1005" s="7">
        <v>69.350120544433594</v>
      </c>
      <c r="C1005" s="3">
        <f t="shared" si="11"/>
        <v>-0.28984008929921284</v>
      </c>
    </row>
    <row r="1006" spans="1:3" ht="13.2" x14ac:dyDescent="0.25">
      <c r="A1006" s="6">
        <v>1004</v>
      </c>
      <c r="B1006" s="7">
        <v>70.234687805175781</v>
      </c>
      <c r="C1006" s="3">
        <f t="shared" si="11"/>
        <v>-0.27054830311389205</v>
      </c>
    </row>
    <row r="1007" spans="1:3" ht="13.2" x14ac:dyDescent="0.25">
      <c r="A1007" s="6">
        <v>1005</v>
      </c>
      <c r="B1007" s="7">
        <v>68.691612243652344</v>
      </c>
      <c r="C1007" s="3">
        <f t="shared" si="11"/>
        <v>-0.27092268747912396</v>
      </c>
    </row>
    <row r="1008" spans="1:3" ht="13.2" x14ac:dyDescent="0.25">
      <c r="A1008" s="6">
        <v>1006</v>
      </c>
      <c r="B1008" s="7">
        <v>68.622810363769531</v>
      </c>
      <c r="C1008" s="3">
        <f t="shared" si="11"/>
        <v>-0.28434211294300688</v>
      </c>
    </row>
    <row r="1009" spans="1:3" ht="13.2" x14ac:dyDescent="0.25">
      <c r="A1009" s="6">
        <v>1007</v>
      </c>
      <c r="B1009" s="7">
        <v>68.740760803222656</v>
      </c>
      <c r="C1009" s="3">
        <f t="shared" si="11"/>
        <v>-0.26988431774796839</v>
      </c>
    </row>
    <row r="1010" spans="1:3" ht="13.2" x14ac:dyDescent="0.25">
      <c r="A1010" s="6">
        <v>1008</v>
      </c>
      <c r="B1010" s="7">
        <v>69.084754943847656</v>
      </c>
      <c r="C1010" s="3">
        <f t="shared" si="11"/>
        <v>-0.24013004314503486</v>
      </c>
    </row>
    <row r="1011" spans="1:3" ht="13.2" x14ac:dyDescent="0.25">
      <c r="A1011" s="6">
        <v>1009</v>
      </c>
      <c r="B1011" s="7">
        <v>66.883163452148438</v>
      </c>
      <c r="C1011" s="3">
        <f t="shared" si="11"/>
        <v>-0.2757146221891556</v>
      </c>
    </row>
    <row r="1012" spans="1:3" ht="13.2" x14ac:dyDescent="0.25">
      <c r="A1012" s="6">
        <v>1010</v>
      </c>
      <c r="B1012" s="7">
        <v>65.02557373046875</v>
      </c>
      <c r="C1012" s="3">
        <f t="shared" si="11"/>
        <v>-0.32177591689533136</v>
      </c>
    </row>
    <row r="1013" spans="1:3" ht="13.2" x14ac:dyDescent="0.25">
      <c r="A1013" s="6">
        <v>1011</v>
      </c>
      <c r="B1013" s="7">
        <v>64.868316650390625</v>
      </c>
      <c r="C1013" s="3">
        <f t="shared" si="11"/>
        <v>-0.33516738718348638</v>
      </c>
    </row>
    <row r="1014" spans="1:3" ht="13.2" x14ac:dyDescent="0.25">
      <c r="A1014" s="6">
        <v>1012</v>
      </c>
      <c r="B1014" s="7">
        <v>65.212310791015625</v>
      </c>
      <c r="C1014" s="3">
        <f t="shared" si="11"/>
        <v>-0.33233565583889313</v>
      </c>
    </row>
    <row r="1015" spans="1:3" ht="13.2" x14ac:dyDescent="0.25">
      <c r="A1015" s="6">
        <v>1013</v>
      </c>
      <c r="B1015" s="7">
        <v>64.268775939941406</v>
      </c>
      <c r="C1015" s="3">
        <f t="shared" si="11"/>
        <v>-0.34530817145537923</v>
      </c>
    </row>
    <row r="1016" spans="1:3" ht="13.2" x14ac:dyDescent="0.25">
      <c r="A1016" s="6">
        <v>1014</v>
      </c>
      <c r="B1016" s="7">
        <v>64.367057800292969</v>
      </c>
      <c r="C1016" s="3">
        <f t="shared" si="11"/>
        <v>-0.3335754513140865</v>
      </c>
    </row>
    <row r="1017" spans="1:3" ht="13.2" x14ac:dyDescent="0.25">
      <c r="A1017" s="6">
        <v>1015</v>
      </c>
      <c r="B1017" s="7">
        <v>62.706035614013672</v>
      </c>
      <c r="C1017" s="3">
        <f t="shared" si="11"/>
        <v>-0.38340583654072935</v>
      </c>
    </row>
    <row r="1018" spans="1:3" ht="13.2" x14ac:dyDescent="0.25">
      <c r="A1018" s="6">
        <v>1016</v>
      </c>
      <c r="B1018" s="7">
        <v>62.932090759277344</v>
      </c>
      <c r="C1018" s="3">
        <f t="shared" si="11"/>
        <v>-0.36536364660073561</v>
      </c>
    </row>
    <row r="1019" spans="1:3" ht="13.2" x14ac:dyDescent="0.25">
      <c r="A1019" s="6">
        <v>1017</v>
      </c>
      <c r="B1019" s="7">
        <v>67.384414672851563</v>
      </c>
      <c r="C1019" s="3">
        <f t="shared" si="11"/>
        <v>-0.28657525343970514</v>
      </c>
    </row>
    <row r="1020" spans="1:3" ht="13.2" x14ac:dyDescent="0.25">
      <c r="A1020" s="6">
        <v>1018</v>
      </c>
      <c r="B1020" s="7">
        <v>69.448410034179688</v>
      </c>
      <c r="C1020" s="3">
        <f t="shared" si="11"/>
        <v>-0.25748532761216125</v>
      </c>
    </row>
    <row r="1021" spans="1:3" ht="13.2" x14ac:dyDescent="0.25">
      <c r="A1021" s="6">
        <v>1019</v>
      </c>
      <c r="B1021" s="7">
        <v>68.514701843261719</v>
      </c>
      <c r="C1021" s="3">
        <f t="shared" si="11"/>
        <v>-0.26734302430581558</v>
      </c>
    </row>
    <row r="1022" spans="1:3" ht="13.2" x14ac:dyDescent="0.25">
      <c r="A1022" s="6">
        <v>1020</v>
      </c>
      <c r="B1022" s="7">
        <v>66.725906372070313</v>
      </c>
      <c r="C1022" s="3">
        <f t="shared" si="11"/>
        <v>-0.28803751879325057</v>
      </c>
    </row>
    <row r="1023" spans="1:3" ht="13.2" x14ac:dyDescent="0.25">
      <c r="A1023" s="6">
        <v>1021</v>
      </c>
      <c r="B1023" s="7">
        <v>69.684295654296875</v>
      </c>
      <c r="C1023" s="3">
        <f t="shared" ref="C1023:C1086" si="12">LN(B1023/B771)</f>
        <v>-0.26065956045848698</v>
      </c>
    </row>
    <row r="1024" spans="1:3" ht="13.2" x14ac:dyDescent="0.25">
      <c r="A1024" s="6">
        <v>1022</v>
      </c>
      <c r="B1024" s="7">
        <v>68.229667663574219</v>
      </c>
      <c r="C1024" s="3">
        <f t="shared" si="12"/>
        <v>-0.29168205736303682</v>
      </c>
    </row>
    <row r="1025" spans="1:3" ht="13.2" x14ac:dyDescent="0.25">
      <c r="A1025" s="6">
        <v>1023</v>
      </c>
      <c r="B1025" s="7">
        <v>68.141220092773438</v>
      </c>
      <c r="C1025" s="3">
        <f t="shared" si="12"/>
        <v>-0.27691898836573253</v>
      </c>
    </row>
    <row r="1026" spans="1:3" ht="13.2" x14ac:dyDescent="0.25">
      <c r="A1026" s="6">
        <v>1024</v>
      </c>
      <c r="B1026" s="7">
        <v>66.372077941894531</v>
      </c>
      <c r="C1026" s="3">
        <f t="shared" si="12"/>
        <v>-0.29073478914248857</v>
      </c>
    </row>
    <row r="1027" spans="1:3" ht="13.2" x14ac:dyDescent="0.25">
      <c r="A1027" s="6">
        <v>1025</v>
      </c>
      <c r="B1027" s="7">
        <v>65.900314331054688</v>
      </c>
      <c r="C1027" s="3">
        <f t="shared" si="12"/>
        <v>-0.32077318880099465</v>
      </c>
    </row>
    <row r="1028" spans="1:3" ht="13.2" x14ac:dyDescent="0.25">
      <c r="A1028" s="6">
        <v>1026</v>
      </c>
      <c r="B1028" s="7">
        <v>65.566139221191406</v>
      </c>
      <c r="C1028" s="3">
        <f t="shared" si="12"/>
        <v>-0.31662845463117345</v>
      </c>
    </row>
    <row r="1029" spans="1:3" ht="13.2" x14ac:dyDescent="0.25">
      <c r="A1029" s="6">
        <v>1027</v>
      </c>
      <c r="B1029" s="7">
        <v>68.495040893554688</v>
      </c>
      <c r="C1029" s="3">
        <f t="shared" si="12"/>
        <v>-0.26622006776405832</v>
      </c>
    </row>
    <row r="1030" spans="1:3" ht="13.2" x14ac:dyDescent="0.25">
      <c r="A1030" s="6">
        <v>1028</v>
      </c>
      <c r="B1030" s="7">
        <v>69.084754943847656</v>
      </c>
      <c r="C1030" s="3">
        <f t="shared" si="12"/>
        <v>-0.25514809545044942</v>
      </c>
    </row>
    <row r="1031" spans="1:3" ht="13.2" x14ac:dyDescent="0.25">
      <c r="A1031" s="6">
        <v>1029</v>
      </c>
      <c r="B1031" s="7">
        <v>69.330467224121094</v>
      </c>
      <c r="C1031" s="3">
        <f t="shared" si="12"/>
        <v>-0.25083573283295985</v>
      </c>
    </row>
    <row r="1032" spans="1:3" ht="13.2" x14ac:dyDescent="0.25">
      <c r="A1032" s="6">
        <v>1030</v>
      </c>
      <c r="B1032" s="7">
        <v>66.834022521972656</v>
      </c>
      <c r="C1032" s="3">
        <f t="shared" si="12"/>
        <v>-0.29380340455713738</v>
      </c>
    </row>
    <row r="1033" spans="1:3" ht="13.2" x14ac:dyDescent="0.25">
      <c r="A1033" s="6">
        <v>1031</v>
      </c>
      <c r="B1033" s="7">
        <v>64.642257690429688</v>
      </c>
      <c r="C1033" s="3">
        <f t="shared" si="12"/>
        <v>-0.31572115858240452</v>
      </c>
    </row>
    <row r="1034" spans="1:3" ht="13.2" x14ac:dyDescent="0.25">
      <c r="A1034" s="6">
        <v>1032</v>
      </c>
      <c r="B1034" s="7">
        <v>63.610263824462891</v>
      </c>
      <c r="C1034" s="3">
        <f t="shared" si="12"/>
        <v>-0.33672756416296118</v>
      </c>
    </row>
    <row r="1035" spans="1:3" ht="13.2" x14ac:dyDescent="0.25">
      <c r="A1035" s="6">
        <v>1033</v>
      </c>
      <c r="B1035" s="7">
        <v>64.288436889648438</v>
      </c>
      <c r="C1035" s="3">
        <f t="shared" si="12"/>
        <v>-0.31329851790635332</v>
      </c>
    </row>
    <row r="1036" spans="1:3" ht="13.2" x14ac:dyDescent="0.25">
      <c r="A1036" s="6">
        <v>1034</v>
      </c>
      <c r="B1036" s="7">
        <v>64.249114990234375</v>
      </c>
      <c r="C1036" s="3">
        <f t="shared" si="12"/>
        <v>-0.31798359810672211</v>
      </c>
    </row>
    <row r="1037" spans="1:3" ht="13.2" x14ac:dyDescent="0.25">
      <c r="A1037" s="6">
        <v>1035</v>
      </c>
      <c r="B1037" s="7">
        <v>63.502147674560547</v>
      </c>
      <c r="C1037" s="3">
        <f t="shared" si="12"/>
        <v>-0.32626612191855231</v>
      </c>
    </row>
    <row r="1038" spans="1:3" ht="13.2" x14ac:dyDescent="0.25">
      <c r="A1038" s="6">
        <v>1036</v>
      </c>
      <c r="B1038" s="7">
        <v>65.438369750976563</v>
      </c>
      <c r="C1038" s="3">
        <f t="shared" si="12"/>
        <v>-0.3012893587217273</v>
      </c>
    </row>
    <row r="1039" spans="1:3" ht="13.2" x14ac:dyDescent="0.25">
      <c r="A1039" s="6">
        <v>1037</v>
      </c>
      <c r="B1039" s="7">
        <v>62.077011108398438</v>
      </c>
      <c r="C1039" s="3">
        <f t="shared" si="12"/>
        <v>-0.36243282880068989</v>
      </c>
    </row>
    <row r="1040" spans="1:3" ht="13.2" x14ac:dyDescent="0.25">
      <c r="A1040" s="6">
        <v>1038</v>
      </c>
      <c r="B1040" s="7">
        <v>62.312896728515625</v>
      </c>
      <c r="C1040" s="3">
        <f t="shared" si="12"/>
        <v>-0.37010336453743931</v>
      </c>
    </row>
    <row r="1041" spans="1:3" ht="13.2" x14ac:dyDescent="0.25">
      <c r="A1041" s="6">
        <v>1039</v>
      </c>
      <c r="B1041" s="7">
        <v>62.204780578613281</v>
      </c>
      <c r="C1041" s="3">
        <f t="shared" si="12"/>
        <v>-0.36590831278804337</v>
      </c>
    </row>
    <row r="1042" spans="1:3" ht="13.2" x14ac:dyDescent="0.25">
      <c r="A1042" s="6">
        <v>1040</v>
      </c>
      <c r="B1042" s="7">
        <v>61.919754028320313</v>
      </c>
      <c r="C1042" s="3">
        <f t="shared" si="12"/>
        <v>-0.35381308358269764</v>
      </c>
    </row>
    <row r="1043" spans="1:3" ht="13.2" x14ac:dyDescent="0.25">
      <c r="A1043" s="6">
        <v>1041</v>
      </c>
      <c r="B1043" s="7">
        <v>62.332550048828125</v>
      </c>
      <c r="C1043" s="3">
        <f t="shared" si="12"/>
        <v>-0.32470074526685655</v>
      </c>
    </row>
    <row r="1044" spans="1:3" ht="13.2" x14ac:dyDescent="0.25">
      <c r="A1044" s="6">
        <v>1042</v>
      </c>
      <c r="B1044" s="7">
        <v>62.627410888671875</v>
      </c>
      <c r="C1044" s="3">
        <f t="shared" si="12"/>
        <v>-0.31930625429966863</v>
      </c>
    </row>
    <row r="1045" spans="1:3" ht="13.2" x14ac:dyDescent="0.25">
      <c r="A1045" s="6">
        <v>1043</v>
      </c>
      <c r="B1045" s="7">
        <v>62.902606964111328</v>
      </c>
      <c r="C1045" s="3">
        <f t="shared" si="12"/>
        <v>-0.29983779517594272</v>
      </c>
    </row>
    <row r="1046" spans="1:3" ht="13.2" x14ac:dyDescent="0.25">
      <c r="A1046" s="6">
        <v>1044</v>
      </c>
      <c r="B1046" s="7">
        <v>62.912437438964844</v>
      </c>
      <c r="C1046" s="3">
        <f t="shared" si="12"/>
        <v>-0.32373006048275643</v>
      </c>
    </row>
    <row r="1047" spans="1:3" ht="13.2" x14ac:dyDescent="0.25">
      <c r="A1047" s="6">
        <v>1045</v>
      </c>
      <c r="B1047" s="7">
        <v>63.836315155029297</v>
      </c>
      <c r="C1047" s="3">
        <f t="shared" si="12"/>
        <v>-0.2943166098979772</v>
      </c>
    </row>
    <row r="1048" spans="1:3" ht="13.2" x14ac:dyDescent="0.25">
      <c r="A1048" s="6">
        <v>1046</v>
      </c>
      <c r="B1048" s="7">
        <v>63.7576904296875</v>
      </c>
      <c r="C1048" s="3">
        <f t="shared" si="12"/>
        <v>-0.31116472743509171</v>
      </c>
    </row>
    <row r="1049" spans="1:3" ht="13.2" x14ac:dyDescent="0.25">
      <c r="A1049" s="6">
        <v>1047</v>
      </c>
      <c r="B1049" s="7">
        <v>63.826492309570313</v>
      </c>
      <c r="C1049" s="3">
        <f t="shared" si="12"/>
        <v>-0.30919399236791562</v>
      </c>
    </row>
    <row r="1050" spans="1:3" ht="13.2" x14ac:dyDescent="0.25">
      <c r="A1050" s="6">
        <v>1048</v>
      </c>
      <c r="B1050" s="7">
        <v>63.620094299316406</v>
      </c>
      <c r="C1050" s="3">
        <f t="shared" si="12"/>
        <v>-0.30211550779842461</v>
      </c>
    </row>
    <row r="1051" spans="1:3" ht="13.2" x14ac:dyDescent="0.25">
      <c r="A1051" s="6">
        <v>1049</v>
      </c>
      <c r="B1051" s="7">
        <v>62.578262329101563</v>
      </c>
      <c r="C1051" s="3">
        <f t="shared" si="12"/>
        <v>-0.33860411355949616</v>
      </c>
    </row>
    <row r="1052" spans="1:3" ht="13.2" x14ac:dyDescent="0.25">
      <c r="A1052" s="6">
        <v>1050</v>
      </c>
      <c r="B1052" s="7">
        <v>63.964088439941406</v>
      </c>
      <c r="C1052" s="3">
        <f t="shared" si="12"/>
        <v>-0.28607012756206562</v>
      </c>
    </row>
    <row r="1053" spans="1:3" ht="13.2" x14ac:dyDescent="0.25">
      <c r="A1053" s="6">
        <v>1051</v>
      </c>
      <c r="B1053" s="7">
        <v>63.816661834716797</v>
      </c>
      <c r="C1053" s="3">
        <f t="shared" si="12"/>
        <v>-0.28002576376626481</v>
      </c>
    </row>
    <row r="1054" spans="1:3" ht="13.2" x14ac:dyDescent="0.25">
      <c r="A1054" s="6">
        <v>1052</v>
      </c>
      <c r="B1054" s="7">
        <v>63.964088439941406</v>
      </c>
      <c r="C1054" s="3">
        <f t="shared" si="12"/>
        <v>-0.29683582761789074</v>
      </c>
    </row>
    <row r="1055" spans="1:3" ht="13.2" x14ac:dyDescent="0.25">
      <c r="A1055" s="6">
        <v>1053</v>
      </c>
      <c r="B1055" s="7">
        <v>64.327743530273438</v>
      </c>
      <c r="C1055" s="3">
        <f t="shared" si="12"/>
        <v>-0.26986375559334919</v>
      </c>
    </row>
    <row r="1056" spans="1:3" ht="13.2" x14ac:dyDescent="0.25">
      <c r="A1056" s="6">
        <v>1054</v>
      </c>
      <c r="B1056" s="7">
        <v>67.836524963378906</v>
      </c>
      <c r="C1056" s="3">
        <f t="shared" si="12"/>
        <v>-0.22843007196545251</v>
      </c>
    </row>
    <row r="1057" spans="1:3" ht="13.2" x14ac:dyDescent="0.25">
      <c r="A1057" s="6">
        <v>1055</v>
      </c>
      <c r="B1057" s="7">
        <v>66.391738891601563</v>
      </c>
      <c r="C1057" s="3">
        <f t="shared" si="12"/>
        <v>-0.25086808891490925</v>
      </c>
    </row>
    <row r="1058" spans="1:3" ht="13.2" x14ac:dyDescent="0.25">
      <c r="A1058" s="6">
        <v>1056</v>
      </c>
      <c r="B1058" s="7">
        <v>67.020767211914063</v>
      </c>
      <c r="C1058" s="3">
        <f t="shared" si="12"/>
        <v>-0.22988804934933033</v>
      </c>
    </row>
    <row r="1059" spans="1:3" ht="13.2" x14ac:dyDescent="0.25">
      <c r="A1059" s="6">
        <v>1057</v>
      </c>
      <c r="B1059" s="7">
        <v>63.816661834716797</v>
      </c>
      <c r="C1059" s="3">
        <f t="shared" si="12"/>
        <v>-0.29948134539549676</v>
      </c>
    </row>
    <row r="1060" spans="1:3" ht="13.2" x14ac:dyDescent="0.25">
      <c r="A1060" s="6">
        <v>1058</v>
      </c>
      <c r="B1060" s="7">
        <v>64.465339660644531</v>
      </c>
      <c r="C1060" s="3">
        <f t="shared" si="12"/>
        <v>-0.2697974319809574</v>
      </c>
    </row>
    <row r="1061" spans="1:3" ht="13.2" x14ac:dyDescent="0.25">
      <c r="A1061" s="6">
        <v>1059</v>
      </c>
      <c r="B1061" s="7">
        <v>64.337570190429688</v>
      </c>
      <c r="C1061" s="3">
        <f t="shared" si="12"/>
        <v>-0.23073434241718208</v>
      </c>
    </row>
    <row r="1062" spans="1:3" ht="13.2" x14ac:dyDescent="0.25">
      <c r="A1062" s="6">
        <v>1060</v>
      </c>
      <c r="B1062" s="7">
        <v>65.851165771484375</v>
      </c>
      <c r="C1062" s="3">
        <f t="shared" si="12"/>
        <v>-0.20183841130597932</v>
      </c>
    </row>
    <row r="1063" spans="1:3" ht="13.2" x14ac:dyDescent="0.25">
      <c r="A1063" s="6">
        <v>1061</v>
      </c>
      <c r="B1063" s="7">
        <v>63.983745574951172</v>
      </c>
      <c r="C1063" s="3">
        <f t="shared" si="12"/>
        <v>-0.27729606603441115</v>
      </c>
    </row>
    <row r="1064" spans="1:3" ht="13.2" x14ac:dyDescent="0.25">
      <c r="A1064" s="6">
        <v>1062</v>
      </c>
      <c r="B1064" s="7">
        <v>65.841339111328125</v>
      </c>
      <c r="C1064" s="3">
        <f t="shared" si="12"/>
        <v>-0.27789137625197652</v>
      </c>
    </row>
    <row r="1065" spans="1:3" ht="13.2" x14ac:dyDescent="0.25">
      <c r="A1065" s="6">
        <v>1063</v>
      </c>
      <c r="B1065" s="7">
        <v>66.411392211914063</v>
      </c>
      <c r="C1065" s="3">
        <f t="shared" si="12"/>
        <v>-0.26367523757310751</v>
      </c>
    </row>
    <row r="1066" spans="1:3" ht="13.2" x14ac:dyDescent="0.25">
      <c r="A1066" s="6">
        <v>1064</v>
      </c>
      <c r="B1066" s="7">
        <v>67.404075622558594</v>
      </c>
      <c r="C1066" s="3">
        <f t="shared" si="12"/>
        <v>-0.231633635398377</v>
      </c>
    </row>
    <row r="1067" spans="1:3" ht="13.2" x14ac:dyDescent="0.25">
      <c r="A1067" s="6">
        <v>1065</v>
      </c>
      <c r="B1067" s="7">
        <v>67.895500183105469</v>
      </c>
      <c r="C1067" s="3">
        <f t="shared" si="12"/>
        <v>-0.24661136591609323</v>
      </c>
    </row>
    <row r="1068" spans="1:3" ht="13.2" x14ac:dyDescent="0.25">
      <c r="A1068" s="6">
        <v>1066</v>
      </c>
      <c r="B1068" s="7">
        <v>67.433563232421875</v>
      </c>
      <c r="C1068" s="3">
        <f t="shared" si="12"/>
        <v>-0.2524327641887677</v>
      </c>
    </row>
    <row r="1069" spans="1:3" ht="13.2" x14ac:dyDescent="0.25">
      <c r="A1069" s="6">
        <v>1067</v>
      </c>
      <c r="B1069" s="7">
        <v>69.045440673828125</v>
      </c>
      <c r="C1069" s="3">
        <f t="shared" si="12"/>
        <v>-0.21915218171844092</v>
      </c>
    </row>
    <row r="1070" spans="1:3" ht="13.2" x14ac:dyDescent="0.25">
      <c r="A1070" s="6">
        <v>1068</v>
      </c>
      <c r="B1070" s="7">
        <v>68.809555053710938</v>
      </c>
      <c r="C1070" s="3">
        <f t="shared" si="12"/>
        <v>-0.22076703123847838</v>
      </c>
    </row>
    <row r="1071" spans="1:3" ht="13.2" x14ac:dyDescent="0.25">
      <c r="A1071" s="6">
        <v>1069</v>
      </c>
      <c r="B1071" s="7">
        <v>68.278816223144531</v>
      </c>
      <c r="C1071" s="3">
        <f t="shared" si="12"/>
        <v>-0.2409815663683274</v>
      </c>
    </row>
    <row r="1072" spans="1:3" ht="13.2" x14ac:dyDescent="0.25">
      <c r="A1072" s="6">
        <v>1070</v>
      </c>
      <c r="B1072" s="7">
        <v>68.691612243652344</v>
      </c>
      <c r="C1072" s="3">
        <f t="shared" si="12"/>
        <v>-0.24925494699416229</v>
      </c>
    </row>
    <row r="1073" spans="1:3" ht="13.2" x14ac:dyDescent="0.25">
      <c r="A1073" s="6">
        <v>1071</v>
      </c>
      <c r="B1073" s="7">
        <v>69.20269775390625</v>
      </c>
      <c r="C1073" s="3">
        <f t="shared" si="12"/>
        <v>-0.23233101337854387</v>
      </c>
    </row>
    <row r="1074" spans="1:3" ht="13.2" x14ac:dyDescent="0.25">
      <c r="A1074" s="6">
        <v>1072</v>
      </c>
      <c r="B1074" s="7">
        <v>69.19287109375</v>
      </c>
      <c r="C1074" s="3">
        <f t="shared" si="12"/>
        <v>-0.21927361359685082</v>
      </c>
    </row>
    <row r="1075" spans="1:3" ht="13.2" x14ac:dyDescent="0.25">
      <c r="A1075" s="6">
        <v>1073</v>
      </c>
      <c r="B1075" s="7">
        <v>67.954475402832031</v>
      </c>
      <c r="C1075" s="3">
        <f t="shared" si="12"/>
        <v>-0.23372384277983901</v>
      </c>
    </row>
    <row r="1076" spans="1:3" ht="13.2" x14ac:dyDescent="0.25">
      <c r="A1076" s="6">
        <v>1074</v>
      </c>
      <c r="B1076" s="7">
        <v>67.345100402832031</v>
      </c>
      <c r="C1076" s="3">
        <f t="shared" si="12"/>
        <v>-0.24431254917272413</v>
      </c>
    </row>
    <row r="1077" spans="1:3" ht="13.2" x14ac:dyDescent="0.25">
      <c r="A1077" s="6">
        <v>1075</v>
      </c>
      <c r="B1077" s="7">
        <v>67.561332702636719</v>
      </c>
      <c r="C1077" s="3">
        <f t="shared" si="12"/>
        <v>-0.25121025539246489</v>
      </c>
    </row>
    <row r="1078" spans="1:3" ht="13.2" x14ac:dyDescent="0.25">
      <c r="A1078" s="6">
        <v>1076</v>
      </c>
      <c r="B1078" s="7">
        <v>68.996292114257813</v>
      </c>
      <c r="C1078" s="3">
        <f t="shared" si="12"/>
        <v>-0.22121761599405607</v>
      </c>
    </row>
    <row r="1079" spans="1:3" ht="13.2" x14ac:dyDescent="0.25">
      <c r="A1079" s="6">
        <v>1077</v>
      </c>
      <c r="B1079" s="7">
        <v>66.598136901855469</v>
      </c>
      <c r="C1079" s="3">
        <f t="shared" si="12"/>
        <v>-0.2351781612162312</v>
      </c>
    </row>
    <row r="1080" spans="1:3" ht="13.2" x14ac:dyDescent="0.25">
      <c r="A1080" s="6">
        <v>1078</v>
      </c>
      <c r="B1080" s="7">
        <v>66.942131042480469</v>
      </c>
      <c r="C1080" s="3">
        <f t="shared" si="12"/>
        <v>-0.24204360054925977</v>
      </c>
    </row>
    <row r="1081" spans="1:3" ht="13.2" x14ac:dyDescent="0.25">
      <c r="A1081" s="6">
        <v>1079</v>
      </c>
      <c r="B1081" s="7">
        <v>68.308296203613281</v>
      </c>
      <c r="C1081" s="3">
        <f t="shared" si="12"/>
        <v>-0.2255881709236221</v>
      </c>
    </row>
    <row r="1082" spans="1:3" ht="13.2" x14ac:dyDescent="0.25">
      <c r="A1082" s="6">
        <v>1080</v>
      </c>
      <c r="B1082" s="7">
        <v>69.497550964355469</v>
      </c>
      <c r="C1082" s="3">
        <f t="shared" si="12"/>
        <v>-0.20549037058786129</v>
      </c>
    </row>
    <row r="1083" spans="1:3" ht="13.2" x14ac:dyDescent="0.25">
      <c r="A1083" s="6">
        <v>1081</v>
      </c>
      <c r="B1083" s="7">
        <v>69.045440673828125</v>
      </c>
      <c r="C1083" s="3">
        <f t="shared" si="12"/>
        <v>-0.1644138781581875</v>
      </c>
    </row>
    <row r="1084" spans="1:3" ht="13.2" x14ac:dyDescent="0.25">
      <c r="A1084" s="6">
        <v>1082</v>
      </c>
      <c r="B1084" s="7">
        <v>67.757904052734375</v>
      </c>
      <c r="C1084" s="3">
        <f t="shared" si="12"/>
        <v>-0.19190180999659523</v>
      </c>
    </row>
    <row r="1085" spans="1:3" ht="13.2" x14ac:dyDescent="0.25">
      <c r="A1085" s="6">
        <v>1083</v>
      </c>
      <c r="B1085" s="7">
        <v>69.772750854492188</v>
      </c>
      <c r="C1085" s="3">
        <f t="shared" si="12"/>
        <v>-0.15524554306328123</v>
      </c>
    </row>
    <row r="1086" spans="1:3" ht="13.2" x14ac:dyDescent="0.25">
      <c r="A1086" s="6">
        <v>1084</v>
      </c>
      <c r="B1086" s="7">
        <v>68.681777954101563</v>
      </c>
      <c r="C1086" s="3">
        <f t="shared" si="12"/>
        <v>-0.16993317001017333</v>
      </c>
    </row>
    <row r="1087" spans="1:3" ht="13.2" x14ac:dyDescent="0.25">
      <c r="A1087" s="6">
        <v>1085</v>
      </c>
      <c r="B1087" s="7">
        <v>68.003616333007813</v>
      </c>
      <c r="C1087" s="3">
        <f t="shared" ref="C1087:C1150" si="13">LN(B1087/B835)</f>
        <v>-0.18650788429792575</v>
      </c>
    </row>
    <row r="1088" spans="1:3" ht="13.2" x14ac:dyDescent="0.25">
      <c r="A1088" s="6">
        <v>1086</v>
      </c>
      <c r="B1088" s="7">
        <v>67.915153503417969</v>
      </c>
      <c r="C1088" s="3">
        <f t="shared" si="13"/>
        <v>-0.17205931815092279</v>
      </c>
    </row>
    <row r="1089" spans="1:3" ht="13.2" x14ac:dyDescent="0.25">
      <c r="A1089" s="6">
        <v>1087</v>
      </c>
      <c r="B1089" s="7">
        <v>67.099388122558594</v>
      </c>
      <c r="C1089" s="3">
        <f t="shared" si="13"/>
        <v>-0.19049737344056583</v>
      </c>
    </row>
    <row r="1090" spans="1:3" ht="13.2" x14ac:dyDescent="0.25">
      <c r="A1090" s="6">
        <v>1088</v>
      </c>
      <c r="B1090" s="7">
        <v>66.824188232421875</v>
      </c>
      <c r="C1090" s="3">
        <f t="shared" si="13"/>
        <v>-0.2057778136483577</v>
      </c>
    </row>
    <row r="1091" spans="1:3" ht="13.2" x14ac:dyDescent="0.25">
      <c r="A1091" s="6">
        <v>1089</v>
      </c>
      <c r="B1091" s="7">
        <v>68.151039123535156</v>
      </c>
      <c r="C1091" s="3">
        <f t="shared" si="13"/>
        <v>-0.17757146446627003</v>
      </c>
    </row>
    <row r="1092" spans="1:3" ht="13.2" x14ac:dyDescent="0.25">
      <c r="A1092" s="6">
        <v>1090</v>
      </c>
      <c r="B1092" s="7">
        <v>67.502357482910156</v>
      </c>
      <c r="C1092" s="3">
        <f t="shared" si="13"/>
        <v>-0.17151936869358808</v>
      </c>
    </row>
    <row r="1093" spans="1:3" ht="13.2" x14ac:dyDescent="0.25">
      <c r="A1093" s="6">
        <v>1091</v>
      </c>
      <c r="B1093" s="7">
        <v>66.706253051757813</v>
      </c>
      <c r="C1093" s="3">
        <f t="shared" si="13"/>
        <v>-0.17840726725896466</v>
      </c>
    </row>
    <row r="1094" spans="1:3" ht="13.2" x14ac:dyDescent="0.25">
      <c r="A1094" s="6">
        <v>1092</v>
      </c>
      <c r="B1094" s="7">
        <v>67.276298522949219</v>
      </c>
      <c r="C1094" s="3">
        <f t="shared" si="13"/>
        <v>-0.166363259973558</v>
      </c>
    </row>
    <row r="1095" spans="1:3" ht="13.2" x14ac:dyDescent="0.25">
      <c r="A1095" s="6">
        <v>1093</v>
      </c>
      <c r="B1095" s="7">
        <v>68.593330383300781</v>
      </c>
      <c r="C1095" s="3">
        <f t="shared" si="13"/>
        <v>-0.15584974543579547</v>
      </c>
    </row>
    <row r="1096" spans="1:3" ht="13.2" x14ac:dyDescent="0.25">
      <c r="A1096" s="6">
        <v>1094</v>
      </c>
      <c r="B1096" s="7">
        <v>65.290939331054688</v>
      </c>
      <c r="C1096" s="3">
        <f t="shared" si="13"/>
        <v>-0.20603866888966502</v>
      </c>
    </row>
    <row r="1097" spans="1:3" ht="13.2" x14ac:dyDescent="0.25">
      <c r="A1097" s="6">
        <v>1095</v>
      </c>
      <c r="B1097" s="7">
        <v>67.158363342285156</v>
      </c>
      <c r="C1097" s="3">
        <f t="shared" si="13"/>
        <v>-0.1856675077346521</v>
      </c>
    </row>
    <row r="1098" spans="1:3" ht="13.2" x14ac:dyDescent="0.25">
      <c r="A1098" s="6">
        <v>1096</v>
      </c>
      <c r="B1098" s="7">
        <v>68.652297973632813</v>
      </c>
      <c r="C1098" s="3">
        <f t="shared" si="13"/>
        <v>-0.14794652888339771</v>
      </c>
    </row>
    <row r="1099" spans="1:3" ht="13.2" x14ac:dyDescent="0.25">
      <c r="A1099" s="6">
        <v>1097</v>
      </c>
      <c r="B1099" s="7">
        <v>67.472877502441406</v>
      </c>
      <c r="C1099" s="3">
        <f t="shared" si="13"/>
        <v>-0.17001736474748047</v>
      </c>
    </row>
    <row r="1100" spans="1:3" ht="13.2" x14ac:dyDescent="0.25">
      <c r="A1100" s="6">
        <v>1098</v>
      </c>
      <c r="B1100" s="7">
        <v>68.003616333007813</v>
      </c>
      <c r="C1100" s="3">
        <f t="shared" si="13"/>
        <v>-0.16919298693285939</v>
      </c>
    </row>
    <row r="1101" spans="1:3" ht="13.2" x14ac:dyDescent="0.25">
      <c r="A1101" s="6">
        <v>1099</v>
      </c>
      <c r="B1101" s="7">
        <v>66.981452941894531</v>
      </c>
      <c r="C1101" s="3">
        <f t="shared" si="13"/>
        <v>-0.20873102103919497</v>
      </c>
    </row>
    <row r="1102" spans="1:3" ht="13.2" x14ac:dyDescent="0.25">
      <c r="A1102" s="6">
        <v>1100</v>
      </c>
      <c r="B1102" s="7">
        <v>66.548988342285156</v>
      </c>
      <c r="C1102" s="3">
        <f t="shared" si="13"/>
        <v>-0.22375306143500834</v>
      </c>
    </row>
    <row r="1103" spans="1:3" ht="13.2" x14ac:dyDescent="0.25">
      <c r="A1103" s="6">
        <v>1101</v>
      </c>
      <c r="B1103" s="7">
        <v>65.831512451171875</v>
      </c>
      <c r="C1103" s="3">
        <f t="shared" si="13"/>
        <v>-0.22310507418341224</v>
      </c>
    </row>
    <row r="1104" spans="1:3" ht="13.2" x14ac:dyDescent="0.25">
      <c r="A1104" s="6">
        <v>1102</v>
      </c>
      <c r="B1104" s="7">
        <v>64.612770080566406</v>
      </c>
      <c r="C1104" s="3">
        <f t="shared" si="13"/>
        <v>-0.22945457545593512</v>
      </c>
    </row>
    <row r="1105" spans="1:3" ht="13.2" x14ac:dyDescent="0.25">
      <c r="A1105" s="6">
        <v>1103</v>
      </c>
      <c r="B1105" s="7">
        <v>66.185333251953125</v>
      </c>
      <c r="C1105" s="3">
        <f t="shared" si="13"/>
        <v>-0.19593343825585735</v>
      </c>
    </row>
    <row r="1106" spans="1:3" ht="13.2" x14ac:dyDescent="0.25">
      <c r="A1106" s="6">
        <v>1104</v>
      </c>
      <c r="B1106" s="7">
        <v>65.074714660644531</v>
      </c>
      <c r="C1106" s="3">
        <f t="shared" si="13"/>
        <v>-0.199513042724488</v>
      </c>
    </row>
    <row r="1107" spans="1:3" ht="13.2" x14ac:dyDescent="0.25">
      <c r="A1107" s="6">
        <v>1105</v>
      </c>
      <c r="B1107" s="7">
        <v>64.897796630859375</v>
      </c>
      <c r="C1107" s="3">
        <f t="shared" si="13"/>
        <v>-0.1947585844802672</v>
      </c>
    </row>
    <row r="1108" spans="1:3" ht="13.2" x14ac:dyDescent="0.25">
      <c r="A1108" s="6">
        <v>1106</v>
      </c>
      <c r="B1108" s="7">
        <v>63.541461944580078</v>
      </c>
      <c r="C1108" s="3">
        <f t="shared" si="13"/>
        <v>-0.23452841315180881</v>
      </c>
    </row>
    <row r="1109" spans="1:3" ht="13.2" x14ac:dyDescent="0.25">
      <c r="A1109" s="6">
        <v>1107</v>
      </c>
      <c r="B1109" s="7">
        <v>63.394035339355469</v>
      </c>
      <c r="C1109" s="3">
        <f t="shared" si="13"/>
        <v>-0.23176658780026485</v>
      </c>
    </row>
    <row r="1110" spans="1:3" ht="13.2" x14ac:dyDescent="0.25">
      <c r="A1110" s="6">
        <v>1108</v>
      </c>
      <c r="B1110" s="7">
        <v>64.819168090820313</v>
      </c>
      <c r="C1110" s="3">
        <f t="shared" si="13"/>
        <v>-0.19830578892539558</v>
      </c>
    </row>
    <row r="1111" spans="1:3" ht="13.2" x14ac:dyDescent="0.25">
      <c r="A1111" s="6">
        <v>1109</v>
      </c>
      <c r="B1111" s="7">
        <v>63.364547729492188</v>
      </c>
      <c r="C1111" s="3">
        <f t="shared" si="13"/>
        <v>-0.23113889002883414</v>
      </c>
    </row>
    <row r="1112" spans="1:3" ht="13.2" x14ac:dyDescent="0.25">
      <c r="A1112" s="6">
        <v>1110</v>
      </c>
      <c r="B1112" s="7">
        <v>63.059867858886719</v>
      </c>
      <c r="C1112" s="3">
        <f t="shared" si="13"/>
        <v>-0.20523653858134999</v>
      </c>
    </row>
    <row r="1113" spans="1:3" ht="13.2" x14ac:dyDescent="0.25">
      <c r="A1113" s="6">
        <v>1111</v>
      </c>
      <c r="B1113" s="7">
        <v>64.219627380371094</v>
      </c>
      <c r="C1113" s="3">
        <f t="shared" si="13"/>
        <v>-0.17579811573400672</v>
      </c>
    </row>
    <row r="1114" spans="1:3" ht="13.2" x14ac:dyDescent="0.25">
      <c r="A1114" s="6">
        <v>1112</v>
      </c>
      <c r="B1114" s="7">
        <v>64.278602600097656</v>
      </c>
      <c r="C1114" s="3">
        <f t="shared" si="13"/>
        <v>-0.16597094872043938</v>
      </c>
    </row>
    <row r="1115" spans="1:3" ht="13.2" x14ac:dyDescent="0.25">
      <c r="A1115" s="6">
        <v>1113</v>
      </c>
      <c r="B1115" s="7">
        <v>64.376884460449219</v>
      </c>
      <c r="C1115" s="3">
        <f t="shared" si="13"/>
        <v>-0.16941666056025956</v>
      </c>
    </row>
    <row r="1116" spans="1:3" ht="13.2" x14ac:dyDescent="0.25">
      <c r="A1116" s="6">
        <v>1114</v>
      </c>
      <c r="B1116" s="7">
        <v>63.551292419433594</v>
      </c>
      <c r="C1116" s="3">
        <f t="shared" si="13"/>
        <v>-0.18054131789159353</v>
      </c>
    </row>
    <row r="1117" spans="1:3" ht="13.2" x14ac:dyDescent="0.25">
      <c r="A1117" s="6">
        <v>1115</v>
      </c>
      <c r="B1117" s="7">
        <v>63.492317199707031</v>
      </c>
      <c r="C1117" s="3">
        <f t="shared" si="13"/>
        <v>-0.17019188620978823</v>
      </c>
    </row>
    <row r="1118" spans="1:3" ht="13.2" x14ac:dyDescent="0.25">
      <c r="A1118" s="6">
        <v>1116</v>
      </c>
      <c r="B1118" s="7">
        <v>63.295749664306641</v>
      </c>
      <c r="C1118" s="3">
        <f t="shared" si="13"/>
        <v>-0.14054139152736939</v>
      </c>
    </row>
    <row r="1119" spans="1:3" ht="13.2" x14ac:dyDescent="0.25">
      <c r="A1119" s="6">
        <v>1117</v>
      </c>
      <c r="B1119" s="7">
        <v>63.069690704345703</v>
      </c>
      <c r="C1119" s="3">
        <f t="shared" si="13"/>
        <v>-0.12121956194985782</v>
      </c>
    </row>
    <row r="1120" spans="1:3" ht="13.2" x14ac:dyDescent="0.25">
      <c r="A1120" s="6">
        <v>1118</v>
      </c>
      <c r="B1120" s="7">
        <v>62.018035888671875</v>
      </c>
      <c r="C1120" s="3">
        <f t="shared" si="13"/>
        <v>-0.15840100783743696</v>
      </c>
    </row>
    <row r="1121" spans="1:3" ht="13.2" x14ac:dyDescent="0.25">
      <c r="A1121" s="6">
        <v>1119</v>
      </c>
      <c r="B1121" s="7">
        <v>63.787178039550781</v>
      </c>
      <c r="C1121" s="3">
        <f t="shared" si="13"/>
        <v>-0.11493679381959886</v>
      </c>
    </row>
    <row r="1122" spans="1:3" ht="13.2" x14ac:dyDescent="0.25">
      <c r="A1122" s="6">
        <v>1120</v>
      </c>
      <c r="B1122" s="7">
        <v>60.936901092529297</v>
      </c>
      <c r="C1122" s="3">
        <f t="shared" si="13"/>
        <v>-0.18118075840646619</v>
      </c>
    </row>
    <row r="1123" spans="1:3" ht="13.2" x14ac:dyDescent="0.25">
      <c r="A1123" s="6">
        <v>1121</v>
      </c>
      <c r="B1123" s="7">
        <v>60.868099212646484</v>
      </c>
      <c r="C1123" s="3">
        <f t="shared" si="13"/>
        <v>-0.17978356766208314</v>
      </c>
    </row>
    <row r="1124" spans="1:3" ht="13.2" x14ac:dyDescent="0.25">
      <c r="A1124" s="6">
        <v>1122</v>
      </c>
      <c r="B1124" s="7">
        <v>60.907417297363281</v>
      </c>
      <c r="C1124" s="3">
        <f t="shared" si="13"/>
        <v>-0.14555776295467313</v>
      </c>
    </row>
    <row r="1125" spans="1:3" ht="13.2" x14ac:dyDescent="0.25">
      <c r="A1125" s="6">
        <v>1123</v>
      </c>
      <c r="B1125" s="7">
        <v>60.307876586914063</v>
      </c>
      <c r="C1125" s="3">
        <f t="shared" si="13"/>
        <v>-0.11884768939252099</v>
      </c>
    </row>
    <row r="1126" spans="1:3" ht="13.2" x14ac:dyDescent="0.25">
      <c r="A1126" s="6">
        <v>1124</v>
      </c>
      <c r="B1126" s="7">
        <v>61.752670288085938</v>
      </c>
      <c r="C1126" s="3">
        <f t="shared" si="13"/>
        <v>-0.13945722755979345</v>
      </c>
    </row>
    <row r="1127" spans="1:3" ht="13.2" x14ac:dyDescent="0.25">
      <c r="A1127" s="6">
        <v>1125</v>
      </c>
      <c r="B1127" s="7">
        <v>61.703525543212891</v>
      </c>
      <c r="C1127" s="3">
        <f t="shared" si="13"/>
        <v>-0.17608892115877003</v>
      </c>
    </row>
    <row r="1128" spans="1:3" ht="13.2" x14ac:dyDescent="0.25">
      <c r="A1128" s="6">
        <v>1126</v>
      </c>
      <c r="B1128" s="7">
        <v>62.312896728515625</v>
      </c>
      <c r="C1128" s="3">
        <f t="shared" si="13"/>
        <v>-0.20276570898992799</v>
      </c>
    </row>
    <row r="1129" spans="1:3" ht="13.2" x14ac:dyDescent="0.25">
      <c r="A1129" s="6">
        <v>1127</v>
      </c>
      <c r="B1129" s="7">
        <v>65.36956787109375</v>
      </c>
      <c r="C1129" s="3">
        <f t="shared" si="13"/>
        <v>-0.19937884942127532</v>
      </c>
    </row>
    <row r="1130" spans="1:3" ht="13.2" x14ac:dyDescent="0.25">
      <c r="A1130" s="6">
        <v>1128</v>
      </c>
      <c r="B1130" s="7">
        <v>65.782363891601563</v>
      </c>
      <c r="C1130" s="3">
        <f t="shared" si="13"/>
        <v>-0.17504993440029454</v>
      </c>
    </row>
    <row r="1131" spans="1:3" ht="13.2" x14ac:dyDescent="0.25">
      <c r="A1131" s="6">
        <v>1129</v>
      </c>
      <c r="B1131" s="7">
        <v>64.180320739746094</v>
      </c>
      <c r="C1131" s="3">
        <f t="shared" si="13"/>
        <v>-0.19050216301964876</v>
      </c>
    </row>
    <row r="1132" spans="1:3" ht="13.2" x14ac:dyDescent="0.25">
      <c r="A1132" s="6">
        <v>1130</v>
      </c>
      <c r="B1132" s="7">
        <v>61.742839813232422</v>
      </c>
      <c r="C1132" s="3">
        <f t="shared" si="13"/>
        <v>-0.23730894704428876</v>
      </c>
    </row>
    <row r="1133" spans="1:3" ht="13.2" x14ac:dyDescent="0.25">
      <c r="A1133" s="6">
        <v>1131</v>
      </c>
      <c r="B1133" s="7">
        <v>61.723182678222656</v>
      </c>
      <c r="C1133" s="3">
        <f t="shared" si="13"/>
        <v>-0.23526987665084648</v>
      </c>
    </row>
    <row r="1134" spans="1:3" ht="13.2" x14ac:dyDescent="0.25">
      <c r="A1134" s="6">
        <v>1132</v>
      </c>
      <c r="B1134" s="7">
        <v>61.565925598144531</v>
      </c>
      <c r="C1134" s="3">
        <f t="shared" si="13"/>
        <v>-0.2295882890774999</v>
      </c>
    </row>
    <row r="1135" spans="1:3" ht="13.2" x14ac:dyDescent="0.25">
      <c r="A1135" s="6">
        <v>1133</v>
      </c>
      <c r="B1135" s="7">
        <v>62.067184448242188</v>
      </c>
      <c r="C1135" s="3">
        <f t="shared" si="13"/>
        <v>-0.25655365005979547</v>
      </c>
    </row>
    <row r="1136" spans="1:3" ht="13.2" x14ac:dyDescent="0.25">
      <c r="A1136" s="6">
        <v>1134</v>
      </c>
      <c r="B1136" s="7">
        <v>60.062160491943359</v>
      </c>
      <c r="C1136" s="3">
        <f t="shared" si="13"/>
        <v>-0.29614032876390556</v>
      </c>
    </row>
    <row r="1137" spans="1:3" ht="13.2" x14ac:dyDescent="0.25">
      <c r="A1137" s="6">
        <v>1135</v>
      </c>
      <c r="B1137" s="7">
        <v>60.337360382080078</v>
      </c>
      <c r="C1137" s="3">
        <f t="shared" si="13"/>
        <v>-0.29707928429136565</v>
      </c>
    </row>
    <row r="1138" spans="1:3" ht="13.2" x14ac:dyDescent="0.25">
      <c r="A1138" s="6">
        <v>1136</v>
      </c>
      <c r="B1138" s="7">
        <v>59.954048156738281</v>
      </c>
      <c r="C1138" s="3">
        <f t="shared" si="13"/>
        <v>-0.30022175827354219</v>
      </c>
    </row>
    <row r="1139" spans="1:3" ht="13.2" x14ac:dyDescent="0.25">
      <c r="A1139" s="6">
        <v>1137</v>
      </c>
      <c r="B1139" s="7">
        <v>59.767307281494141</v>
      </c>
      <c r="C1139" s="3">
        <f t="shared" si="13"/>
        <v>-0.32162946597035202</v>
      </c>
    </row>
    <row r="1140" spans="1:3" ht="13.2" x14ac:dyDescent="0.25">
      <c r="A1140" s="6">
        <v>1138</v>
      </c>
      <c r="B1140" s="7">
        <v>59.28570556640625</v>
      </c>
      <c r="C1140" s="3">
        <f t="shared" si="13"/>
        <v>-0.32995526948225212</v>
      </c>
    </row>
    <row r="1141" spans="1:3" ht="13.2" x14ac:dyDescent="0.25">
      <c r="A1141" s="6">
        <v>1139</v>
      </c>
      <c r="B1141" s="7">
        <v>58.695995330810547</v>
      </c>
      <c r="C1141" s="3">
        <f t="shared" si="13"/>
        <v>-0.34417840127582866</v>
      </c>
    </row>
    <row r="1142" spans="1:3" ht="13.2" x14ac:dyDescent="0.25">
      <c r="A1142" s="6">
        <v>1140</v>
      </c>
      <c r="B1142" s="7">
        <v>58.961368560791016</v>
      </c>
      <c r="C1142" s="3">
        <f t="shared" si="13"/>
        <v>-0.34574077218548877</v>
      </c>
    </row>
    <row r="1143" spans="1:3" ht="13.2" x14ac:dyDescent="0.25">
      <c r="A1143" s="6">
        <v>1141</v>
      </c>
      <c r="B1143" s="7">
        <v>59.187423706054688</v>
      </c>
      <c r="C1143" s="3">
        <f t="shared" si="13"/>
        <v>-0.34307791911717439</v>
      </c>
    </row>
    <row r="1144" spans="1:3" ht="13.2" x14ac:dyDescent="0.25">
      <c r="A1144" s="6">
        <v>1142</v>
      </c>
      <c r="B1144" s="7">
        <v>58.627197265625</v>
      </c>
      <c r="C1144" s="3">
        <f t="shared" si="13"/>
        <v>-0.35282086815496599</v>
      </c>
    </row>
    <row r="1145" spans="1:3" ht="13.2" x14ac:dyDescent="0.25">
      <c r="A1145" s="6">
        <v>1143</v>
      </c>
      <c r="B1145" s="7">
        <v>59.826274871826172</v>
      </c>
      <c r="C1145" s="3">
        <f t="shared" si="13"/>
        <v>-0.33860289818719697</v>
      </c>
    </row>
    <row r="1146" spans="1:3" ht="13.2" x14ac:dyDescent="0.25">
      <c r="A1146" s="6">
        <v>1144</v>
      </c>
      <c r="B1146" s="7">
        <v>58.666507720947266</v>
      </c>
      <c r="C1146" s="3">
        <f t="shared" si="13"/>
        <v>-0.36692458689779012</v>
      </c>
    </row>
    <row r="1147" spans="1:3" ht="13.2" x14ac:dyDescent="0.25">
      <c r="A1147" s="6">
        <v>1145</v>
      </c>
      <c r="B1147" s="7">
        <v>57.939197540283203</v>
      </c>
      <c r="C1147" s="3">
        <f t="shared" si="13"/>
        <v>-0.37928491217021459</v>
      </c>
    </row>
    <row r="1148" spans="1:3" ht="13.2" x14ac:dyDescent="0.25">
      <c r="A1148" s="6">
        <v>1146</v>
      </c>
      <c r="B1148" s="7">
        <v>58.017826080322266</v>
      </c>
      <c r="C1148" s="3">
        <f t="shared" si="13"/>
        <v>-0.3795316837955286</v>
      </c>
    </row>
    <row r="1149" spans="1:3" ht="13.2" x14ac:dyDescent="0.25">
      <c r="A1149" s="6">
        <v>1147</v>
      </c>
      <c r="B1149" s="7">
        <v>57.791770935058594</v>
      </c>
      <c r="C1149" s="3">
        <f t="shared" si="13"/>
        <v>-0.40067545238342867</v>
      </c>
    </row>
    <row r="1150" spans="1:3" ht="13.2" x14ac:dyDescent="0.25">
      <c r="A1150" s="6">
        <v>1148</v>
      </c>
      <c r="B1150" s="7">
        <v>57.595199584960938</v>
      </c>
      <c r="C1150" s="3">
        <f t="shared" si="13"/>
        <v>-0.40486945278778719</v>
      </c>
    </row>
    <row r="1151" spans="1:3" ht="13.2" x14ac:dyDescent="0.25">
      <c r="A1151" s="6">
        <v>1149</v>
      </c>
      <c r="B1151" s="7">
        <v>56.858058929443359</v>
      </c>
      <c r="C1151" s="3">
        <f t="shared" ref="C1151:C1214" si="14">LN(B1151/B899)</f>
        <v>-0.41707635871718185</v>
      </c>
    </row>
    <row r="1152" spans="1:3" ht="13.2" x14ac:dyDescent="0.25">
      <c r="A1152" s="6">
        <v>1150</v>
      </c>
      <c r="B1152" s="7">
        <v>57.447772979736328</v>
      </c>
      <c r="C1152" s="3">
        <f t="shared" si="14"/>
        <v>-0.38654167465317718</v>
      </c>
    </row>
    <row r="1153" spans="1:3" ht="13.2" x14ac:dyDescent="0.25">
      <c r="A1153" s="6">
        <v>1151</v>
      </c>
      <c r="B1153" s="7">
        <v>57.025146484375</v>
      </c>
      <c r="C1153" s="3">
        <f t="shared" si="14"/>
        <v>-0.39266266271472694</v>
      </c>
    </row>
    <row r="1154" spans="1:3" ht="13.2" x14ac:dyDescent="0.25">
      <c r="A1154" s="6">
        <v>1152</v>
      </c>
      <c r="B1154" s="7">
        <v>55.983318328857422</v>
      </c>
      <c r="C1154" s="3">
        <f t="shared" si="14"/>
        <v>-0.4263773441985827</v>
      </c>
    </row>
    <row r="1155" spans="1:3" ht="13.2" x14ac:dyDescent="0.25">
      <c r="A1155" s="6">
        <v>1153</v>
      </c>
      <c r="B1155" s="7">
        <v>54.921840667724609</v>
      </c>
      <c r="C1155" s="3">
        <f t="shared" si="14"/>
        <v>-0.44268772777059878</v>
      </c>
    </row>
    <row r="1156" spans="1:3" ht="13.2" x14ac:dyDescent="0.25">
      <c r="A1156" s="6">
        <v>1154</v>
      </c>
      <c r="B1156" s="7">
        <v>54.754753112792969</v>
      </c>
      <c r="C1156" s="3">
        <f t="shared" si="14"/>
        <v>-0.45026255591237069</v>
      </c>
    </row>
    <row r="1157" spans="1:3" ht="13.2" x14ac:dyDescent="0.25">
      <c r="A1157" s="6">
        <v>1155</v>
      </c>
      <c r="B1157" s="7">
        <v>54.862865447998047</v>
      </c>
      <c r="C1157" s="3">
        <f t="shared" si="14"/>
        <v>-0.45627699887543366</v>
      </c>
    </row>
    <row r="1158" spans="1:3" ht="13.2" x14ac:dyDescent="0.25">
      <c r="A1158" s="6">
        <v>1156</v>
      </c>
      <c r="B1158" s="7">
        <v>54.78424072265625</v>
      </c>
      <c r="C1158" s="3">
        <f t="shared" si="14"/>
        <v>-0.43562020901746612</v>
      </c>
    </row>
    <row r="1159" spans="1:3" ht="13.2" x14ac:dyDescent="0.25">
      <c r="A1159" s="6">
        <v>1157</v>
      </c>
      <c r="B1159" s="7">
        <v>54.931667327880859</v>
      </c>
      <c r="C1159" s="3">
        <f t="shared" si="14"/>
        <v>-0.42638218670621336</v>
      </c>
    </row>
    <row r="1160" spans="1:3" ht="13.2" x14ac:dyDescent="0.25">
      <c r="A1160" s="6">
        <v>1158</v>
      </c>
      <c r="B1160" s="7">
        <v>54.587669372558594</v>
      </c>
      <c r="C1160" s="3">
        <f t="shared" si="14"/>
        <v>-0.44901767623647609</v>
      </c>
    </row>
    <row r="1161" spans="1:3" ht="13.2" x14ac:dyDescent="0.25">
      <c r="A1161" s="6">
        <v>1159</v>
      </c>
      <c r="B1161" s="7">
        <v>54.047100067138672</v>
      </c>
      <c r="C1161" s="3">
        <f t="shared" si="14"/>
        <v>-0.46462526668971232</v>
      </c>
    </row>
    <row r="1162" spans="1:3" ht="13.2" x14ac:dyDescent="0.25">
      <c r="A1162" s="6">
        <v>1160</v>
      </c>
      <c r="B1162" s="7">
        <v>53.889842987060547</v>
      </c>
      <c r="C1162" s="3">
        <f t="shared" si="14"/>
        <v>-0.46279066217017334</v>
      </c>
    </row>
    <row r="1163" spans="1:3" ht="13.2" x14ac:dyDescent="0.25">
      <c r="A1163" s="6">
        <v>1161</v>
      </c>
      <c r="B1163" s="7">
        <v>53.457386016845703</v>
      </c>
      <c r="C1163" s="3">
        <f t="shared" si="14"/>
        <v>-0.46448128613131878</v>
      </c>
    </row>
    <row r="1164" spans="1:3" ht="13.2" x14ac:dyDescent="0.25">
      <c r="A1164" s="6">
        <v>1162</v>
      </c>
      <c r="B1164" s="7">
        <v>54.400924682617188</v>
      </c>
      <c r="C1164" s="3">
        <f t="shared" si="14"/>
        <v>-0.44298515282111628</v>
      </c>
    </row>
    <row r="1165" spans="1:3" ht="13.2" x14ac:dyDescent="0.25">
      <c r="A1165" s="6">
        <v>1163</v>
      </c>
      <c r="B1165" s="7">
        <v>54.224010467529297</v>
      </c>
      <c r="C1165" s="3">
        <f t="shared" si="14"/>
        <v>-0.42926652536759058</v>
      </c>
    </row>
    <row r="1166" spans="1:3" ht="13.2" x14ac:dyDescent="0.25">
      <c r="A1166" s="6">
        <v>1164</v>
      </c>
      <c r="B1166" s="7">
        <v>53.437728881835938</v>
      </c>
      <c r="C1166" s="3">
        <f t="shared" si="14"/>
        <v>-0.45694841831176863</v>
      </c>
    </row>
    <row r="1167" spans="1:3" ht="13.2" x14ac:dyDescent="0.25">
      <c r="A1167" s="6">
        <v>1165</v>
      </c>
      <c r="B1167" s="7">
        <v>53.506526947021484</v>
      </c>
      <c r="C1167" s="3">
        <f t="shared" si="14"/>
        <v>-0.42874804689390411</v>
      </c>
    </row>
    <row r="1168" spans="1:3" ht="13.2" x14ac:dyDescent="0.25">
      <c r="A1168" s="6">
        <v>1166</v>
      </c>
      <c r="B1168" s="7">
        <v>53.388587951660156</v>
      </c>
      <c r="C1168" s="3">
        <f t="shared" si="14"/>
        <v>-0.43201693002397029</v>
      </c>
    </row>
    <row r="1169" spans="1:3" ht="13.2" x14ac:dyDescent="0.25">
      <c r="A1169" s="6">
        <v>1167</v>
      </c>
      <c r="B1169" s="7">
        <v>50.813514709472656</v>
      </c>
      <c r="C1169" s="3">
        <f t="shared" si="14"/>
        <v>-0.5227028965476147</v>
      </c>
    </row>
    <row r="1170" spans="1:3" ht="13.2" x14ac:dyDescent="0.25">
      <c r="A1170" s="6">
        <v>1168</v>
      </c>
      <c r="B1170" s="7">
        <v>50.518657684326172</v>
      </c>
      <c r="C1170" s="3">
        <f t="shared" si="14"/>
        <v>-0.50295517064961137</v>
      </c>
    </row>
    <row r="1171" spans="1:3" ht="13.2" x14ac:dyDescent="0.25">
      <c r="A1171" s="6">
        <v>1169</v>
      </c>
      <c r="B1171" s="7">
        <v>49.66357421875</v>
      </c>
      <c r="C1171" s="3">
        <f t="shared" si="14"/>
        <v>-0.50032338954101163</v>
      </c>
    </row>
    <row r="1172" spans="1:3" ht="13.2" x14ac:dyDescent="0.25">
      <c r="A1172" s="6">
        <v>1170</v>
      </c>
      <c r="B1172" s="7">
        <v>49.958431243896484</v>
      </c>
      <c r="C1172" s="3">
        <f t="shared" si="14"/>
        <v>-0.49084419292986931</v>
      </c>
    </row>
    <row r="1173" spans="1:3" ht="13.2" x14ac:dyDescent="0.25">
      <c r="A1173" s="6">
        <v>1171</v>
      </c>
      <c r="B1173" s="7">
        <v>49.968257904052734</v>
      </c>
      <c r="C1173" s="3">
        <f t="shared" si="14"/>
        <v>-0.49751806363255646</v>
      </c>
    </row>
    <row r="1174" spans="1:3" ht="13.2" x14ac:dyDescent="0.25">
      <c r="A1174" s="6">
        <v>1172</v>
      </c>
      <c r="B1174" s="7">
        <v>49.594772338867188</v>
      </c>
      <c r="C1174" s="3">
        <f t="shared" si="14"/>
        <v>-0.51430324780537251</v>
      </c>
    </row>
    <row r="1175" spans="1:3" ht="13.2" x14ac:dyDescent="0.25">
      <c r="A1175" s="6">
        <v>1173</v>
      </c>
      <c r="B1175" s="7">
        <v>48.464492797851563</v>
      </c>
      <c r="C1175" s="3">
        <f t="shared" si="14"/>
        <v>-0.52842862504489818</v>
      </c>
    </row>
    <row r="1176" spans="1:3" ht="13.2" x14ac:dyDescent="0.25">
      <c r="A1176" s="6">
        <v>1174</v>
      </c>
      <c r="B1176" s="7">
        <v>51.186996459960938</v>
      </c>
      <c r="C1176" s="3">
        <f t="shared" si="14"/>
        <v>-0.50020979697486934</v>
      </c>
    </row>
    <row r="1177" spans="1:3" ht="13.2" x14ac:dyDescent="0.25">
      <c r="A1177" s="6">
        <v>1175</v>
      </c>
      <c r="B1177" s="7">
        <v>51.304939270019531</v>
      </c>
      <c r="C1177" s="3">
        <f t="shared" si="14"/>
        <v>-0.48506913739896346</v>
      </c>
    </row>
    <row r="1178" spans="1:3" ht="13.2" x14ac:dyDescent="0.25">
      <c r="A1178" s="6">
        <v>1176</v>
      </c>
      <c r="B1178" s="7">
        <v>52.091220855712891</v>
      </c>
      <c r="C1178" s="3">
        <f t="shared" si="14"/>
        <v>-0.45342736827643909</v>
      </c>
    </row>
    <row r="1179" spans="1:3" ht="13.2" x14ac:dyDescent="0.25">
      <c r="A1179" s="6">
        <v>1177</v>
      </c>
      <c r="B1179" s="7">
        <v>53.771900177001953</v>
      </c>
      <c r="C1179" s="3">
        <f t="shared" si="14"/>
        <v>-0.41870981585980016</v>
      </c>
    </row>
    <row r="1180" spans="1:3" ht="13.2" x14ac:dyDescent="0.25">
      <c r="A1180" s="6">
        <v>1178</v>
      </c>
      <c r="B1180" s="7">
        <v>53.044589996337891</v>
      </c>
      <c r="C1180" s="3">
        <f t="shared" si="14"/>
        <v>-0.35921469939358813</v>
      </c>
    </row>
    <row r="1181" spans="1:3" ht="13.2" x14ac:dyDescent="0.25">
      <c r="A1181" s="6">
        <v>1179</v>
      </c>
      <c r="B1181" s="7">
        <v>53.388587951660156</v>
      </c>
      <c r="C1181" s="3">
        <f t="shared" si="14"/>
        <v>-0.34955303258821285</v>
      </c>
    </row>
    <row r="1182" spans="1:3" ht="13.2" x14ac:dyDescent="0.25">
      <c r="A1182" s="6">
        <v>1180</v>
      </c>
      <c r="B1182" s="7">
        <v>52.798877716064453</v>
      </c>
      <c r="C1182" s="3">
        <f t="shared" si="14"/>
        <v>-0.35216916410562149</v>
      </c>
    </row>
    <row r="1183" spans="1:3" ht="13.2" x14ac:dyDescent="0.25">
      <c r="A1183" s="6">
        <v>1181</v>
      </c>
      <c r="B1183" s="7">
        <v>53.477043151855469</v>
      </c>
      <c r="C1183" s="3">
        <f t="shared" si="14"/>
        <v>-0.33344575605040488</v>
      </c>
    </row>
    <row r="1184" spans="1:3" ht="13.2" x14ac:dyDescent="0.25">
      <c r="A1184" s="6">
        <v>1182</v>
      </c>
      <c r="B1184" s="7">
        <v>53.290302276611328</v>
      </c>
      <c r="C1184" s="3">
        <f t="shared" si="14"/>
        <v>-0.36387202696950371</v>
      </c>
    </row>
    <row r="1185" spans="1:3" ht="13.2" x14ac:dyDescent="0.25">
      <c r="A1185" s="6">
        <v>1183</v>
      </c>
      <c r="B1185" s="7">
        <v>54.007785797119141</v>
      </c>
      <c r="C1185" s="3">
        <f t="shared" si="14"/>
        <v>-0.35680413630244273</v>
      </c>
    </row>
    <row r="1186" spans="1:3" ht="13.2" x14ac:dyDescent="0.25">
      <c r="A1186" s="6">
        <v>1184</v>
      </c>
      <c r="B1186" s="7">
        <v>53.368930816650391</v>
      </c>
      <c r="C1186" s="3">
        <f t="shared" si="14"/>
        <v>-0.343882039077336</v>
      </c>
    </row>
    <row r="1187" spans="1:3" ht="13.2" x14ac:dyDescent="0.25">
      <c r="A1187" s="6">
        <v>1185</v>
      </c>
      <c r="B1187" s="7">
        <v>53.378761291503906</v>
      </c>
      <c r="C1187" s="3">
        <f t="shared" si="14"/>
        <v>-0.35229603290299288</v>
      </c>
    </row>
    <row r="1188" spans="1:3" ht="13.2" x14ac:dyDescent="0.25">
      <c r="A1188" s="6">
        <v>1186</v>
      </c>
      <c r="B1188" s="7">
        <v>53.457386016845703</v>
      </c>
      <c r="C1188" s="3">
        <f t="shared" si="14"/>
        <v>-0.35414073926521655</v>
      </c>
    </row>
    <row r="1189" spans="1:3" ht="13.2" x14ac:dyDescent="0.25">
      <c r="A1189" s="6">
        <v>1187</v>
      </c>
      <c r="B1189" s="7">
        <v>53.555675506591797</v>
      </c>
      <c r="C1189" s="3">
        <f t="shared" si="14"/>
        <v>-0.34437656755384388</v>
      </c>
    </row>
    <row r="1190" spans="1:3" ht="13.2" x14ac:dyDescent="0.25">
      <c r="A1190" s="6">
        <v>1188</v>
      </c>
      <c r="B1190" s="7">
        <v>53.123214721679688</v>
      </c>
      <c r="C1190" s="3">
        <f t="shared" si="14"/>
        <v>-0.39643354572086498</v>
      </c>
    </row>
    <row r="1191" spans="1:3" ht="13.2" x14ac:dyDescent="0.25">
      <c r="A1191" s="6">
        <v>1189</v>
      </c>
      <c r="B1191" s="7">
        <v>53.486869812011719</v>
      </c>
      <c r="C1191" s="3">
        <f t="shared" si="14"/>
        <v>-0.36548981779274903</v>
      </c>
    </row>
    <row r="1192" spans="1:3" ht="13.2" x14ac:dyDescent="0.25">
      <c r="A1192" s="6">
        <v>1190</v>
      </c>
      <c r="B1192" s="7">
        <v>54.400924682617188</v>
      </c>
      <c r="C1192" s="3">
        <f t="shared" si="14"/>
        <v>-0.34992823107542637</v>
      </c>
    </row>
    <row r="1193" spans="1:3" ht="13.2" x14ac:dyDescent="0.25">
      <c r="A1193" s="6">
        <v>1191</v>
      </c>
      <c r="B1193" s="7">
        <v>55.855552673339844</v>
      </c>
      <c r="C1193" s="3">
        <f t="shared" si="14"/>
        <v>-0.31089330612168575</v>
      </c>
    </row>
    <row r="1194" spans="1:3" ht="13.2" x14ac:dyDescent="0.25">
      <c r="A1194" s="6">
        <v>1192</v>
      </c>
      <c r="B1194" s="7">
        <v>56.651660919189453</v>
      </c>
      <c r="C1194" s="3">
        <f t="shared" si="14"/>
        <v>-0.29979082971143561</v>
      </c>
    </row>
    <row r="1195" spans="1:3" ht="13.2" x14ac:dyDescent="0.25">
      <c r="A1195" s="6">
        <v>1193</v>
      </c>
      <c r="B1195" s="7">
        <v>55.924350738525391</v>
      </c>
      <c r="C1195" s="3">
        <f t="shared" si="14"/>
        <v>-0.30276572495459836</v>
      </c>
    </row>
    <row r="1196" spans="1:3" ht="13.2" x14ac:dyDescent="0.25">
      <c r="A1196" s="6">
        <v>1194</v>
      </c>
      <c r="B1196" s="7">
        <v>55.826061248779297</v>
      </c>
      <c r="C1196" s="3">
        <f t="shared" si="14"/>
        <v>-0.29977186482414309</v>
      </c>
    </row>
    <row r="1197" spans="1:3" ht="13.2" x14ac:dyDescent="0.25">
      <c r="A1197" s="6">
        <v>1195</v>
      </c>
      <c r="B1197" s="7">
        <v>56.445262908935547</v>
      </c>
      <c r="C1197" s="3">
        <f t="shared" si="14"/>
        <v>-0.30178990156265079</v>
      </c>
    </row>
    <row r="1198" spans="1:3" ht="13.2" x14ac:dyDescent="0.25">
      <c r="A1198" s="6">
        <v>1196</v>
      </c>
      <c r="B1198" s="7">
        <v>55.403434753417969</v>
      </c>
      <c r="C1198" s="3">
        <f t="shared" si="14"/>
        <v>-0.30685590990917433</v>
      </c>
    </row>
    <row r="1199" spans="1:3" ht="13.2" x14ac:dyDescent="0.25">
      <c r="A1199" s="6">
        <v>1197</v>
      </c>
      <c r="B1199" s="7">
        <v>55.806404113769531</v>
      </c>
      <c r="C1199" s="3">
        <f t="shared" si="14"/>
        <v>-0.31900208095844085</v>
      </c>
    </row>
    <row r="1200" spans="1:3" ht="13.2" x14ac:dyDescent="0.25">
      <c r="A1200" s="6">
        <v>1198</v>
      </c>
      <c r="B1200" s="7">
        <v>55.295322418212891</v>
      </c>
      <c r="C1200" s="3">
        <f t="shared" si="14"/>
        <v>-0.28916365806875388</v>
      </c>
    </row>
    <row r="1201" spans="1:3" ht="13.2" x14ac:dyDescent="0.25">
      <c r="A1201" s="6">
        <v>1199</v>
      </c>
      <c r="B1201" s="7">
        <v>55.619663238525391</v>
      </c>
      <c r="C1201" s="3">
        <f t="shared" si="14"/>
        <v>-0.26528462029476851</v>
      </c>
    </row>
    <row r="1202" spans="1:3" ht="13.2" x14ac:dyDescent="0.25">
      <c r="A1202" s="6">
        <v>1200</v>
      </c>
      <c r="B1202" s="7">
        <v>55.521381378173828</v>
      </c>
      <c r="C1202" s="3">
        <f t="shared" si="14"/>
        <v>-0.24158117869567611</v>
      </c>
    </row>
    <row r="1203" spans="1:3" ht="13.2" x14ac:dyDescent="0.25">
      <c r="A1203" s="6">
        <v>1201</v>
      </c>
      <c r="B1203" s="7">
        <v>56.337146759033203</v>
      </c>
      <c r="C1203" s="3">
        <f t="shared" si="14"/>
        <v>-0.23737067130548051</v>
      </c>
    </row>
    <row r="1204" spans="1:3" ht="13.2" x14ac:dyDescent="0.25">
      <c r="A1204" s="6">
        <v>1202</v>
      </c>
      <c r="B1204" s="7">
        <v>53.575328826904297</v>
      </c>
      <c r="C1204" s="3">
        <f t="shared" si="14"/>
        <v>-0.27464977261536133</v>
      </c>
    </row>
    <row r="1205" spans="1:3" ht="13.2" x14ac:dyDescent="0.25">
      <c r="A1205" s="6">
        <v>1203</v>
      </c>
      <c r="B1205" s="7">
        <v>54.381271362304688</v>
      </c>
      <c r="C1205" s="3">
        <f t="shared" si="14"/>
        <v>-0.26807661808562738</v>
      </c>
    </row>
    <row r="1206" spans="1:3" ht="13.2" x14ac:dyDescent="0.25">
      <c r="A1206" s="6">
        <v>1204</v>
      </c>
      <c r="B1206" s="7">
        <v>53.693271636962891</v>
      </c>
      <c r="C1206" s="3">
        <f t="shared" si="14"/>
        <v>-0.26693204300749879</v>
      </c>
    </row>
    <row r="1207" spans="1:3" ht="13.2" x14ac:dyDescent="0.25">
      <c r="A1207" s="6">
        <v>1205</v>
      </c>
      <c r="B1207" s="7">
        <v>53.978298187255859</v>
      </c>
      <c r="C1207" s="3">
        <f t="shared" si="14"/>
        <v>-0.2481267499029591</v>
      </c>
    </row>
    <row r="1208" spans="1:3" ht="13.2" x14ac:dyDescent="0.25">
      <c r="A1208" s="6">
        <v>1206</v>
      </c>
      <c r="B1208" s="7">
        <v>55.708122253417969</v>
      </c>
      <c r="C1208" s="3">
        <f t="shared" si="14"/>
        <v>-0.22036208803160243</v>
      </c>
    </row>
    <row r="1209" spans="1:3" ht="13.2" x14ac:dyDescent="0.25">
      <c r="A1209" s="6">
        <v>1207</v>
      </c>
      <c r="B1209" s="7">
        <v>55.452579498291016</v>
      </c>
      <c r="C1209" s="3">
        <f t="shared" si="14"/>
        <v>-0.22691376594275761</v>
      </c>
    </row>
    <row r="1210" spans="1:3" ht="13.2" x14ac:dyDescent="0.25">
      <c r="A1210" s="6">
        <v>1208</v>
      </c>
      <c r="B1210" s="7">
        <v>57.319999694824219</v>
      </c>
      <c r="C1210" s="3">
        <f t="shared" si="14"/>
        <v>-0.20433341434328822</v>
      </c>
    </row>
    <row r="1211" spans="1:3" ht="13.2" x14ac:dyDescent="0.25">
      <c r="A1211" s="6">
        <v>1209</v>
      </c>
      <c r="B1211" s="7">
        <v>55.541034698486328</v>
      </c>
      <c r="C1211" s="3">
        <f t="shared" si="14"/>
        <v>-0.22782648259149174</v>
      </c>
    </row>
    <row r="1212" spans="1:3" ht="13.2" x14ac:dyDescent="0.25">
      <c r="A1212" s="6">
        <v>1210</v>
      </c>
      <c r="B1212" s="7">
        <v>53.565502166748047</v>
      </c>
      <c r="C1212" s="3">
        <f t="shared" si="14"/>
        <v>-0.26543313209615399</v>
      </c>
    </row>
    <row r="1213" spans="1:3" ht="13.2" x14ac:dyDescent="0.25">
      <c r="A1213" s="6">
        <v>1211</v>
      </c>
      <c r="B1213" s="7">
        <v>53.811214447021484</v>
      </c>
      <c r="C1213" s="3">
        <f t="shared" si="14"/>
        <v>-0.25654169148763845</v>
      </c>
    </row>
    <row r="1214" spans="1:3" ht="13.2" x14ac:dyDescent="0.25">
      <c r="A1214" s="6">
        <v>1212</v>
      </c>
      <c r="B1214" s="7">
        <v>54.322299957275391</v>
      </c>
      <c r="C1214" s="3">
        <f t="shared" si="14"/>
        <v>-0.25112575138416238</v>
      </c>
    </row>
    <row r="1215" spans="1:3" ht="13.2" x14ac:dyDescent="0.25">
      <c r="A1215" s="6">
        <v>1213</v>
      </c>
      <c r="B1215" s="7">
        <v>53.712932586669922</v>
      </c>
      <c r="C1215" s="3">
        <f t="shared" ref="C1215:C1260" si="15">LN(B1215/B963)</f>
        <v>-0.26018146335131187</v>
      </c>
    </row>
    <row r="1216" spans="1:3" ht="13.2" x14ac:dyDescent="0.25">
      <c r="A1216" s="6">
        <v>1214</v>
      </c>
      <c r="B1216" s="7">
        <v>54.970981597900391</v>
      </c>
      <c r="C1216" s="3">
        <f t="shared" si="15"/>
        <v>-0.22484215421988143</v>
      </c>
    </row>
    <row r="1217" spans="1:3" ht="13.2" x14ac:dyDescent="0.25">
      <c r="A1217" s="6">
        <v>1215</v>
      </c>
      <c r="B1217" s="7">
        <v>54.548355102539063</v>
      </c>
      <c r="C1217" s="3">
        <f t="shared" si="15"/>
        <v>-0.24195911826848113</v>
      </c>
    </row>
    <row r="1218" spans="1:3" ht="13.2" x14ac:dyDescent="0.25">
      <c r="A1218" s="6">
        <v>1216</v>
      </c>
      <c r="B1218" s="7">
        <v>53.437728881835938</v>
      </c>
      <c r="C1218" s="3">
        <f t="shared" si="15"/>
        <v>-0.25636714937359106</v>
      </c>
    </row>
    <row r="1219" spans="1:3" ht="13.2" x14ac:dyDescent="0.25">
      <c r="A1219" s="6">
        <v>1217</v>
      </c>
      <c r="B1219" s="7">
        <v>53.732585906982422</v>
      </c>
      <c r="C1219" s="3">
        <f t="shared" si="15"/>
        <v>-0.2863336244489777</v>
      </c>
    </row>
    <row r="1220" spans="1:3" ht="13.2" x14ac:dyDescent="0.25">
      <c r="A1220" s="6">
        <v>1218</v>
      </c>
      <c r="B1220" s="7">
        <v>53.742416381835938</v>
      </c>
      <c r="C1220" s="3">
        <f t="shared" si="15"/>
        <v>-0.33768128746750231</v>
      </c>
    </row>
    <row r="1221" spans="1:3" ht="13.2" x14ac:dyDescent="0.25">
      <c r="A1221" s="6">
        <v>1219</v>
      </c>
      <c r="B1221" s="7">
        <v>54.361614227294922</v>
      </c>
      <c r="C1221" s="3">
        <f t="shared" si="15"/>
        <v>-0.30894907089236945</v>
      </c>
    </row>
    <row r="1222" spans="1:3" ht="13.2" x14ac:dyDescent="0.25">
      <c r="A1222" s="6">
        <v>1220</v>
      </c>
      <c r="B1222" s="7">
        <v>54.902183532714844</v>
      </c>
      <c r="C1222" s="3">
        <f t="shared" si="15"/>
        <v>-0.26656125781602868</v>
      </c>
    </row>
    <row r="1223" spans="1:3" ht="13.2" x14ac:dyDescent="0.25">
      <c r="A1223" s="6">
        <v>1221</v>
      </c>
      <c r="B1223" s="7">
        <v>54.872699737548828</v>
      </c>
      <c r="C1223" s="3">
        <f t="shared" si="15"/>
        <v>-0.3175115256223961</v>
      </c>
    </row>
    <row r="1224" spans="1:3" ht="13.2" x14ac:dyDescent="0.25">
      <c r="A1224" s="6">
        <v>1222</v>
      </c>
      <c r="B1224" s="7">
        <v>55.413265228271484</v>
      </c>
      <c r="C1224" s="3">
        <f t="shared" si="15"/>
        <v>-0.3268295269713411</v>
      </c>
    </row>
    <row r="1225" spans="1:3" ht="13.2" x14ac:dyDescent="0.25">
      <c r="A1225" s="6">
        <v>1223</v>
      </c>
      <c r="B1225" s="7">
        <v>54.538528442382813</v>
      </c>
      <c r="C1225" s="3">
        <f t="shared" si="15"/>
        <v>-0.33640802505148315</v>
      </c>
    </row>
    <row r="1226" spans="1:3" ht="13.2" x14ac:dyDescent="0.25">
      <c r="A1226" s="6">
        <v>1224</v>
      </c>
      <c r="B1226" s="7">
        <v>56.307662963867188</v>
      </c>
      <c r="C1226" s="3">
        <f t="shared" si="15"/>
        <v>-0.28847416602300846</v>
      </c>
    </row>
    <row r="1227" spans="1:3" ht="13.2" x14ac:dyDescent="0.25">
      <c r="A1227" s="6">
        <v>1225</v>
      </c>
      <c r="B1227" s="7">
        <v>57.978515625</v>
      </c>
      <c r="C1227" s="3">
        <f t="shared" si="15"/>
        <v>-0.24728263936308628</v>
      </c>
    </row>
    <row r="1228" spans="1:3" ht="13.2" x14ac:dyDescent="0.25">
      <c r="A1228" s="6">
        <v>1226</v>
      </c>
      <c r="B1228" s="7">
        <v>58.607540130615234</v>
      </c>
      <c r="C1228" s="3">
        <f t="shared" si="15"/>
        <v>-0.20233332076539495</v>
      </c>
    </row>
    <row r="1229" spans="1:3" ht="13.2" x14ac:dyDescent="0.25">
      <c r="A1229" s="6">
        <v>1227</v>
      </c>
      <c r="B1229" s="7">
        <v>55.324810028076172</v>
      </c>
      <c r="C1229" s="3">
        <f t="shared" si="15"/>
        <v>-0.23214422485287708</v>
      </c>
    </row>
    <row r="1230" spans="1:3" ht="13.2" x14ac:dyDescent="0.25">
      <c r="A1230" s="6">
        <v>1228</v>
      </c>
      <c r="B1230" s="7">
        <v>54.410755157470703</v>
      </c>
      <c r="C1230" s="3">
        <f t="shared" si="15"/>
        <v>-0.27080395471004676</v>
      </c>
    </row>
    <row r="1231" spans="1:3" ht="13.2" x14ac:dyDescent="0.25">
      <c r="A1231" s="6">
        <v>1229</v>
      </c>
      <c r="B1231" s="7">
        <v>55.029953002929688</v>
      </c>
      <c r="C1231" s="3">
        <f t="shared" si="15"/>
        <v>-0.24026473775268969</v>
      </c>
    </row>
    <row r="1232" spans="1:3" ht="13.2" x14ac:dyDescent="0.25">
      <c r="A1232" s="6">
        <v>1230</v>
      </c>
      <c r="B1232" s="7">
        <v>58.057140350341797</v>
      </c>
      <c r="C1232" s="3">
        <f t="shared" si="15"/>
        <v>-0.16683166564017346</v>
      </c>
    </row>
    <row r="1233" spans="1:3" ht="13.2" x14ac:dyDescent="0.25">
      <c r="A1233" s="6">
        <v>1231</v>
      </c>
      <c r="B1233" s="7">
        <v>56.799087524414063</v>
      </c>
      <c r="C1233" s="3">
        <f t="shared" si="15"/>
        <v>-0.16657472783174235</v>
      </c>
    </row>
    <row r="1234" spans="1:3" ht="13.2" x14ac:dyDescent="0.25">
      <c r="A1234" s="6">
        <v>1232</v>
      </c>
      <c r="B1234" s="7">
        <v>57.290515899658203</v>
      </c>
      <c r="C1234" s="3">
        <f t="shared" si="15"/>
        <v>-0.15839361242569794</v>
      </c>
    </row>
    <row r="1235" spans="1:3" ht="13.2" x14ac:dyDescent="0.25">
      <c r="A1235" s="6">
        <v>1233</v>
      </c>
      <c r="B1235" s="7">
        <v>58.31268310546875</v>
      </c>
      <c r="C1235" s="3">
        <f t="shared" si="15"/>
        <v>-0.1336019107080901</v>
      </c>
    </row>
    <row r="1236" spans="1:3" ht="13.2" x14ac:dyDescent="0.25">
      <c r="A1236" s="6">
        <v>1234</v>
      </c>
      <c r="B1236" s="7">
        <v>58.224227905273438</v>
      </c>
      <c r="C1236" s="3">
        <f t="shared" si="15"/>
        <v>-0.10976487659019041</v>
      </c>
    </row>
    <row r="1237" spans="1:3" ht="13.2" x14ac:dyDescent="0.25">
      <c r="A1237" s="6">
        <v>1235</v>
      </c>
      <c r="B1237" s="7">
        <v>59.098964691162109</v>
      </c>
      <c r="C1237" s="3">
        <f t="shared" si="15"/>
        <v>-0.10524960379390717</v>
      </c>
    </row>
    <row r="1238" spans="1:3" ht="13.2" x14ac:dyDescent="0.25">
      <c r="A1238" s="6">
        <v>1236</v>
      </c>
      <c r="B1238" s="7">
        <v>61.438152313232422</v>
      </c>
      <c r="C1238" s="3">
        <f t="shared" si="15"/>
        <v>-4.311258026798756E-2</v>
      </c>
    </row>
    <row r="1239" spans="1:3" ht="13.2" x14ac:dyDescent="0.25">
      <c r="A1239" s="6">
        <v>1237</v>
      </c>
      <c r="B1239" s="7">
        <v>62.303066253662109</v>
      </c>
      <c r="C1239" s="3">
        <f t="shared" si="15"/>
        <v>-4.2055789599332503E-2</v>
      </c>
    </row>
    <row r="1240" spans="1:3" ht="13.2" x14ac:dyDescent="0.25">
      <c r="A1240" s="6">
        <v>1238</v>
      </c>
      <c r="B1240" s="7">
        <v>65.3597412109375</v>
      </c>
      <c r="C1240" s="3">
        <f t="shared" si="15"/>
        <v>-2.3872347133069721E-2</v>
      </c>
    </row>
    <row r="1241" spans="1:3" ht="13.2" x14ac:dyDescent="0.25">
      <c r="A1241" s="6">
        <v>1239</v>
      </c>
      <c r="B1241" s="7">
        <v>66.352424621582031</v>
      </c>
      <c r="C1241" s="3">
        <f t="shared" si="15"/>
        <v>-3.5398106611620794E-2</v>
      </c>
    </row>
    <row r="1242" spans="1:3" ht="13.2" x14ac:dyDescent="0.25">
      <c r="A1242" s="6">
        <v>1240</v>
      </c>
      <c r="B1242" s="7">
        <v>65.36956787109375</v>
      </c>
      <c r="C1242" s="3">
        <f t="shared" si="15"/>
        <v>-2.5459655180401851E-2</v>
      </c>
    </row>
    <row r="1243" spans="1:3" ht="13.2" x14ac:dyDescent="0.25">
      <c r="A1243" s="6">
        <v>1241</v>
      </c>
      <c r="B1243" s="7">
        <v>66.234481811523438</v>
      </c>
      <c r="C1243" s="3">
        <f t="shared" si="15"/>
        <v>-1.4338591718240822E-2</v>
      </c>
    </row>
    <row r="1244" spans="1:3" ht="13.2" x14ac:dyDescent="0.25">
      <c r="A1244" s="6">
        <v>1242</v>
      </c>
      <c r="B1244" s="7">
        <v>62.214607238769531</v>
      </c>
      <c r="C1244" s="3">
        <f t="shared" si="15"/>
        <v>-9.2707446237117297E-2</v>
      </c>
    </row>
    <row r="1245" spans="1:3" ht="13.2" x14ac:dyDescent="0.25">
      <c r="A1245" s="6">
        <v>1243</v>
      </c>
      <c r="B1245" s="7">
        <v>58.6468505859375</v>
      </c>
      <c r="C1245" s="3">
        <f t="shared" si="15"/>
        <v>-0.12774214793340322</v>
      </c>
    </row>
    <row r="1246" spans="1:3" ht="13.2" x14ac:dyDescent="0.25">
      <c r="A1246" s="6">
        <v>1244</v>
      </c>
      <c r="B1246" s="7">
        <v>57.221717834472656</v>
      </c>
      <c r="C1246" s="3">
        <f t="shared" si="15"/>
        <v>-0.17294684535064733</v>
      </c>
    </row>
    <row r="1247" spans="1:3" ht="13.2" x14ac:dyDescent="0.25">
      <c r="A1247" s="6">
        <v>1245</v>
      </c>
      <c r="B1247" s="7">
        <v>57.35931396484375</v>
      </c>
      <c r="C1247" s="3">
        <f t="shared" si="15"/>
        <v>-0.19171144009905933</v>
      </c>
    </row>
    <row r="1248" spans="1:3" ht="13.2" x14ac:dyDescent="0.25">
      <c r="A1248" s="6">
        <v>1246</v>
      </c>
      <c r="B1248" s="7">
        <v>59.492103576660156</v>
      </c>
      <c r="C1248" s="3">
        <f t="shared" si="15"/>
        <v>-0.16879359596018395</v>
      </c>
    </row>
    <row r="1249" spans="1:3" ht="13.2" x14ac:dyDescent="0.25">
      <c r="A1249" s="6">
        <v>1247</v>
      </c>
      <c r="B1249" s="7">
        <v>59.27587890625</v>
      </c>
      <c r="C1249" s="3">
        <f t="shared" si="15"/>
        <v>-0.13596516508888065</v>
      </c>
    </row>
    <row r="1250" spans="1:3" ht="13.2" x14ac:dyDescent="0.25">
      <c r="A1250" s="6">
        <v>1248</v>
      </c>
      <c r="B1250" s="7">
        <v>58.823764801025391</v>
      </c>
      <c r="C1250" s="3">
        <f t="shared" si="15"/>
        <v>-0.14104685558641145</v>
      </c>
    </row>
    <row r="1251" spans="1:3" ht="13.2" x14ac:dyDescent="0.25">
      <c r="A1251" s="6">
        <v>1249</v>
      </c>
      <c r="B1251" s="7">
        <v>57.762283325195313</v>
      </c>
      <c r="C1251" s="3">
        <f t="shared" si="15"/>
        <v>-0.17939068905728614</v>
      </c>
    </row>
    <row r="1252" spans="1:3" ht="13.2" x14ac:dyDescent="0.25">
      <c r="A1252" s="6">
        <v>1250</v>
      </c>
      <c r="B1252" s="7">
        <v>57.319999694824219</v>
      </c>
      <c r="C1252" s="3">
        <f t="shared" si="15"/>
        <v>-0.17989256285875721</v>
      </c>
    </row>
    <row r="1253" spans="1:3" ht="13.2" x14ac:dyDescent="0.25">
      <c r="A1253" s="6">
        <v>1251</v>
      </c>
      <c r="B1253" s="7">
        <v>58.159999847412109</v>
      </c>
      <c r="C1253" s="3">
        <f t="shared" si="15"/>
        <v>-0.19143935610563489</v>
      </c>
    </row>
    <row r="1254" spans="1:3" ht="13.2" x14ac:dyDescent="0.25">
      <c r="A1254" s="6">
        <v>1252</v>
      </c>
      <c r="B1254" s="7">
        <v>57.639999389648438</v>
      </c>
      <c r="C1254" s="3">
        <f t="shared" si="15"/>
        <v>-0.17469458682664393</v>
      </c>
    </row>
    <row r="1255" spans="1:3" ht="13.2" x14ac:dyDescent="0.25">
      <c r="A1255" s="6">
        <v>1253</v>
      </c>
      <c r="B1255" s="7">
        <v>57.509998321533203</v>
      </c>
      <c r="C1255" s="3">
        <f t="shared" si="15"/>
        <v>-0.18437067659980272</v>
      </c>
    </row>
    <row r="1256" spans="1:3" ht="13.2" x14ac:dyDescent="0.25">
      <c r="A1256" s="6">
        <v>1254</v>
      </c>
      <c r="B1256" s="7">
        <v>57.5</v>
      </c>
      <c r="C1256" s="3">
        <f t="shared" si="15"/>
        <v>-0.17454591064558597</v>
      </c>
    </row>
    <row r="1257" spans="1:3" ht="13.2" x14ac:dyDescent="0.25">
      <c r="A1257" s="6">
        <v>1255</v>
      </c>
      <c r="B1257" s="7">
        <v>58.209999084472656</v>
      </c>
      <c r="C1257" s="3">
        <f t="shared" si="15"/>
        <v>-0.17511073940749486</v>
      </c>
    </row>
    <row r="1258" spans="1:3" ht="13.2" x14ac:dyDescent="0.25">
      <c r="A1258" s="6">
        <v>1256</v>
      </c>
      <c r="B1258" s="7">
        <v>55.409999847412109</v>
      </c>
      <c r="C1258" s="3">
        <f t="shared" si="15"/>
        <v>-0.23708223714398449</v>
      </c>
    </row>
    <row r="1259" spans="1:3" ht="13.2" x14ac:dyDescent="0.25"/>
    <row r="1260" spans="1:3" ht="13.2" x14ac:dyDescent="0.25"/>
    <row r="1261" spans="1:3" ht="13.2" x14ac:dyDescent="0.25"/>
  </sheetData>
  <hyperlinks>
    <hyperlink ref="B1" r:id="rId1" xr:uid="{00000000-0004-0000-00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58"/>
  <sheetViews>
    <sheetView topLeftCell="A1247" workbookViewId="0">
      <selection activeCell="A1259" sqref="A1259:XFD1261"/>
    </sheetView>
  </sheetViews>
  <sheetFormatPr baseColWidth="10" defaultColWidth="12.6640625" defaultRowHeight="15.75" customHeight="1" x14ac:dyDescent="0.25"/>
  <cols>
    <col min="2" max="2" width="13.21875" customWidth="1"/>
    <col min="3" max="3" width="15.5546875" bestFit="1" customWidth="1"/>
    <col min="6" max="6" width="14.44140625" customWidth="1"/>
  </cols>
  <sheetData>
    <row r="1" spans="1:6" ht="15.75" customHeight="1" x14ac:dyDescent="0.3">
      <c r="A1" s="1"/>
      <c r="B1" s="9" t="s">
        <v>5</v>
      </c>
      <c r="C1" s="9" t="s">
        <v>6</v>
      </c>
      <c r="E1" s="4" t="s">
        <v>2</v>
      </c>
      <c r="F1" s="5">
        <f>AVERAGE(C:C)</f>
        <v>0.23729508299679938</v>
      </c>
    </row>
    <row r="2" spans="1:6" ht="13.2" x14ac:dyDescent="0.25">
      <c r="A2" s="6">
        <v>0</v>
      </c>
      <c r="B2" s="7">
        <v>44.877822875976563</v>
      </c>
      <c r="E2" s="4" t="s">
        <v>3</v>
      </c>
      <c r="F2" s="5">
        <f>_xlfn.VAR.S(C:C)</f>
        <v>7.2253923278078891E-2</v>
      </c>
    </row>
    <row r="3" spans="1:6" ht="13.2" x14ac:dyDescent="0.25">
      <c r="A3" s="6">
        <v>1</v>
      </c>
      <c r="B3" s="7">
        <v>44.397087097167969</v>
      </c>
      <c r="C3" s="3"/>
      <c r="E3" s="4" t="s">
        <v>4</v>
      </c>
      <c r="F3" s="5">
        <f>SQRT(F2)</f>
        <v>0.26880089895325665</v>
      </c>
    </row>
    <row r="4" spans="1:6" ht="13.2" x14ac:dyDescent="0.25">
      <c r="A4" s="6">
        <v>2</v>
      </c>
      <c r="B4" s="7">
        <v>44.830692291259766</v>
      </c>
      <c r="C4" s="3"/>
    </row>
    <row r="5" spans="1:6" ht="13.2" x14ac:dyDescent="0.25">
      <c r="A5" s="6">
        <v>3</v>
      </c>
      <c r="B5" s="7">
        <v>45.358558654785156</v>
      </c>
      <c r="C5" s="3"/>
    </row>
    <row r="6" spans="1:6" ht="13.2" x14ac:dyDescent="0.25">
      <c r="A6" s="6">
        <v>4</v>
      </c>
      <c r="B6" s="7">
        <v>44.472499847412109</v>
      </c>
      <c r="C6" s="3"/>
    </row>
    <row r="7" spans="1:6" ht="13.2" x14ac:dyDescent="0.25">
      <c r="A7" s="6">
        <v>5</v>
      </c>
      <c r="B7" s="7">
        <v>47.121246337890625</v>
      </c>
      <c r="C7" s="3"/>
    </row>
    <row r="8" spans="1:6" ht="13.2" x14ac:dyDescent="0.25">
      <c r="A8" s="6">
        <v>6</v>
      </c>
      <c r="B8" s="7">
        <v>46.320026397705078</v>
      </c>
      <c r="C8" s="3"/>
    </row>
    <row r="9" spans="1:6" ht="13.2" x14ac:dyDescent="0.25">
      <c r="A9" s="6">
        <v>7</v>
      </c>
      <c r="B9" s="7">
        <v>47.658535003662109</v>
      </c>
      <c r="C9" s="3"/>
    </row>
    <row r="10" spans="1:6" ht="13.2" x14ac:dyDescent="0.25">
      <c r="A10" s="6">
        <v>8</v>
      </c>
      <c r="B10" s="7">
        <v>47.922466278076172</v>
      </c>
      <c r="C10" s="3"/>
    </row>
    <row r="11" spans="1:6" ht="13.2" x14ac:dyDescent="0.25">
      <c r="A11" s="6">
        <v>9</v>
      </c>
      <c r="B11" s="7">
        <v>47.281490325927734</v>
      </c>
      <c r="C11" s="3"/>
    </row>
    <row r="12" spans="1:6" ht="13.2" x14ac:dyDescent="0.25">
      <c r="A12" s="6">
        <v>10</v>
      </c>
      <c r="B12" s="7">
        <v>50.052768707275391</v>
      </c>
      <c r="C12" s="3"/>
    </row>
    <row r="13" spans="1:6" ht="13.2" x14ac:dyDescent="0.25">
      <c r="A13" s="6">
        <v>11</v>
      </c>
      <c r="B13" s="7">
        <v>50.608913421630859</v>
      </c>
      <c r="C13" s="3"/>
    </row>
    <row r="14" spans="1:6" ht="13.2" x14ac:dyDescent="0.25">
      <c r="A14" s="6">
        <v>12</v>
      </c>
      <c r="B14" s="7">
        <v>48.817947387695313</v>
      </c>
      <c r="C14" s="3"/>
    </row>
    <row r="15" spans="1:6" ht="13.2" x14ac:dyDescent="0.25">
      <c r="A15" s="6">
        <v>13</v>
      </c>
      <c r="B15" s="7">
        <v>47.630252838134766</v>
      </c>
      <c r="C15" s="3"/>
    </row>
    <row r="16" spans="1:6" ht="13.2" x14ac:dyDescent="0.25">
      <c r="A16" s="6">
        <v>14</v>
      </c>
      <c r="B16" s="7">
        <v>43.906936645507813</v>
      </c>
      <c r="C16" s="3"/>
    </row>
    <row r="17" spans="1:3" ht="13.2" x14ac:dyDescent="0.25">
      <c r="A17" s="6">
        <v>15</v>
      </c>
      <c r="B17" s="7">
        <v>45.481098175048828</v>
      </c>
      <c r="C17" s="3"/>
    </row>
    <row r="18" spans="1:3" ht="13.2" x14ac:dyDescent="0.25">
      <c r="A18" s="6">
        <v>16</v>
      </c>
      <c r="B18" s="7">
        <v>45.547084808349609</v>
      </c>
      <c r="C18" s="3"/>
    </row>
    <row r="19" spans="1:3" ht="13.2" x14ac:dyDescent="0.25">
      <c r="A19" s="6">
        <v>17</v>
      </c>
      <c r="B19" s="7">
        <v>44.858974456787109</v>
      </c>
      <c r="C19" s="3"/>
    </row>
    <row r="20" spans="1:3" ht="13.2" x14ac:dyDescent="0.25">
      <c r="A20" s="6">
        <v>18</v>
      </c>
      <c r="B20" s="7">
        <v>44.500774383544922</v>
      </c>
      <c r="C20" s="3"/>
    </row>
    <row r="21" spans="1:3" ht="13.2" x14ac:dyDescent="0.25">
      <c r="A21" s="6">
        <v>19</v>
      </c>
      <c r="B21" s="7">
        <v>43.906936645507813</v>
      </c>
      <c r="C21" s="3"/>
    </row>
    <row r="22" spans="1:3" ht="13.2" x14ac:dyDescent="0.25">
      <c r="A22" s="6">
        <v>20</v>
      </c>
      <c r="B22" s="7">
        <v>45.433971405029297</v>
      </c>
      <c r="C22" s="3"/>
    </row>
    <row r="23" spans="1:3" ht="13.2" x14ac:dyDescent="0.25">
      <c r="A23" s="6">
        <v>21</v>
      </c>
      <c r="B23" s="7">
        <v>45.056915283203125</v>
      </c>
      <c r="C23" s="3"/>
    </row>
    <row r="24" spans="1:3" ht="13.2" x14ac:dyDescent="0.25">
      <c r="A24" s="6">
        <v>22</v>
      </c>
      <c r="B24" s="7">
        <v>44.717582702636719</v>
      </c>
      <c r="C24" s="3"/>
    </row>
    <row r="25" spans="1:3" ht="13.2" x14ac:dyDescent="0.25">
      <c r="A25" s="6">
        <v>23</v>
      </c>
      <c r="B25" s="7">
        <v>43.878654479980469</v>
      </c>
      <c r="C25" s="3"/>
    </row>
    <row r="26" spans="1:3" ht="13.2" x14ac:dyDescent="0.25">
      <c r="A26" s="6">
        <v>24</v>
      </c>
      <c r="B26" s="7">
        <v>43.190547943115234</v>
      </c>
      <c r="C26" s="3"/>
    </row>
    <row r="27" spans="1:3" ht="13.2" x14ac:dyDescent="0.25">
      <c r="A27" s="6">
        <v>25</v>
      </c>
      <c r="B27" s="7">
        <v>41.908592224121094</v>
      </c>
      <c r="C27" s="3"/>
    </row>
    <row r="28" spans="1:3" ht="13.2" x14ac:dyDescent="0.25">
      <c r="A28" s="6">
        <v>26</v>
      </c>
      <c r="B28" s="7">
        <v>42.493011474609375</v>
      </c>
      <c r="C28" s="3"/>
    </row>
    <row r="29" spans="1:3" ht="13.2" x14ac:dyDescent="0.25">
      <c r="A29" s="6">
        <v>27</v>
      </c>
      <c r="B29" s="7">
        <v>42.247932434082031</v>
      </c>
      <c r="C29" s="3"/>
    </row>
    <row r="30" spans="1:3" ht="13.2" x14ac:dyDescent="0.25">
      <c r="A30" s="6">
        <v>28</v>
      </c>
      <c r="B30" s="7">
        <v>42.954891204833984</v>
      </c>
      <c r="C30" s="3"/>
    </row>
    <row r="31" spans="1:3" ht="13.2" x14ac:dyDescent="0.25">
      <c r="A31" s="6">
        <v>29</v>
      </c>
      <c r="B31" s="7">
        <v>43.473331451416016</v>
      </c>
      <c r="C31" s="3"/>
    </row>
    <row r="32" spans="1:3" ht="13.2" x14ac:dyDescent="0.25">
      <c r="A32" s="6">
        <v>30</v>
      </c>
      <c r="B32" s="7">
        <v>43.8409423828125</v>
      </c>
      <c r="C32" s="3"/>
    </row>
    <row r="33" spans="1:3" ht="13.2" x14ac:dyDescent="0.25">
      <c r="A33" s="6">
        <v>31</v>
      </c>
      <c r="B33" s="7">
        <v>43.737262725830078</v>
      </c>
      <c r="C33" s="3"/>
    </row>
    <row r="34" spans="1:3" ht="13.2" x14ac:dyDescent="0.25">
      <c r="A34" s="6">
        <v>32</v>
      </c>
      <c r="B34" s="7">
        <v>44.491355895996094</v>
      </c>
      <c r="C34" s="3"/>
    </row>
    <row r="35" spans="1:3" ht="13.2" x14ac:dyDescent="0.25">
      <c r="A35" s="6">
        <v>33</v>
      </c>
      <c r="B35" s="7">
        <v>42.766368865966797</v>
      </c>
      <c r="C35" s="3"/>
    </row>
    <row r="36" spans="1:3" ht="13.2" x14ac:dyDescent="0.25">
      <c r="A36" s="6">
        <v>34</v>
      </c>
      <c r="B36" s="7">
        <v>41.333599090576172</v>
      </c>
      <c r="C36" s="3"/>
    </row>
    <row r="37" spans="1:3" ht="13.2" x14ac:dyDescent="0.25">
      <c r="A37" s="6">
        <v>35</v>
      </c>
      <c r="B37" s="7">
        <v>41.031959533691406</v>
      </c>
      <c r="C37" s="3"/>
    </row>
    <row r="38" spans="1:3" ht="13.2" x14ac:dyDescent="0.25">
      <c r="A38" s="6">
        <v>36</v>
      </c>
      <c r="B38" s="7">
        <v>40.438117980957031</v>
      </c>
      <c r="C38" s="3"/>
    </row>
    <row r="39" spans="1:3" ht="13.2" x14ac:dyDescent="0.25">
      <c r="A39" s="6">
        <v>37</v>
      </c>
      <c r="B39" s="7">
        <v>39.193870544433594</v>
      </c>
      <c r="C39" s="3"/>
    </row>
    <row r="40" spans="1:3" ht="13.2" x14ac:dyDescent="0.25">
      <c r="A40" s="6">
        <v>38</v>
      </c>
      <c r="B40" s="7">
        <v>39.523780822753906</v>
      </c>
      <c r="C40" s="3"/>
    </row>
    <row r="41" spans="1:3" ht="13.2" x14ac:dyDescent="0.25">
      <c r="A41" s="6">
        <v>39</v>
      </c>
      <c r="B41" s="7">
        <v>40.786888122558594</v>
      </c>
      <c r="C41" s="3"/>
    </row>
    <row r="42" spans="1:3" ht="13.2" x14ac:dyDescent="0.25">
      <c r="A42" s="6">
        <v>40</v>
      </c>
      <c r="B42" s="7">
        <v>39.938529968261719</v>
      </c>
      <c r="C42" s="3"/>
    </row>
    <row r="43" spans="1:3" ht="13.2" x14ac:dyDescent="0.25">
      <c r="A43" s="6">
        <v>41</v>
      </c>
      <c r="B43" s="7">
        <v>40.013942718505859</v>
      </c>
      <c r="C43" s="3"/>
    </row>
    <row r="44" spans="1:3" ht="13.2" x14ac:dyDescent="0.25">
      <c r="A44" s="6">
        <v>42</v>
      </c>
      <c r="B44" s="7">
        <v>41.720069885253906</v>
      </c>
      <c r="C44" s="3"/>
    </row>
    <row r="45" spans="1:3" ht="13.2" x14ac:dyDescent="0.25">
      <c r="A45" s="6">
        <v>43</v>
      </c>
      <c r="B45" s="7">
        <v>42.785224914550781</v>
      </c>
      <c r="C45" s="3"/>
    </row>
    <row r="46" spans="1:3" ht="13.2" x14ac:dyDescent="0.25">
      <c r="A46" s="6">
        <v>44</v>
      </c>
      <c r="B46" s="7">
        <v>42.115966796875</v>
      </c>
      <c r="C46" s="3"/>
    </row>
    <row r="47" spans="1:3" ht="13.2" x14ac:dyDescent="0.25">
      <c r="A47" s="6">
        <v>45</v>
      </c>
      <c r="B47" s="7">
        <v>42.106536865234375</v>
      </c>
      <c r="C47" s="3"/>
    </row>
    <row r="48" spans="1:3" ht="13.2" x14ac:dyDescent="0.25">
      <c r="A48" s="6">
        <v>46</v>
      </c>
      <c r="B48" s="7">
        <v>41.493839263916016</v>
      </c>
      <c r="C48" s="3"/>
    </row>
    <row r="49" spans="1:3" ht="13.2" x14ac:dyDescent="0.25">
      <c r="A49" s="6">
        <v>47</v>
      </c>
      <c r="B49" s="7">
        <v>41.597526550292969</v>
      </c>
      <c r="C49" s="3"/>
    </row>
    <row r="50" spans="1:3" ht="13.2" x14ac:dyDescent="0.25">
      <c r="A50" s="6">
        <v>48</v>
      </c>
      <c r="B50" s="7">
        <v>40.834011077880859</v>
      </c>
      <c r="C50" s="3"/>
    </row>
    <row r="51" spans="1:3" ht="13.2" x14ac:dyDescent="0.25">
      <c r="A51" s="6">
        <v>49</v>
      </c>
      <c r="B51" s="7">
        <v>40.645488739013672</v>
      </c>
      <c r="C51" s="3"/>
    </row>
    <row r="52" spans="1:3" ht="13.2" x14ac:dyDescent="0.25">
      <c r="A52" s="6">
        <v>50</v>
      </c>
      <c r="B52" s="7">
        <v>41.418434143066406</v>
      </c>
      <c r="C52" s="3"/>
    </row>
    <row r="53" spans="1:3" ht="13.2" x14ac:dyDescent="0.25">
      <c r="A53" s="6">
        <v>51</v>
      </c>
      <c r="B53" s="7">
        <v>40.617210388183594</v>
      </c>
      <c r="C53" s="3"/>
    </row>
    <row r="54" spans="1:3" ht="13.2" x14ac:dyDescent="0.25">
      <c r="A54" s="6">
        <v>52</v>
      </c>
      <c r="B54" s="7">
        <v>40.504096984863281</v>
      </c>
      <c r="C54" s="3"/>
    </row>
    <row r="55" spans="1:3" ht="13.2" x14ac:dyDescent="0.25">
      <c r="A55" s="6">
        <v>53</v>
      </c>
      <c r="B55" s="7">
        <v>40.570087432861328</v>
      </c>
      <c r="C55" s="3"/>
    </row>
    <row r="56" spans="1:3" ht="13.2" x14ac:dyDescent="0.25">
      <c r="A56" s="6">
        <v>54</v>
      </c>
      <c r="B56" s="7">
        <v>41.390155792236328</v>
      </c>
      <c r="C56" s="3"/>
    </row>
    <row r="57" spans="1:3" ht="13.2" x14ac:dyDescent="0.25">
      <c r="A57" s="6">
        <v>55</v>
      </c>
      <c r="B57" s="7">
        <v>41.786056518554688</v>
      </c>
      <c r="C57" s="3"/>
    </row>
    <row r="58" spans="1:3" ht="13.2" x14ac:dyDescent="0.25">
      <c r="A58" s="6">
        <v>56</v>
      </c>
      <c r="B58" s="7">
        <v>42.775794982910156</v>
      </c>
      <c r="C58" s="3"/>
    </row>
    <row r="59" spans="1:3" ht="13.2" x14ac:dyDescent="0.25">
      <c r="A59" s="6">
        <v>57</v>
      </c>
      <c r="B59" s="7">
        <v>43.190547943115234</v>
      </c>
      <c r="C59" s="3"/>
    </row>
    <row r="60" spans="1:3" ht="13.2" x14ac:dyDescent="0.25">
      <c r="A60" s="6">
        <v>58</v>
      </c>
      <c r="B60" s="7">
        <v>43.218826293945313</v>
      </c>
      <c r="C60" s="3"/>
    </row>
    <row r="61" spans="1:3" ht="13.2" x14ac:dyDescent="0.25">
      <c r="A61" s="6">
        <v>59</v>
      </c>
      <c r="B61" s="7">
        <v>44.038894653320313</v>
      </c>
      <c r="C61" s="3"/>
    </row>
    <row r="62" spans="1:3" ht="13.2" x14ac:dyDescent="0.25">
      <c r="A62" s="6">
        <v>60</v>
      </c>
      <c r="B62" s="7">
        <v>44.755279541015625</v>
      </c>
      <c r="C62" s="3"/>
    </row>
    <row r="63" spans="1:3" ht="13.2" x14ac:dyDescent="0.25">
      <c r="A63" s="6">
        <v>61</v>
      </c>
      <c r="B63" s="7">
        <v>44.566764831542969</v>
      </c>
      <c r="C63" s="3"/>
    </row>
    <row r="64" spans="1:3" ht="13.2" x14ac:dyDescent="0.25">
      <c r="A64" s="6">
        <v>62</v>
      </c>
      <c r="B64" s="7">
        <v>44.953231811523438</v>
      </c>
      <c r="C64" s="3"/>
    </row>
    <row r="65" spans="1:3" ht="13.2" x14ac:dyDescent="0.25">
      <c r="A65" s="6">
        <v>63</v>
      </c>
      <c r="B65" s="7">
        <v>43.8409423828125</v>
      </c>
      <c r="C65" s="3"/>
    </row>
    <row r="66" spans="1:3" ht="13.2" x14ac:dyDescent="0.25">
      <c r="A66" s="6">
        <v>64</v>
      </c>
      <c r="B66" s="7">
        <v>42.653255462646484</v>
      </c>
      <c r="C66" s="3"/>
    </row>
    <row r="67" spans="1:3" ht="13.2" x14ac:dyDescent="0.25">
      <c r="A67" s="6">
        <v>65</v>
      </c>
      <c r="B67" s="7">
        <v>42.50244140625</v>
      </c>
      <c r="C67" s="3"/>
    </row>
    <row r="68" spans="1:3" ht="13.2" x14ac:dyDescent="0.25">
      <c r="A68" s="6">
        <v>66</v>
      </c>
      <c r="B68" s="7">
        <v>42.229084014892578</v>
      </c>
      <c r="C68" s="3"/>
    </row>
    <row r="69" spans="1:3" ht="13.2" x14ac:dyDescent="0.25">
      <c r="A69" s="6">
        <v>67</v>
      </c>
      <c r="B69" s="7">
        <v>42.738094329833984</v>
      </c>
      <c r="C69" s="3"/>
    </row>
    <row r="70" spans="1:3" ht="13.2" x14ac:dyDescent="0.25">
      <c r="A70" s="6">
        <v>68</v>
      </c>
      <c r="B70" s="7">
        <v>42.059406280517578</v>
      </c>
      <c r="C70" s="3"/>
    </row>
    <row r="71" spans="1:3" ht="13.2" x14ac:dyDescent="0.25">
      <c r="A71" s="6">
        <v>69</v>
      </c>
      <c r="B71" s="7">
        <v>42.464729309082031</v>
      </c>
      <c r="C71" s="3"/>
    </row>
    <row r="72" spans="1:3" ht="13.2" x14ac:dyDescent="0.25">
      <c r="A72" s="6">
        <v>70</v>
      </c>
      <c r="B72" s="7">
        <v>43.708980560302734</v>
      </c>
      <c r="C72" s="3"/>
    </row>
    <row r="73" spans="1:3" ht="13.2" x14ac:dyDescent="0.25">
      <c r="A73" s="6">
        <v>71</v>
      </c>
      <c r="B73" s="7">
        <v>40.730323791503906</v>
      </c>
      <c r="C73" s="3"/>
    </row>
    <row r="74" spans="1:3" ht="13.2" x14ac:dyDescent="0.25">
      <c r="A74" s="6">
        <v>72</v>
      </c>
      <c r="B74" s="7">
        <v>41.569244384765625</v>
      </c>
      <c r="C74" s="3"/>
    </row>
    <row r="75" spans="1:3" ht="13.2" x14ac:dyDescent="0.25">
      <c r="A75" s="6">
        <v>73</v>
      </c>
      <c r="B75" s="7">
        <v>40.834011077880859</v>
      </c>
      <c r="C75" s="3"/>
    </row>
    <row r="76" spans="1:3" ht="13.2" x14ac:dyDescent="0.25">
      <c r="A76" s="6">
        <v>74</v>
      </c>
      <c r="B76" s="7">
        <v>40.15533447265625</v>
      </c>
      <c r="C76" s="3"/>
    </row>
    <row r="77" spans="1:3" ht="13.2" x14ac:dyDescent="0.25">
      <c r="A77" s="6">
        <v>75</v>
      </c>
      <c r="B77" s="7">
        <v>40.570087432861328</v>
      </c>
      <c r="C77" s="3"/>
    </row>
    <row r="78" spans="1:3" ht="13.2" x14ac:dyDescent="0.25">
      <c r="A78" s="6">
        <v>76</v>
      </c>
      <c r="B78" s="7">
        <v>41.06024169921875</v>
      </c>
      <c r="C78" s="3"/>
    </row>
    <row r="79" spans="1:3" ht="13.2" x14ac:dyDescent="0.25">
      <c r="A79" s="6">
        <v>77</v>
      </c>
      <c r="B79" s="7">
        <v>40.202465057373047</v>
      </c>
      <c r="C79" s="3"/>
    </row>
    <row r="80" spans="1:3" ht="13.2" x14ac:dyDescent="0.25">
      <c r="A80" s="6">
        <v>78</v>
      </c>
      <c r="B80" s="7">
        <v>40.230743408203125</v>
      </c>
      <c r="C80" s="3"/>
    </row>
    <row r="81" spans="1:3" ht="13.2" x14ac:dyDescent="0.25">
      <c r="A81" s="6">
        <v>79</v>
      </c>
      <c r="B81" s="7">
        <v>40.061073303222656</v>
      </c>
      <c r="C81" s="3"/>
    </row>
    <row r="82" spans="1:3" ht="13.2" x14ac:dyDescent="0.25">
      <c r="A82" s="6">
        <v>80</v>
      </c>
      <c r="B82" s="7">
        <v>40.334426879882813</v>
      </c>
      <c r="C82" s="3"/>
    </row>
    <row r="83" spans="1:3" ht="13.2" x14ac:dyDescent="0.25">
      <c r="A83" s="6">
        <v>81</v>
      </c>
      <c r="B83" s="7">
        <v>41.343025207519531</v>
      </c>
      <c r="C83" s="3"/>
    </row>
    <row r="84" spans="1:3" ht="13.2" x14ac:dyDescent="0.25">
      <c r="A84" s="6">
        <v>82</v>
      </c>
      <c r="B84" s="7">
        <v>41.786056518554688</v>
      </c>
      <c r="C84" s="3"/>
    </row>
    <row r="85" spans="1:3" ht="13.2" x14ac:dyDescent="0.25">
      <c r="A85" s="6">
        <v>83</v>
      </c>
      <c r="B85" s="7">
        <v>42.295063018798828</v>
      </c>
      <c r="C85" s="3"/>
    </row>
    <row r="86" spans="1:3" ht="13.2" x14ac:dyDescent="0.25">
      <c r="A86" s="6">
        <v>84</v>
      </c>
      <c r="B86" s="7">
        <v>40.994258880615234</v>
      </c>
      <c r="C86" s="3"/>
    </row>
    <row r="87" spans="1:3" ht="13.2" x14ac:dyDescent="0.25">
      <c r="A87" s="6">
        <v>85</v>
      </c>
      <c r="B87" s="7">
        <v>40.852867126464844</v>
      </c>
      <c r="C87" s="3"/>
    </row>
    <row r="88" spans="1:3" ht="13.2" x14ac:dyDescent="0.25">
      <c r="A88" s="6">
        <v>86</v>
      </c>
      <c r="B88" s="7">
        <v>42.115966796875</v>
      </c>
      <c r="C88" s="3"/>
    </row>
    <row r="89" spans="1:3" ht="13.2" x14ac:dyDescent="0.25">
      <c r="A89" s="6">
        <v>87</v>
      </c>
      <c r="B89" s="7">
        <v>41.776626586914063</v>
      </c>
      <c r="C89" s="3"/>
    </row>
    <row r="90" spans="1:3" ht="13.2" x14ac:dyDescent="0.25">
      <c r="A90" s="6">
        <v>88</v>
      </c>
      <c r="B90" s="7">
        <v>42.879486083984375</v>
      </c>
      <c r="C90" s="3"/>
    </row>
    <row r="91" spans="1:3" ht="13.2" x14ac:dyDescent="0.25">
      <c r="A91" s="6">
        <v>89</v>
      </c>
      <c r="B91" s="7">
        <v>42.455310821533203</v>
      </c>
      <c r="C91" s="3"/>
    </row>
    <row r="92" spans="1:3" ht="13.2" x14ac:dyDescent="0.25">
      <c r="A92" s="6">
        <v>90</v>
      </c>
      <c r="B92" s="7">
        <v>43.030303955078125</v>
      </c>
      <c r="C92" s="3"/>
    </row>
    <row r="93" spans="1:3" ht="13.2" x14ac:dyDescent="0.25">
      <c r="A93" s="6">
        <v>91</v>
      </c>
      <c r="B93" s="7">
        <v>43.567592620849609</v>
      </c>
      <c r="C93" s="3"/>
    </row>
    <row r="94" spans="1:3" ht="13.2" x14ac:dyDescent="0.25">
      <c r="A94" s="6">
        <v>92</v>
      </c>
      <c r="B94" s="7">
        <v>42.822925567626953</v>
      </c>
      <c r="C94" s="3"/>
    </row>
    <row r="95" spans="1:3" ht="13.2" x14ac:dyDescent="0.25">
      <c r="A95" s="6">
        <v>93</v>
      </c>
      <c r="B95" s="7">
        <v>41.390155792236328</v>
      </c>
      <c r="C95" s="3"/>
    </row>
    <row r="96" spans="1:3" ht="13.2" x14ac:dyDescent="0.25">
      <c r="A96" s="6">
        <v>94</v>
      </c>
      <c r="B96" s="7">
        <v>41.757774353027344</v>
      </c>
      <c r="C96" s="3"/>
    </row>
    <row r="97" spans="1:3" ht="13.2" x14ac:dyDescent="0.25">
      <c r="A97" s="6">
        <v>95</v>
      </c>
      <c r="B97" s="7">
        <v>42.794651031494141</v>
      </c>
      <c r="C97" s="3"/>
    </row>
    <row r="98" spans="1:3" ht="13.2" x14ac:dyDescent="0.25">
      <c r="A98" s="6">
        <v>96</v>
      </c>
      <c r="B98" s="7">
        <v>43.039730072021484</v>
      </c>
      <c r="C98" s="3"/>
    </row>
    <row r="99" spans="1:3" ht="13.2" x14ac:dyDescent="0.25">
      <c r="A99" s="6">
        <v>97</v>
      </c>
      <c r="B99" s="7">
        <v>42.662681579589844</v>
      </c>
      <c r="C99" s="3"/>
    </row>
    <row r="100" spans="1:3" ht="13.2" x14ac:dyDescent="0.25">
      <c r="A100" s="6">
        <v>98</v>
      </c>
      <c r="B100" s="7">
        <v>44.274555206298828</v>
      </c>
      <c r="C100" s="3"/>
    </row>
    <row r="101" spans="1:3" ht="13.2" x14ac:dyDescent="0.25">
      <c r="A101" s="6">
        <v>99</v>
      </c>
      <c r="B101" s="7">
        <v>44.274555206298828</v>
      </c>
      <c r="C101" s="3"/>
    </row>
    <row r="102" spans="1:3" ht="13.2" x14ac:dyDescent="0.25">
      <c r="A102" s="6">
        <v>100</v>
      </c>
      <c r="B102" s="7">
        <v>44.906105041503906</v>
      </c>
      <c r="C102" s="3"/>
    </row>
    <row r="103" spans="1:3" ht="13.2" x14ac:dyDescent="0.25">
      <c r="A103" s="6">
        <v>101</v>
      </c>
      <c r="B103" s="7">
        <v>43.492179870605469</v>
      </c>
      <c r="C103" s="3"/>
    </row>
    <row r="104" spans="1:3" ht="13.2" x14ac:dyDescent="0.25">
      <c r="A104" s="6">
        <v>102</v>
      </c>
      <c r="B104" s="7">
        <v>43.595870971679688</v>
      </c>
      <c r="C104" s="3"/>
    </row>
    <row r="105" spans="1:3" ht="13.2" x14ac:dyDescent="0.25">
      <c r="A105" s="6">
        <v>103</v>
      </c>
      <c r="B105" s="7">
        <v>42.653255462646484</v>
      </c>
      <c r="C105" s="3"/>
    </row>
    <row r="106" spans="1:3" ht="13.2" x14ac:dyDescent="0.25">
      <c r="A106" s="6">
        <v>104</v>
      </c>
      <c r="B106" s="7">
        <v>41.550395965576172</v>
      </c>
      <c r="C106" s="3"/>
    </row>
    <row r="107" spans="1:3" ht="13.2" x14ac:dyDescent="0.25">
      <c r="A107" s="6">
        <v>105</v>
      </c>
      <c r="B107" s="7">
        <v>41.550395965576172</v>
      </c>
      <c r="C107" s="3"/>
    </row>
    <row r="108" spans="1:3" ht="13.2" x14ac:dyDescent="0.25">
      <c r="A108" s="6">
        <v>106</v>
      </c>
      <c r="B108" s="7">
        <v>39.985664367675781</v>
      </c>
      <c r="C108" s="3"/>
    </row>
    <row r="109" spans="1:3" ht="13.2" x14ac:dyDescent="0.25">
      <c r="A109" s="6">
        <v>107</v>
      </c>
      <c r="B109" s="7">
        <v>40.570087432861328</v>
      </c>
      <c r="C109" s="3"/>
    </row>
    <row r="110" spans="1:3" ht="13.2" x14ac:dyDescent="0.25">
      <c r="A110" s="6">
        <v>108</v>
      </c>
      <c r="B110" s="7">
        <v>39.721725463867188</v>
      </c>
      <c r="C110" s="3"/>
    </row>
    <row r="111" spans="1:3" ht="13.2" x14ac:dyDescent="0.25">
      <c r="A111" s="6">
        <v>109</v>
      </c>
      <c r="B111" s="7">
        <v>40.117630004882813</v>
      </c>
      <c r="C111" s="3"/>
    </row>
    <row r="112" spans="1:3" ht="13.2" x14ac:dyDescent="0.25">
      <c r="A112" s="6">
        <v>110</v>
      </c>
      <c r="B112" s="7">
        <v>40.108200073242188</v>
      </c>
      <c r="C112" s="3"/>
    </row>
    <row r="113" spans="1:3" ht="13.2" x14ac:dyDescent="0.25">
      <c r="A113" s="6">
        <v>111</v>
      </c>
      <c r="B113" s="7">
        <v>39.844268798828125</v>
      </c>
      <c r="C113" s="3"/>
    </row>
    <row r="114" spans="1:3" ht="13.2" x14ac:dyDescent="0.25">
      <c r="A114" s="6">
        <v>112</v>
      </c>
      <c r="B114" s="7">
        <v>38.26068115234375</v>
      </c>
      <c r="C114" s="3"/>
    </row>
    <row r="115" spans="1:3" ht="13.2" x14ac:dyDescent="0.25">
      <c r="A115" s="6">
        <v>113</v>
      </c>
      <c r="B115" s="7">
        <v>37.138973236083984</v>
      </c>
      <c r="C115" s="3"/>
    </row>
    <row r="116" spans="1:3" ht="13.2" x14ac:dyDescent="0.25">
      <c r="A116" s="6">
        <v>114</v>
      </c>
      <c r="B116" s="7">
        <v>37.025852203369141</v>
      </c>
      <c r="C116" s="3"/>
    </row>
    <row r="117" spans="1:3" ht="13.2" x14ac:dyDescent="0.25">
      <c r="A117" s="6">
        <v>115</v>
      </c>
      <c r="B117" s="7">
        <v>36.903316497802734</v>
      </c>
      <c r="C117" s="3"/>
    </row>
    <row r="118" spans="1:3" ht="13.2" x14ac:dyDescent="0.25">
      <c r="A118" s="6">
        <v>116</v>
      </c>
      <c r="B118" s="7">
        <v>37.996749877929688</v>
      </c>
      <c r="C118" s="3"/>
    </row>
    <row r="119" spans="1:3" ht="13.2" x14ac:dyDescent="0.25">
      <c r="A119" s="6">
        <v>117</v>
      </c>
      <c r="B119" s="7">
        <v>39.269275665283203</v>
      </c>
      <c r="C119" s="3"/>
    </row>
    <row r="120" spans="1:3" ht="13.2" x14ac:dyDescent="0.25">
      <c r="A120" s="6">
        <v>118</v>
      </c>
      <c r="B120" s="7">
        <v>38.741409301757813</v>
      </c>
      <c r="C120" s="3"/>
    </row>
    <row r="121" spans="1:3" ht="13.2" x14ac:dyDescent="0.25">
      <c r="A121" s="6">
        <v>119</v>
      </c>
      <c r="B121" s="7">
        <v>40.315578460693359</v>
      </c>
      <c r="C121" s="3"/>
    </row>
    <row r="122" spans="1:3" ht="13.2" x14ac:dyDescent="0.25">
      <c r="A122" s="6">
        <v>120</v>
      </c>
      <c r="B122" s="7">
        <v>40.805732727050781</v>
      </c>
      <c r="C122" s="3"/>
    </row>
    <row r="123" spans="1:3" ht="13.2" x14ac:dyDescent="0.25">
      <c r="A123" s="6">
        <v>121</v>
      </c>
      <c r="B123" s="7">
        <v>42.125392913818359</v>
      </c>
      <c r="C123" s="3"/>
    </row>
    <row r="124" spans="1:3" ht="13.2" x14ac:dyDescent="0.25">
      <c r="A124" s="6">
        <v>122</v>
      </c>
      <c r="B124" s="7">
        <v>42.002857208251953</v>
      </c>
      <c r="C124" s="3"/>
    </row>
    <row r="125" spans="1:3" ht="13.2" x14ac:dyDescent="0.25">
      <c r="A125" s="6">
        <v>123</v>
      </c>
      <c r="B125" s="7">
        <v>42.577846527099609</v>
      </c>
      <c r="C125" s="3"/>
    </row>
    <row r="126" spans="1:3" ht="13.2" x14ac:dyDescent="0.25">
      <c r="A126" s="6">
        <v>124</v>
      </c>
      <c r="B126" s="7">
        <v>44.057746887207031</v>
      </c>
      <c r="C126" s="3"/>
    </row>
    <row r="127" spans="1:3" ht="13.2" x14ac:dyDescent="0.25">
      <c r="A127" s="6">
        <v>125</v>
      </c>
      <c r="B127" s="7">
        <v>44.378242492675781</v>
      </c>
      <c r="C127" s="3"/>
    </row>
    <row r="128" spans="1:3" ht="13.2" x14ac:dyDescent="0.25">
      <c r="A128" s="6">
        <v>126</v>
      </c>
      <c r="B128" s="7">
        <v>43.803249359130859</v>
      </c>
      <c r="C128" s="3"/>
    </row>
    <row r="129" spans="1:3" ht="13.2" x14ac:dyDescent="0.25">
      <c r="A129" s="6">
        <v>127</v>
      </c>
      <c r="B129" s="7">
        <v>43.991764068603516</v>
      </c>
      <c r="C129" s="3"/>
    </row>
    <row r="130" spans="1:3" ht="13.2" x14ac:dyDescent="0.25">
      <c r="A130" s="6">
        <v>128</v>
      </c>
      <c r="B130" s="7">
        <v>42.898334503173828</v>
      </c>
      <c r="C130" s="3"/>
    </row>
    <row r="131" spans="1:3" ht="13.2" x14ac:dyDescent="0.25">
      <c r="A131" s="6">
        <v>129</v>
      </c>
      <c r="B131" s="7">
        <v>43.511035919189453</v>
      </c>
      <c r="C131" s="3"/>
    </row>
    <row r="132" spans="1:3" ht="13.2" x14ac:dyDescent="0.25">
      <c r="A132" s="6">
        <v>130</v>
      </c>
      <c r="B132" s="7">
        <v>44.595039367675781</v>
      </c>
      <c r="C132" s="3"/>
    </row>
    <row r="133" spans="1:3" ht="13.2" x14ac:dyDescent="0.25">
      <c r="A133" s="6">
        <v>131</v>
      </c>
      <c r="B133" s="7">
        <v>43.708980560302734</v>
      </c>
      <c r="C133" s="3"/>
    </row>
    <row r="134" spans="1:3" ht="13.2" x14ac:dyDescent="0.25">
      <c r="A134" s="6">
        <v>132</v>
      </c>
      <c r="B134" s="7">
        <v>44.067176818847656</v>
      </c>
      <c r="C134" s="3"/>
    </row>
    <row r="135" spans="1:3" ht="13.2" x14ac:dyDescent="0.25">
      <c r="A135" s="6">
        <v>133</v>
      </c>
      <c r="B135" s="7">
        <v>43.265960693359375</v>
      </c>
      <c r="C135" s="3"/>
    </row>
    <row r="136" spans="1:3" ht="13.2" x14ac:dyDescent="0.25">
      <c r="A136" s="6">
        <v>134</v>
      </c>
      <c r="B136" s="7">
        <v>45.9901123046875</v>
      </c>
      <c r="C136" s="3"/>
    </row>
    <row r="137" spans="1:3" ht="13.2" x14ac:dyDescent="0.25">
      <c r="A137" s="6">
        <v>135</v>
      </c>
      <c r="B137" s="7">
        <v>45.745021820068359</v>
      </c>
      <c r="C137" s="3"/>
    </row>
    <row r="138" spans="1:3" ht="13.2" x14ac:dyDescent="0.25">
      <c r="A138" s="6">
        <v>136</v>
      </c>
      <c r="B138" s="7">
        <v>46.338874816894531</v>
      </c>
      <c r="C138" s="3"/>
    </row>
    <row r="139" spans="1:3" ht="13.2" x14ac:dyDescent="0.25">
      <c r="A139" s="6">
        <v>137</v>
      </c>
      <c r="B139" s="7">
        <v>46.329444885253906</v>
      </c>
      <c r="C139" s="3"/>
    </row>
    <row r="140" spans="1:3" ht="13.2" x14ac:dyDescent="0.25">
      <c r="A140" s="6">
        <v>138</v>
      </c>
      <c r="B140" s="7">
        <v>45.236019134521484</v>
      </c>
      <c r="C140" s="3"/>
    </row>
    <row r="141" spans="1:3" ht="13.2" x14ac:dyDescent="0.25">
      <c r="A141" s="6">
        <v>139</v>
      </c>
      <c r="B141" s="7">
        <v>47.894191741943359</v>
      </c>
      <c r="C141" s="3"/>
    </row>
    <row r="142" spans="1:3" ht="13.2" x14ac:dyDescent="0.25">
      <c r="A142" s="6">
        <v>140</v>
      </c>
      <c r="B142" s="7">
        <v>47.837631225585938</v>
      </c>
      <c r="C142" s="3"/>
    </row>
    <row r="143" spans="1:3" ht="13.2" x14ac:dyDescent="0.25">
      <c r="A143" s="6">
        <v>141</v>
      </c>
      <c r="B143" s="7">
        <v>48.384353637695313</v>
      </c>
      <c r="C143" s="3"/>
    </row>
    <row r="144" spans="1:3" ht="13.2" x14ac:dyDescent="0.25">
      <c r="A144" s="6">
        <v>142</v>
      </c>
      <c r="B144" s="7">
        <v>48.063858032226563</v>
      </c>
      <c r="C144" s="3"/>
    </row>
    <row r="145" spans="1:3" ht="13.2" x14ac:dyDescent="0.25">
      <c r="A145" s="6">
        <v>143</v>
      </c>
      <c r="B145" s="7">
        <v>48.46917724609375</v>
      </c>
      <c r="C145" s="3"/>
    </row>
    <row r="146" spans="1:3" ht="13.2" x14ac:dyDescent="0.25">
      <c r="A146" s="6">
        <v>144</v>
      </c>
      <c r="B146" s="7">
        <v>49.223274230957031</v>
      </c>
      <c r="C146" s="3"/>
    </row>
    <row r="147" spans="1:3" ht="13.2" x14ac:dyDescent="0.25">
      <c r="A147" s="6">
        <v>145</v>
      </c>
      <c r="B147" s="7">
        <v>50.278999328613281</v>
      </c>
      <c r="C147" s="3"/>
    </row>
    <row r="148" spans="1:3" ht="13.2" x14ac:dyDescent="0.25">
      <c r="A148" s="6">
        <v>146</v>
      </c>
      <c r="B148" s="7">
        <v>53.710109710693359</v>
      </c>
      <c r="C148" s="3"/>
    </row>
    <row r="149" spans="1:3" ht="13.2" x14ac:dyDescent="0.25">
      <c r="A149" s="6">
        <v>147</v>
      </c>
      <c r="B149" s="7">
        <v>52.569553375244141</v>
      </c>
      <c r="C149" s="3"/>
    </row>
    <row r="150" spans="1:3" ht="13.2" x14ac:dyDescent="0.25">
      <c r="A150" s="6">
        <v>148</v>
      </c>
      <c r="B150" s="7">
        <v>52.531845092773438</v>
      </c>
      <c r="C150" s="3"/>
    </row>
    <row r="151" spans="1:3" ht="13.2" x14ac:dyDescent="0.25">
      <c r="A151" s="6">
        <v>149</v>
      </c>
      <c r="B151" s="7">
        <v>50.005641937255859</v>
      </c>
      <c r="C151" s="3"/>
    </row>
    <row r="152" spans="1:3" ht="13.2" x14ac:dyDescent="0.25">
      <c r="A152" s="6">
        <v>150</v>
      </c>
      <c r="B152" s="7">
        <v>54.219123840332031</v>
      </c>
      <c r="C152" s="3"/>
    </row>
    <row r="153" spans="1:3" ht="13.2" x14ac:dyDescent="0.25">
      <c r="A153" s="6">
        <v>151</v>
      </c>
      <c r="B153" s="7">
        <v>56.820735931396484</v>
      </c>
      <c r="C153" s="3"/>
    </row>
    <row r="154" spans="1:3" ht="13.2" x14ac:dyDescent="0.25">
      <c r="A154" s="6">
        <v>152</v>
      </c>
      <c r="B154" s="7">
        <v>58.649406433105469</v>
      </c>
      <c r="C154" s="3"/>
    </row>
    <row r="155" spans="1:3" ht="13.2" x14ac:dyDescent="0.25">
      <c r="A155" s="6">
        <v>153</v>
      </c>
      <c r="B155" s="7">
        <v>61.731754302978516</v>
      </c>
      <c r="C155" s="3"/>
    </row>
    <row r="156" spans="1:3" ht="13.2" x14ac:dyDescent="0.25">
      <c r="A156" s="6">
        <v>154</v>
      </c>
      <c r="B156" s="7">
        <v>62.872310638427734</v>
      </c>
      <c r="C156" s="3"/>
    </row>
    <row r="157" spans="1:3" ht="13.2" x14ac:dyDescent="0.25">
      <c r="A157" s="6">
        <v>155</v>
      </c>
      <c r="B157" s="7">
        <v>62.570671081542969</v>
      </c>
      <c r="C157" s="3"/>
    </row>
    <row r="158" spans="1:3" ht="13.2" x14ac:dyDescent="0.25">
      <c r="A158" s="6">
        <v>156</v>
      </c>
      <c r="B158" s="7">
        <v>61.599781036376953</v>
      </c>
      <c r="C158" s="3"/>
    </row>
    <row r="159" spans="1:3" ht="13.2" x14ac:dyDescent="0.25">
      <c r="A159" s="6">
        <v>157</v>
      </c>
      <c r="B159" s="7">
        <v>62.193634033203125</v>
      </c>
      <c r="C159" s="3"/>
    </row>
    <row r="160" spans="1:3" ht="13.2" x14ac:dyDescent="0.25">
      <c r="A160" s="6">
        <v>158</v>
      </c>
      <c r="B160" s="7">
        <v>63.032562255859375</v>
      </c>
      <c r="C160" s="3"/>
    </row>
    <row r="161" spans="1:3" ht="13.2" x14ac:dyDescent="0.25">
      <c r="A161" s="6">
        <v>159</v>
      </c>
      <c r="B161" s="7">
        <v>63.720668792724609</v>
      </c>
      <c r="C161" s="3"/>
    </row>
    <row r="162" spans="1:3" ht="13.2" x14ac:dyDescent="0.25">
      <c r="A162" s="6">
        <v>160</v>
      </c>
      <c r="B162" s="7">
        <v>65.323104858398438</v>
      </c>
      <c r="C162" s="3"/>
    </row>
    <row r="163" spans="1:3" ht="13.2" x14ac:dyDescent="0.25">
      <c r="A163" s="6">
        <v>161</v>
      </c>
      <c r="B163" s="7">
        <v>64.088279724121094</v>
      </c>
      <c r="C163" s="3"/>
    </row>
    <row r="164" spans="1:3" ht="13.2" x14ac:dyDescent="0.25">
      <c r="A164" s="6">
        <v>162</v>
      </c>
      <c r="B164" s="7">
        <v>63.060832977294922</v>
      </c>
      <c r="C164" s="3"/>
    </row>
    <row r="165" spans="1:3" ht="13.2" x14ac:dyDescent="0.25">
      <c r="A165" s="6">
        <v>163</v>
      </c>
      <c r="B165" s="7">
        <v>60.798568725585938</v>
      </c>
      <c r="C165" s="3"/>
    </row>
    <row r="166" spans="1:3" ht="13.2" x14ac:dyDescent="0.25">
      <c r="A166" s="6">
        <v>164</v>
      </c>
      <c r="B166" s="7">
        <v>61.43011474609375</v>
      </c>
      <c r="C166" s="3"/>
    </row>
    <row r="167" spans="1:3" ht="13.2" x14ac:dyDescent="0.25">
      <c r="A167" s="6">
        <v>165</v>
      </c>
      <c r="B167" s="7">
        <v>61.929702758789063</v>
      </c>
      <c r="C167" s="3"/>
    </row>
    <row r="168" spans="1:3" ht="13.2" x14ac:dyDescent="0.25">
      <c r="A168" s="6">
        <v>166</v>
      </c>
      <c r="B168" s="7">
        <v>61.392410278320313</v>
      </c>
      <c r="C168" s="3"/>
    </row>
    <row r="169" spans="1:3" ht="13.2" x14ac:dyDescent="0.25">
      <c r="A169" s="6">
        <v>167</v>
      </c>
      <c r="B169" s="7">
        <v>61.326423645019531</v>
      </c>
      <c r="C169" s="3"/>
    </row>
    <row r="170" spans="1:3" ht="13.2" x14ac:dyDescent="0.25">
      <c r="A170" s="6">
        <v>168</v>
      </c>
      <c r="B170" s="7">
        <v>59.931365966796875</v>
      </c>
      <c r="C170" s="3"/>
    </row>
    <row r="171" spans="1:3" ht="13.2" x14ac:dyDescent="0.25">
      <c r="A171" s="6">
        <v>169</v>
      </c>
      <c r="B171" s="7">
        <v>58.988746643066406</v>
      </c>
      <c r="C171" s="3"/>
    </row>
    <row r="172" spans="1:3" ht="13.2" x14ac:dyDescent="0.25">
      <c r="A172" s="6">
        <v>170</v>
      </c>
      <c r="B172" s="7">
        <v>57.659660339355469</v>
      </c>
      <c r="C172" s="3"/>
    </row>
    <row r="173" spans="1:3" ht="13.2" x14ac:dyDescent="0.25">
      <c r="A173" s="6">
        <v>171</v>
      </c>
      <c r="B173" s="7">
        <v>57.697364807128906</v>
      </c>
      <c r="C173" s="3"/>
    </row>
    <row r="174" spans="1:3" ht="13.2" x14ac:dyDescent="0.25">
      <c r="A174" s="6">
        <v>172</v>
      </c>
      <c r="B174" s="7">
        <v>56.471973419189453</v>
      </c>
      <c r="C174" s="3"/>
    </row>
    <row r="175" spans="1:3" ht="13.2" x14ac:dyDescent="0.25">
      <c r="A175" s="6">
        <v>173</v>
      </c>
      <c r="B175" s="7">
        <v>54.303955078125</v>
      </c>
      <c r="C175" s="3"/>
    </row>
    <row r="176" spans="1:3" ht="13.2" x14ac:dyDescent="0.25">
      <c r="A176" s="6">
        <v>174</v>
      </c>
      <c r="B176" s="7">
        <v>52.267913818359375</v>
      </c>
      <c r="C176" s="3"/>
    </row>
    <row r="177" spans="1:3" ht="13.2" x14ac:dyDescent="0.25">
      <c r="A177" s="6">
        <v>175</v>
      </c>
      <c r="B177" s="7">
        <v>48.629425048828125</v>
      </c>
      <c r="C177" s="3"/>
    </row>
    <row r="178" spans="1:3" ht="13.2" x14ac:dyDescent="0.25">
      <c r="A178" s="6">
        <v>176</v>
      </c>
      <c r="B178" s="7">
        <v>49.298683166503906</v>
      </c>
      <c r="C178" s="3"/>
    </row>
    <row r="179" spans="1:3" ht="13.2" x14ac:dyDescent="0.25">
      <c r="A179" s="6">
        <v>177</v>
      </c>
      <c r="B179" s="7">
        <v>49.336383819580078</v>
      </c>
      <c r="C179" s="3"/>
    </row>
    <row r="180" spans="1:3" ht="13.2" x14ac:dyDescent="0.25">
      <c r="A180" s="6">
        <v>178</v>
      </c>
      <c r="B180" s="7">
        <v>51.05194091796875</v>
      </c>
      <c r="C180" s="3"/>
    </row>
    <row r="181" spans="1:3" ht="13.2" x14ac:dyDescent="0.25">
      <c r="A181" s="6">
        <v>179</v>
      </c>
      <c r="B181" s="7">
        <v>50.646617889404297</v>
      </c>
      <c r="C181" s="3"/>
    </row>
    <row r="182" spans="1:3" ht="13.2" x14ac:dyDescent="0.25">
      <c r="A182" s="6">
        <v>180</v>
      </c>
      <c r="B182" s="7">
        <v>48.865077972412109</v>
      </c>
      <c r="C182" s="3"/>
    </row>
    <row r="183" spans="1:3" ht="13.2" x14ac:dyDescent="0.25">
      <c r="A183" s="6">
        <v>181</v>
      </c>
      <c r="B183" s="7">
        <v>50.363838195800781</v>
      </c>
      <c r="C183" s="3"/>
    </row>
    <row r="184" spans="1:3" ht="13.2" x14ac:dyDescent="0.25">
      <c r="A184" s="6">
        <v>182</v>
      </c>
      <c r="B184" s="7">
        <v>51.070793151855469</v>
      </c>
      <c r="C184" s="3"/>
    </row>
    <row r="185" spans="1:3" ht="13.2" x14ac:dyDescent="0.25">
      <c r="A185" s="6">
        <v>183</v>
      </c>
      <c r="B185" s="7">
        <v>49.194995880126953</v>
      </c>
      <c r="C185" s="3"/>
    </row>
    <row r="186" spans="1:3" ht="13.2" x14ac:dyDescent="0.25">
      <c r="A186" s="6">
        <v>184</v>
      </c>
      <c r="B186" s="7">
        <v>49.440078735351563</v>
      </c>
      <c r="C186" s="3"/>
    </row>
    <row r="187" spans="1:3" ht="13.2" x14ac:dyDescent="0.25">
      <c r="A187" s="6">
        <v>185</v>
      </c>
      <c r="B187" s="7">
        <v>50.090476989746094</v>
      </c>
      <c r="C187" s="3"/>
    </row>
    <row r="188" spans="1:3" ht="13.2" x14ac:dyDescent="0.25">
      <c r="A188" s="6">
        <v>186</v>
      </c>
      <c r="B188" s="7">
        <v>49.920806884765625</v>
      </c>
      <c r="C188" s="3"/>
    </row>
    <row r="189" spans="1:3" ht="13.2" x14ac:dyDescent="0.25">
      <c r="A189" s="6">
        <v>187</v>
      </c>
      <c r="B189" s="7">
        <v>51.004814147949219</v>
      </c>
      <c r="C189" s="3"/>
    </row>
    <row r="190" spans="1:3" ht="13.2" x14ac:dyDescent="0.25">
      <c r="A190" s="6">
        <v>188</v>
      </c>
      <c r="B190" s="7">
        <v>49.194995880126953</v>
      </c>
      <c r="C190" s="3"/>
    </row>
    <row r="191" spans="1:3" ht="13.2" x14ac:dyDescent="0.25">
      <c r="A191" s="6">
        <v>189</v>
      </c>
      <c r="B191" s="7">
        <v>48.374916076660156</v>
      </c>
      <c r="C191" s="3"/>
    </row>
    <row r="192" spans="1:3" ht="13.2" x14ac:dyDescent="0.25">
      <c r="A192" s="6">
        <v>190</v>
      </c>
      <c r="B192" s="7">
        <v>46.423709869384766</v>
      </c>
      <c r="C192" s="3"/>
    </row>
    <row r="193" spans="1:3" ht="13.2" x14ac:dyDescent="0.25">
      <c r="A193" s="6">
        <v>191</v>
      </c>
      <c r="B193" s="7">
        <v>47.941318511962891</v>
      </c>
      <c r="C193" s="3"/>
    </row>
    <row r="194" spans="1:3" ht="13.2" x14ac:dyDescent="0.25">
      <c r="A194" s="6">
        <v>192</v>
      </c>
      <c r="B194" s="7">
        <v>47.34747314453125</v>
      </c>
      <c r="C194" s="3"/>
    </row>
    <row r="195" spans="1:3" ht="13.2" x14ac:dyDescent="0.25">
      <c r="A195" s="6">
        <v>193</v>
      </c>
      <c r="B195" s="7">
        <v>46.404857635498047</v>
      </c>
      <c r="C195" s="3"/>
    </row>
    <row r="196" spans="1:3" ht="13.2" x14ac:dyDescent="0.25">
      <c r="A196" s="6">
        <v>194</v>
      </c>
      <c r="B196" s="7">
        <v>48.865077972412109</v>
      </c>
      <c r="C196" s="3"/>
    </row>
    <row r="197" spans="1:3" ht="13.2" x14ac:dyDescent="0.25">
      <c r="A197" s="6">
        <v>195</v>
      </c>
      <c r="B197" s="7">
        <v>49.053600311279297</v>
      </c>
      <c r="C197" s="3"/>
    </row>
    <row r="198" spans="1:3" ht="13.2" x14ac:dyDescent="0.25">
      <c r="A198" s="6">
        <v>196</v>
      </c>
      <c r="B198" s="7">
        <v>49.62860107421875</v>
      </c>
      <c r="C198" s="3"/>
    </row>
    <row r="199" spans="1:3" ht="13.2" x14ac:dyDescent="0.25">
      <c r="A199" s="6">
        <v>197</v>
      </c>
      <c r="B199" s="7">
        <v>50.203590393066406</v>
      </c>
      <c r="C199" s="3"/>
    </row>
    <row r="200" spans="1:3" ht="13.2" x14ac:dyDescent="0.25">
      <c r="A200" s="6">
        <v>198</v>
      </c>
      <c r="B200" s="7">
        <v>51.278167724609375</v>
      </c>
      <c r="C200" s="3"/>
    </row>
    <row r="201" spans="1:3" ht="13.2" x14ac:dyDescent="0.25">
      <c r="A201" s="6">
        <v>199</v>
      </c>
      <c r="B201" s="7">
        <v>50.674896240234375</v>
      </c>
      <c r="C201" s="3"/>
    </row>
    <row r="202" spans="1:3" ht="13.2" x14ac:dyDescent="0.25">
      <c r="A202" s="6">
        <v>200</v>
      </c>
      <c r="B202" s="7">
        <v>51.13677978515625</v>
      </c>
      <c r="C202" s="3"/>
    </row>
    <row r="203" spans="1:3" ht="13.2" x14ac:dyDescent="0.25">
      <c r="A203" s="6">
        <v>201</v>
      </c>
      <c r="B203" s="7">
        <v>51.664649963378906</v>
      </c>
      <c r="C203" s="3"/>
    </row>
    <row r="204" spans="1:3" ht="13.2" x14ac:dyDescent="0.25">
      <c r="A204" s="6">
        <v>202</v>
      </c>
      <c r="B204" s="7">
        <v>53.201099395751953</v>
      </c>
      <c r="C204" s="3"/>
    </row>
    <row r="205" spans="1:3" ht="13.2" x14ac:dyDescent="0.25">
      <c r="A205" s="6">
        <v>203</v>
      </c>
      <c r="B205" s="7">
        <v>52.088817596435547</v>
      </c>
      <c r="C205" s="3"/>
    </row>
    <row r="206" spans="1:3" ht="13.2" x14ac:dyDescent="0.25">
      <c r="A206" s="6">
        <v>204</v>
      </c>
      <c r="B206" s="7">
        <v>51.919151306152344</v>
      </c>
      <c r="C206" s="3"/>
    </row>
    <row r="207" spans="1:3" ht="13.2" x14ac:dyDescent="0.25">
      <c r="A207" s="6">
        <v>205</v>
      </c>
      <c r="B207" s="7">
        <v>52.890037536621094</v>
      </c>
      <c r="C207" s="3"/>
    </row>
    <row r="208" spans="1:3" ht="13.2" x14ac:dyDescent="0.25">
      <c r="A208" s="6">
        <v>206</v>
      </c>
      <c r="B208" s="7">
        <v>53.465034484863281</v>
      </c>
      <c r="C208" s="3"/>
    </row>
    <row r="209" spans="1:3" ht="13.2" x14ac:dyDescent="0.25">
      <c r="A209" s="6">
        <v>207</v>
      </c>
      <c r="B209" s="7">
        <v>53.229381561279297</v>
      </c>
      <c r="C209" s="3"/>
    </row>
    <row r="210" spans="1:3" ht="13.2" x14ac:dyDescent="0.25">
      <c r="A210" s="6">
        <v>208</v>
      </c>
      <c r="B210" s="7">
        <v>50.552356719970703</v>
      </c>
      <c r="C210" s="3"/>
    </row>
    <row r="211" spans="1:3" ht="13.2" x14ac:dyDescent="0.25">
      <c r="A211" s="6">
        <v>209</v>
      </c>
      <c r="B211" s="7">
        <v>51.457267761230469</v>
      </c>
      <c r="C211" s="3"/>
    </row>
    <row r="212" spans="1:3" ht="13.2" x14ac:dyDescent="0.25">
      <c r="A212" s="6">
        <v>210</v>
      </c>
      <c r="B212" s="7">
        <v>50.919975280761719</v>
      </c>
      <c r="C212" s="3"/>
    </row>
    <row r="213" spans="1:3" ht="13.2" x14ac:dyDescent="0.25">
      <c r="A213" s="6">
        <v>211</v>
      </c>
      <c r="B213" s="7">
        <v>50.901126861572266</v>
      </c>
      <c r="C213" s="3"/>
    </row>
    <row r="214" spans="1:3" ht="13.2" x14ac:dyDescent="0.25">
      <c r="A214" s="6">
        <v>212</v>
      </c>
      <c r="B214" s="7">
        <v>51.636367797851563</v>
      </c>
      <c r="C214" s="3"/>
    </row>
    <row r="215" spans="1:3" ht="13.2" x14ac:dyDescent="0.25">
      <c r="A215" s="6">
        <v>213</v>
      </c>
      <c r="B215" s="7">
        <v>52.522418975830078</v>
      </c>
      <c r="C215" s="3"/>
    </row>
    <row r="216" spans="1:3" ht="13.2" x14ac:dyDescent="0.25">
      <c r="A216" s="6">
        <v>214</v>
      </c>
      <c r="B216" s="7">
        <v>54.765838623046875</v>
      </c>
      <c r="C216" s="3"/>
    </row>
    <row r="217" spans="1:3" ht="13.2" x14ac:dyDescent="0.25">
      <c r="A217" s="6">
        <v>215</v>
      </c>
      <c r="B217" s="7">
        <v>54.115432739257813</v>
      </c>
      <c r="C217" s="3"/>
    </row>
    <row r="218" spans="1:3" ht="13.2" x14ac:dyDescent="0.25">
      <c r="A218" s="6">
        <v>216</v>
      </c>
      <c r="B218" s="7">
        <v>52.673240661621094</v>
      </c>
      <c r="C218" s="3"/>
    </row>
    <row r="219" spans="1:3" ht="13.2" x14ac:dyDescent="0.25">
      <c r="A219" s="6">
        <v>217</v>
      </c>
      <c r="B219" s="7">
        <v>54.464199066162109</v>
      </c>
      <c r="C219" s="3"/>
    </row>
    <row r="220" spans="1:3" ht="13.2" x14ac:dyDescent="0.25">
      <c r="A220" s="6">
        <v>218</v>
      </c>
      <c r="B220" s="7">
        <v>55.548210144042969</v>
      </c>
      <c r="C220" s="3"/>
    </row>
    <row r="221" spans="1:3" ht="13.2" x14ac:dyDescent="0.25">
      <c r="A221" s="6">
        <v>219</v>
      </c>
      <c r="B221" s="7">
        <v>56.198616027832031</v>
      </c>
      <c r="C221" s="3"/>
    </row>
    <row r="222" spans="1:3" ht="13.2" x14ac:dyDescent="0.25">
      <c r="A222" s="6">
        <v>220</v>
      </c>
      <c r="B222" s="7">
        <v>55.981807708740234</v>
      </c>
      <c r="C222" s="3"/>
    </row>
    <row r="223" spans="1:3" ht="13.2" x14ac:dyDescent="0.25">
      <c r="A223" s="6">
        <v>221</v>
      </c>
      <c r="B223" s="7">
        <v>54.096588134765625</v>
      </c>
      <c r="C223" s="3"/>
    </row>
    <row r="224" spans="1:3" ht="13.2" x14ac:dyDescent="0.25">
      <c r="A224" s="6">
        <v>222</v>
      </c>
      <c r="B224" s="7">
        <v>56.010086059570313</v>
      </c>
      <c r="C224" s="3"/>
    </row>
    <row r="225" spans="1:3" ht="13.2" x14ac:dyDescent="0.25">
      <c r="A225" s="6">
        <v>223</v>
      </c>
      <c r="B225" s="7">
        <v>56.066646575927734</v>
      </c>
      <c r="C225" s="3"/>
    </row>
    <row r="226" spans="1:3" ht="13.2" x14ac:dyDescent="0.25">
      <c r="A226" s="6">
        <v>224</v>
      </c>
      <c r="B226" s="7">
        <v>56.651065826416016</v>
      </c>
      <c r="C226" s="3"/>
    </row>
    <row r="227" spans="1:3" ht="13.2" x14ac:dyDescent="0.25">
      <c r="A227" s="6">
        <v>225</v>
      </c>
      <c r="B227" s="7">
        <v>57.065814971923828</v>
      </c>
      <c r="C227" s="3"/>
    </row>
    <row r="228" spans="1:3" ht="13.2" x14ac:dyDescent="0.25">
      <c r="A228" s="6">
        <v>226</v>
      </c>
      <c r="B228" s="7">
        <v>57.640819549560547</v>
      </c>
      <c r="C228" s="3"/>
    </row>
    <row r="229" spans="1:3" ht="13.2" x14ac:dyDescent="0.25">
      <c r="A229" s="6">
        <v>227</v>
      </c>
      <c r="B229" s="7">
        <v>55.020339965820313</v>
      </c>
      <c r="C229" s="3"/>
    </row>
    <row r="230" spans="1:3" ht="13.2" x14ac:dyDescent="0.25">
      <c r="A230" s="6">
        <v>228</v>
      </c>
      <c r="B230" s="7">
        <v>55.161731719970703</v>
      </c>
      <c r="C230" s="3"/>
    </row>
    <row r="231" spans="1:3" ht="13.2" x14ac:dyDescent="0.25">
      <c r="A231" s="6">
        <v>229</v>
      </c>
      <c r="B231" s="7">
        <v>57.282619476318359</v>
      </c>
      <c r="C231" s="3"/>
    </row>
    <row r="232" spans="1:3" ht="13.2" x14ac:dyDescent="0.25">
      <c r="A232" s="6">
        <v>230</v>
      </c>
      <c r="B232" s="7">
        <v>57.772777557373047</v>
      </c>
      <c r="C232" s="3"/>
    </row>
    <row r="233" spans="1:3" ht="13.2" x14ac:dyDescent="0.25">
      <c r="A233" s="6">
        <v>231</v>
      </c>
      <c r="B233" s="7">
        <v>58.573997497558594</v>
      </c>
      <c r="C233" s="3"/>
    </row>
    <row r="234" spans="1:3" ht="13.2" x14ac:dyDescent="0.25">
      <c r="A234" s="6">
        <v>232</v>
      </c>
      <c r="B234" s="7">
        <v>56.292877197265625</v>
      </c>
      <c r="C234" s="3"/>
    </row>
    <row r="235" spans="1:3" ht="13.2" x14ac:dyDescent="0.25">
      <c r="A235" s="6">
        <v>233</v>
      </c>
      <c r="B235" s="7">
        <v>56.915000915527344</v>
      </c>
      <c r="C235" s="3"/>
    </row>
    <row r="236" spans="1:3" ht="13.2" x14ac:dyDescent="0.25">
      <c r="A236" s="6">
        <v>234</v>
      </c>
      <c r="B236" s="7">
        <v>56.358856201171875</v>
      </c>
      <c r="C236" s="3"/>
    </row>
    <row r="237" spans="1:3" ht="13.2" x14ac:dyDescent="0.25">
      <c r="A237" s="6">
        <v>235</v>
      </c>
      <c r="B237" s="7">
        <v>56.179752349853516</v>
      </c>
      <c r="C237" s="3"/>
    </row>
    <row r="238" spans="1:3" ht="13.2" x14ac:dyDescent="0.25">
      <c r="A238" s="6">
        <v>236</v>
      </c>
      <c r="B238" s="7">
        <v>54.435916900634766</v>
      </c>
      <c r="C238" s="3"/>
    </row>
    <row r="239" spans="1:3" ht="13.2" x14ac:dyDescent="0.25">
      <c r="A239" s="6">
        <v>237</v>
      </c>
      <c r="B239" s="7">
        <v>55.190013885498047</v>
      </c>
      <c r="C239" s="3"/>
    </row>
    <row r="240" spans="1:3" ht="13.2" x14ac:dyDescent="0.25">
      <c r="A240" s="6">
        <v>238</v>
      </c>
      <c r="B240" s="7">
        <v>55.453952789306641</v>
      </c>
      <c r="C240" s="3"/>
    </row>
    <row r="241" spans="1:3" ht="13.2" x14ac:dyDescent="0.25">
      <c r="A241" s="6">
        <v>239</v>
      </c>
      <c r="B241" s="7">
        <v>55.642471313476563</v>
      </c>
      <c r="C241" s="3"/>
    </row>
    <row r="242" spans="1:3" ht="13.2" x14ac:dyDescent="0.25">
      <c r="A242" s="6">
        <v>240</v>
      </c>
      <c r="B242" s="7">
        <v>55.039199829101563</v>
      </c>
      <c r="C242" s="3"/>
    </row>
    <row r="243" spans="1:3" ht="13.2" x14ac:dyDescent="0.25">
      <c r="A243" s="6">
        <v>241</v>
      </c>
      <c r="B243" s="7">
        <v>54.398216247558594</v>
      </c>
      <c r="C243" s="3"/>
    </row>
    <row r="244" spans="1:3" ht="13.2" x14ac:dyDescent="0.25">
      <c r="A244" s="6">
        <v>242</v>
      </c>
      <c r="B244" s="7">
        <v>55.717880249023438</v>
      </c>
      <c r="C244" s="3"/>
    </row>
    <row r="245" spans="1:3" ht="13.2" x14ac:dyDescent="0.25">
      <c r="A245" s="6">
        <v>243</v>
      </c>
      <c r="B245" s="7">
        <v>55.133457183837891</v>
      </c>
      <c r="C245" s="3"/>
    </row>
    <row r="246" spans="1:3" ht="13.2" x14ac:dyDescent="0.25">
      <c r="A246" s="6">
        <v>244</v>
      </c>
      <c r="B246" s="7">
        <v>54.417072296142578</v>
      </c>
      <c r="C246" s="3"/>
    </row>
    <row r="247" spans="1:3" ht="13.2" x14ac:dyDescent="0.25">
      <c r="A247" s="6">
        <v>245</v>
      </c>
      <c r="B247" s="7">
        <v>54.577316284179688</v>
      </c>
      <c r="C247" s="3"/>
    </row>
    <row r="248" spans="1:3" ht="13.2" x14ac:dyDescent="0.25">
      <c r="A248" s="6">
        <v>246</v>
      </c>
      <c r="B248" s="7">
        <v>54.351085662841797</v>
      </c>
      <c r="C248" s="3"/>
    </row>
    <row r="249" spans="1:3" ht="13.2" x14ac:dyDescent="0.25">
      <c r="A249" s="6">
        <v>247</v>
      </c>
      <c r="B249" s="7">
        <v>54.84124755859375</v>
      </c>
      <c r="C249" s="3"/>
    </row>
    <row r="250" spans="1:3" ht="13.2" x14ac:dyDescent="0.25">
      <c r="A250" s="6">
        <v>248</v>
      </c>
      <c r="B250" s="7">
        <v>54.869525909423828</v>
      </c>
      <c r="C250" s="3"/>
    </row>
    <row r="251" spans="1:3" ht="13.2" x14ac:dyDescent="0.25">
      <c r="A251" s="6">
        <v>249</v>
      </c>
      <c r="B251" s="7">
        <v>54.944938659667969</v>
      </c>
      <c r="C251" s="3"/>
    </row>
    <row r="252" spans="1:3" ht="13.2" x14ac:dyDescent="0.25">
      <c r="A252" s="6">
        <v>250</v>
      </c>
      <c r="B252" s="7">
        <v>54.812969207763672</v>
      </c>
      <c r="C252" s="3"/>
    </row>
    <row r="253" spans="1:3" ht="13.2" x14ac:dyDescent="0.25">
      <c r="A253" s="6">
        <v>251</v>
      </c>
      <c r="B253" s="7">
        <v>53.832649230957031</v>
      </c>
      <c r="C253" s="3"/>
    </row>
    <row r="254" spans="1:3" ht="13.2" x14ac:dyDescent="0.25">
      <c r="A254" s="6">
        <v>252</v>
      </c>
      <c r="B254" s="7">
        <v>53.710109710693359</v>
      </c>
      <c r="C254" s="3">
        <f>LN(B254/B2)</f>
        <v>0.17965749642034412</v>
      </c>
    </row>
    <row r="255" spans="1:3" ht="13.2" x14ac:dyDescent="0.25">
      <c r="A255" s="6">
        <v>253</v>
      </c>
      <c r="B255" s="7">
        <v>52.484718322753906</v>
      </c>
      <c r="C255" s="3">
        <f t="shared" ref="C255:C318" si="0">LN(B255/B3)</f>
        <v>0.16734818629272991</v>
      </c>
    </row>
    <row r="256" spans="1:3" ht="13.2" x14ac:dyDescent="0.25">
      <c r="A256" s="6">
        <v>254</v>
      </c>
      <c r="B256" s="7">
        <v>53.097415924072266</v>
      </c>
      <c r="C256" s="3">
        <f t="shared" si="0"/>
        <v>0.1692352620966584</v>
      </c>
    </row>
    <row r="257" spans="1:3" ht="13.2" x14ac:dyDescent="0.25">
      <c r="A257" s="6">
        <v>255</v>
      </c>
      <c r="B257" s="7">
        <v>55.001491546630859</v>
      </c>
      <c r="C257" s="3">
        <f t="shared" si="0"/>
        <v>0.19276142066792787</v>
      </c>
    </row>
    <row r="258" spans="1:3" ht="13.2" x14ac:dyDescent="0.25">
      <c r="A258" s="6">
        <v>256</v>
      </c>
      <c r="B258" s="7">
        <v>56.519100189208984</v>
      </c>
      <c r="C258" s="3">
        <f t="shared" si="0"/>
        <v>0.23970762028414019</v>
      </c>
    </row>
    <row r="259" spans="1:3" ht="13.2" x14ac:dyDescent="0.25">
      <c r="A259" s="6">
        <v>257</v>
      </c>
      <c r="B259" s="7">
        <v>56.820735931396484</v>
      </c>
      <c r="C259" s="3">
        <f t="shared" si="0"/>
        <v>0.18717733903195968</v>
      </c>
    </row>
    <row r="260" spans="1:3" ht="13.2" x14ac:dyDescent="0.25">
      <c r="A260" s="6">
        <v>258</v>
      </c>
      <c r="B260" s="7">
        <v>59.309234619140625</v>
      </c>
      <c r="C260" s="3">
        <f t="shared" si="0"/>
        <v>0.24719061785184152</v>
      </c>
    </row>
    <row r="261" spans="1:3" ht="13.2" x14ac:dyDescent="0.25">
      <c r="A261" s="6">
        <v>259</v>
      </c>
      <c r="B261" s="7">
        <v>61.194461822509766</v>
      </c>
      <c r="C261" s="3">
        <f t="shared" si="0"/>
        <v>0.2499949596171244</v>
      </c>
    </row>
    <row r="262" spans="1:3" ht="13.2" x14ac:dyDescent="0.25">
      <c r="A262" s="6">
        <v>260</v>
      </c>
      <c r="B262" s="7">
        <v>59.290386199951172</v>
      </c>
      <c r="C262" s="3">
        <f t="shared" si="0"/>
        <v>0.21286275238952554</v>
      </c>
    </row>
    <row r="263" spans="1:3" ht="13.2" x14ac:dyDescent="0.25">
      <c r="A263" s="6">
        <v>261</v>
      </c>
      <c r="B263" s="7">
        <v>60.440372467041016</v>
      </c>
      <c r="C263" s="3">
        <f t="shared" si="0"/>
        <v>0.24553840610020308</v>
      </c>
    </row>
    <row r="264" spans="1:3" ht="13.2" x14ac:dyDescent="0.25">
      <c r="A264" s="6">
        <v>262</v>
      </c>
      <c r="B264" s="7">
        <v>61.486675262451172</v>
      </c>
      <c r="C264" s="3">
        <f t="shared" si="0"/>
        <v>0.20574266588073498</v>
      </c>
    </row>
    <row r="265" spans="1:3" ht="13.2" x14ac:dyDescent="0.25">
      <c r="A265" s="6">
        <v>263</v>
      </c>
      <c r="B265" s="7">
        <v>62.910015106201172</v>
      </c>
      <c r="C265" s="3">
        <f t="shared" si="0"/>
        <v>0.21757765834820564</v>
      </c>
    </row>
    <row r="266" spans="1:3" ht="13.2" x14ac:dyDescent="0.25">
      <c r="A266" s="6">
        <v>264</v>
      </c>
      <c r="B266" s="7">
        <v>61.279300689697266</v>
      </c>
      <c r="C266" s="3">
        <f t="shared" si="0"/>
        <v>0.22734409406085604</v>
      </c>
    </row>
    <row r="267" spans="1:3" ht="13.2" x14ac:dyDescent="0.25">
      <c r="A267" s="6">
        <v>265</v>
      </c>
      <c r="B267" s="7">
        <v>61.486675262451172</v>
      </c>
      <c r="C267" s="3">
        <f t="shared" si="0"/>
        <v>0.25535236576003356</v>
      </c>
    </row>
    <row r="268" spans="1:3" ht="13.2" x14ac:dyDescent="0.25">
      <c r="A268" s="6">
        <v>266</v>
      </c>
      <c r="B268" s="7">
        <v>61.722328186035156</v>
      </c>
      <c r="C268" s="3">
        <f t="shared" si="0"/>
        <v>0.34057343078036095</v>
      </c>
    </row>
    <row r="269" spans="1:3" ht="13.2" x14ac:dyDescent="0.25">
      <c r="A269" s="6">
        <v>267</v>
      </c>
      <c r="B269" s="7">
        <v>61.694049835205078</v>
      </c>
      <c r="C269" s="3">
        <f t="shared" si="0"/>
        <v>0.30489067431033351</v>
      </c>
    </row>
    <row r="270" spans="1:3" ht="13.2" x14ac:dyDescent="0.25">
      <c r="A270" s="6">
        <v>268</v>
      </c>
      <c r="B270" s="7">
        <v>62.137077331542969</v>
      </c>
      <c r="C270" s="3">
        <f t="shared" si="0"/>
        <v>0.31059624740868852</v>
      </c>
    </row>
    <row r="271" spans="1:3" ht="13.2" x14ac:dyDescent="0.25">
      <c r="A271" s="6">
        <v>269</v>
      </c>
      <c r="B271" s="7">
        <v>60.82684326171875</v>
      </c>
      <c r="C271" s="3">
        <f t="shared" si="0"/>
        <v>0.30450752469578962</v>
      </c>
    </row>
    <row r="272" spans="1:3" ht="13.2" x14ac:dyDescent="0.25">
      <c r="A272" s="6">
        <v>270</v>
      </c>
      <c r="B272" s="7">
        <v>60.892826080322266</v>
      </c>
      <c r="C272" s="3">
        <f t="shared" si="0"/>
        <v>0.31360877852621072</v>
      </c>
    </row>
    <row r="273" spans="1:3" ht="13.2" x14ac:dyDescent="0.25">
      <c r="A273" s="6">
        <v>271</v>
      </c>
      <c r="B273" s="7">
        <v>61.203887939453125</v>
      </c>
      <c r="C273" s="3">
        <f t="shared" si="0"/>
        <v>0.33213839817579344</v>
      </c>
    </row>
    <row r="274" spans="1:3" ht="13.2" x14ac:dyDescent="0.25">
      <c r="A274" s="6">
        <v>272</v>
      </c>
      <c r="B274" s="7">
        <v>61.241600036621094</v>
      </c>
      <c r="C274" s="3">
        <f t="shared" si="0"/>
        <v>0.29856660369373089</v>
      </c>
    </row>
    <row r="275" spans="1:3" ht="13.2" x14ac:dyDescent="0.25">
      <c r="A275" s="6">
        <v>273</v>
      </c>
      <c r="B275" s="7">
        <v>59.196125030517578</v>
      </c>
      <c r="C275" s="3">
        <f t="shared" si="0"/>
        <v>0.27292960950616557</v>
      </c>
    </row>
    <row r="276" spans="1:3" ht="13.2" x14ac:dyDescent="0.25">
      <c r="A276" s="6">
        <v>274</v>
      </c>
      <c r="B276" s="7">
        <v>58.847358703613281</v>
      </c>
      <c r="C276" s="3">
        <f t="shared" si="0"/>
        <v>0.27458017752697927</v>
      </c>
    </row>
    <row r="277" spans="1:3" ht="13.2" x14ac:dyDescent="0.25">
      <c r="A277" s="6">
        <v>275</v>
      </c>
      <c r="B277" s="7">
        <v>59.249435424804688</v>
      </c>
      <c r="C277" s="3">
        <f t="shared" si="0"/>
        <v>0.30032827996619355</v>
      </c>
    </row>
    <row r="278" spans="1:3" ht="13.2" x14ac:dyDescent="0.25">
      <c r="A278" s="6">
        <v>276</v>
      </c>
      <c r="B278" s="7">
        <v>59.68023681640625</v>
      </c>
      <c r="C278" s="3">
        <f t="shared" si="0"/>
        <v>0.32337925029365278</v>
      </c>
    </row>
    <row r="279" spans="1:3" ht="13.2" x14ac:dyDescent="0.25">
      <c r="A279" s="6">
        <v>277</v>
      </c>
      <c r="B279" s="7">
        <v>60.790740966796875</v>
      </c>
      <c r="C279" s="3">
        <f t="shared" si="0"/>
        <v>0.37194661972504611</v>
      </c>
    </row>
    <row r="280" spans="1:3" ht="13.2" x14ac:dyDescent="0.25">
      <c r="A280" s="6">
        <v>278</v>
      </c>
      <c r="B280" s="7">
        <v>59.766399383544922</v>
      </c>
      <c r="C280" s="3">
        <f t="shared" si="0"/>
        <v>0.34110399330497843</v>
      </c>
    </row>
    <row r="281" spans="1:3" ht="13.2" x14ac:dyDescent="0.25">
      <c r="A281" s="6">
        <v>279</v>
      </c>
      <c r="B281" s="7">
        <v>59.632369995117188</v>
      </c>
      <c r="C281" s="3">
        <f t="shared" si="0"/>
        <v>0.34464313122374479</v>
      </c>
    </row>
    <row r="282" spans="1:3" ht="13.2" x14ac:dyDescent="0.25">
      <c r="A282" s="6">
        <v>280</v>
      </c>
      <c r="B282" s="7">
        <v>60.580135345458984</v>
      </c>
      <c r="C282" s="3">
        <f t="shared" si="0"/>
        <v>0.34381651644125949</v>
      </c>
    </row>
    <row r="283" spans="1:3" ht="13.2" x14ac:dyDescent="0.25">
      <c r="A283" s="6">
        <v>281</v>
      </c>
      <c r="B283" s="7">
        <v>61.614055633544922</v>
      </c>
      <c r="C283" s="3">
        <f t="shared" si="0"/>
        <v>0.3487423403726142</v>
      </c>
    </row>
    <row r="284" spans="1:3" ht="13.2" x14ac:dyDescent="0.25">
      <c r="A284" s="6">
        <v>282</v>
      </c>
      <c r="B284" s="7">
        <v>61.968269348144531</v>
      </c>
      <c r="C284" s="3">
        <f t="shared" si="0"/>
        <v>0.34605433096421229</v>
      </c>
    </row>
    <row r="285" spans="1:3" ht="13.2" x14ac:dyDescent="0.25">
      <c r="A285" s="6">
        <v>283</v>
      </c>
      <c r="B285" s="7">
        <v>61.365142822265625</v>
      </c>
      <c r="C285" s="3">
        <f t="shared" si="0"/>
        <v>0.33864153474949638</v>
      </c>
    </row>
    <row r="286" spans="1:3" ht="13.2" x14ac:dyDescent="0.25">
      <c r="A286" s="6">
        <v>284</v>
      </c>
      <c r="B286" s="7">
        <v>60.790740966796875</v>
      </c>
      <c r="C286" s="3">
        <f t="shared" si="0"/>
        <v>0.31214256986987166</v>
      </c>
    </row>
    <row r="287" spans="1:3" ht="13.2" x14ac:dyDescent="0.25">
      <c r="A287" s="6">
        <v>285</v>
      </c>
      <c r="B287" s="7">
        <v>59.823833465576172</v>
      </c>
      <c r="C287" s="3">
        <f t="shared" si="0"/>
        <v>0.33565211494575403</v>
      </c>
    </row>
    <row r="288" spans="1:3" ht="13.2" x14ac:dyDescent="0.25">
      <c r="A288" s="6">
        <v>286</v>
      </c>
      <c r="B288" s="7">
        <v>60.178047180175781</v>
      </c>
      <c r="C288" s="3">
        <f t="shared" si="0"/>
        <v>0.37563191450030092</v>
      </c>
    </row>
    <row r="289" spans="1:3" ht="13.2" x14ac:dyDescent="0.25">
      <c r="A289" s="6">
        <v>287</v>
      </c>
      <c r="B289" s="7">
        <v>59.096263885498047</v>
      </c>
      <c r="C289" s="3">
        <f t="shared" si="0"/>
        <v>0.36481644171326832</v>
      </c>
    </row>
    <row r="290" spans="1:3" ht="13.2" x14ac:dyDescent="0.25">
      <c r="A290" s="6">
        <v>288</v>
      </c>
      <c r="B290" s="7">
        <v>56.875247955322266</v>
      </c>
      <c r="C290" s="3">
        <f t="shared" si="0"/>
        <v>0.34108738239831254</v>
      </c>
    </row>
    <row r="291" spans="1:3" ht="13.2" x14ac:dyDescent="0.25">
      <c r="A291" s="6">
        <v>289</v>
      </c>
      <c r="B291" s="7">
        <v>58.732479095458984</v>
      </c>
      <c r="C291" s="3">
        <f t="shared" si="0"/>
        <v>0.40447250947506963</v>
      </c>
    </row>
    <row r="292" spans="1:3" ht="13.2" x14ac:dyDescent="0.25">
      <c r="A292" s="6">
        <v>290</v>
      </c>
      <c r="B292" s="7">
        <v>60.111034393310547</v>
      </c>
      <c r="C292" s="3">
        <f t="shared" si="0"/>
        <v>0.41929088834722461</v>
      </c>
    </row>
    <row r="293" spans="1:3" ht="13.2" x14ac:dyDescent="0.25">
      <c r="A293" s="6">
        <v>291</v>
      </c>
      <c r="B293" s="7">
        <v>60.838611602783203</v>
      </c>
      <c r="C293" s="3">
        <f t="shared" si="0"/>
        <v>0.39986398644890192</v>
      </c>
    </row>
    <row r="294" spans="1:3" ht="13.2" x14ac:dyDescent="0.25">
      <c r="A294" s="6">
        <v>292</v>
      </c>
      <c r="B294" s="7">
        <v>58.675037384033203</v>
      </c>
      <c r="C294" s="3">
        <f t="shared" si="0"/>
        <v>0.38467285756636965</v>
      </c>
    </row>
    <row r="295" spans="1:3" ht="13.2" x14ac:dyDescent="0.25">
      <c r="A295" s="6">
        <v>293</v>
      </c>
      <c r="B295" s="7">
        <v>60.857757568359375</v>
      </c>
      <c r="C295" s="3">
        <f t="shared" si="0"/>
        <v>0.41931133671069404</v>
      </c>
    </row>
    <row r="296" spans="1:3" ht="13.2" x14ac:dyDescent="0.25">
      <c r="A296" s="6">
        <v>294</v>
      </c>
      <c r="B296" s="7">
        <v>58.895221710205078</v>
      </c>
      <c r="C296" s="3">
        <f t="shared" si="0"/>
        <v>0.34477765667014948</v>
      </c>
    </row>
    <row r="297" spans="1:3" ht="13.2" x14ac:dyDescent="0.25">
      <c r="A297" s="6">
        <v>295</v>
      </c>
      <c r="B297" s="7">
        <v>59.431331634521484</v>
      </c>
      <c r="C297" s="3">
        <f t="shared" si="0"/>
        <v>0.32862872518915109</v>
      </c>
    </row>
    <row r="298" spans="1:3" ht="13.2" x14ac:dyDescent="0.25">
      <c r="A298" s="6">
        <v>296</v>
      </c>
      <c r="B298" s="7">
        <v>60.302505493164063</v>
      </c>
      <c r="C298" s="3">
        <f t="shared" si="0"/>
        <v>0.35894672571599018</v>
      </c>
    </row>
    <row r="299" spans="1:3" ht="13.2" x14ac:dyDescent="0.25">
      <c r="A299" s="6">
        <v>297</v>
      </c>
      <c r="B299" s="7">
        <v>61.001361846923828</v>
      </c>
      <c r="C299" s="3">
        <f t="shared" si="0"/>
        <v>0.37069319069024659</v>
      </c>
    </row>
    <row r="300" spans="1:3" ht="13.2" x14ac:dyDescent="0.25">
      <c r="A300" s="6">
        <v>298</v>
      </c>
      <c r="B300" s="7">
        <v>62.293758392333984</v>
      </c>
      <c r="C300" s="3">
        <f t="shared" si="0"/>
        <v>0.40631626971080731</v>
      </c>
    </row>
    <row r="301" spans="1:3" ht="13.2" x14ac:dyDescent="0.25">
      <c r="A301" s="6">
        <v>299</v>
      </c>
      <c r="B301" s="7">
        <v>61.853389739990234</v>
      </c>
      <c r="C301" s="3">
        <f t="shared" si="0"/>
        <v>0.39672619558321309</v>
      </c>
    </row>
    <row r="302" spans="1:3" ht="13.2" x14ac:dyDescent="0.25">
      <c r="A302" s="6">
        <v>300</v>
      </c>
      <c r="B302" s="7">
        <v>60.972633361816406</v>
      </c>
      <c r="C302" s="3">
        <f t="shared" si="0"/>
        <v>0.4009097910898034</v>
      </c>
    </row>
    <row r="303" spans="1:3" ht="13.2" x14ac:dyDescent="0.25">
      <c r="A303" s="6">
        <v>301</v>
      </c>
      <c r="B303" s="7">
        <v>62.274612426757813</v>
      </c>
      <c r="C303" s="3">
        <f t="shared" si="0"/>
        <v>0.42666598584687998</v>
      </c>
    </row>
    <row r="304" spans="1:3" ht="13.2" x14ac:dyDescent="0.25">
      <c r="A304" s="6">
        <v>302</v>
      </c>
      <c r="B304" s="7">
        <v>61.336421966552734</v>
      </c>
      <c r="C304" s="3">
        <f t="shared" si="0"/>
        <v>0.39264777493869452</v>
      </c>
    </row>
    <row r="305" spans="1:3" ht="13.2" x14ac:dyDescent="0.25">
      <c r="A305" s="6">
        <v>303</v>
      </c>
      <c r="B305" s="7">
        <v>63.011756896972656</v>
      </c>
      <c r="C305" s="3">
        <f t="shared" si="0"/>
        <v>0.43912944841918455</v>
      </c>
    </row>
    <row r="306" spans="1:3" ht="13.2" x14ac:dyDescent="0.25">
      <c r="A306" s="6">
        <v>304</v>
      </c>
      <c r="B306" s="7">
        <v>62.973464965820313</v>
      </c>
      <c r="C306" s="3">
        <f t="shared" si="0"/>
        <v>0.44131031753072125</v>
      </c>
    </row>
    <row r="307" spans="1:3" ht="13.2" x14ac:dyDescent="0.25">
      <c r="A307" s="6">
        <v>305</v>
      </c>
      <c r="B307" s="7">
        <v>64.189277648925781</v>
      </c>
      <c r="C307" s="3">
        <f t="shared" si="0"/>
        <v>0.45880514960591584</v>
      </c>
    </row>
    <row r="308" spans="1:3" ht="13.2" x14ac:dyDescent="0.25">
      <c r="A308" s="6">
        <v>306</v>
      </c>
      <c r="B308" s="7">
        <v>63.576587677001953</v>
      </c>
      <c r="C308" s="3">
        <f t="shared" si="0"/>
        <v>0.42920221452754137</v>
      </c>
    </row>
    <row r="309" spans="1:3" ht="13.2" x14ac:dyDescent="0.25">
      <c r="A309" s="6">
        <v>307</v>
      </c>
      <c r="B309" s="7">
        <v>63.739345550537109</v>
      </c>
      <c r="C309" s="3">
        <f t="shared" si="0"/>
        <v>0.42223933368127381</v>
      </c>
    </row>
    <row r="310" spans="1:3" ht="13.2" x14ac:dyDescent="0.25">
      <c r="A310" s="6">
        <v>308</v>
      </c>
      <c r="B310" s="7">
        <v>63.346828460693359</v>
      </c>
      <c r="C310" s="3">
        <f t="shared" si="0"/>
        <v>0.39265243692370139</v>
      </c>
    </row>
    <row r="311" spans="1:3" ht="13.2" x14ac:dyDescent="0.25">
      <c r="A311" s="6">
        <v>309</v>
      </c>
      <c r="B311" s="7">
        <v>62.561805725097656</v>
      </c>
      <c r="C311" s="3">
        <f t="shared" si="0"/>
        <v>0.37053328601542584</v>
      </c>
    </row>
    <row r="312" spans="1:3" ht="13.2" x14ac:dyDescent="0.25">
      <c r="A312" s="6">
        <v>310</v>
      </c>
      <c r="B312" s="7">
        <v>62.389492034912109</v>
      </c>
      <c r="C312" s="3">
        <f t="shared" si="0"/>
        <v>0.36712067015779326</v>
      </c>
    </row>
    <row r="313" spans="1:3" ht="13.2" x14ac:dyDescent="0.25">
      <c r="A313" s="6">
        <v>311</v>
      </c>
      <c r="B313" s="7">
        <v>61.547042846679688</v>
      </c>
      <c r="C313" s="3">
        <f t="shared" si="0"/>
        <v>0.33472859390215703</v>
      </c>
    </row>
    <row r="314" spans="1:3" ht="13.2" x14ac:dyDescent="0.25">
      <c r="A314" s="6">
        <v>312</v>
      </c>
      <c r="B314" s="7">
        <v>62.284183502197266</v>
      </c>
      <c r="C314" s="3">
        <f t="shared" si="0"/>
        <v>0.33049810085999959</v>
      </c>
    </row>
    <row r="315" spans="1:3" ht="13.2" x14ac:dyDescent="0.25">
      <c r="A315" s="6">
        <v>313</v>
      </c>
      <c r="B315" s="7">
        <v>61.269412994384766</v>
      </c>
      <c r="C315" s="3">
        <f t="shared" si="0"/>
        <v>0.31829234796510852</v>
      </c>
    </row>
    <row r="316" spans="1:3" ht="13.2" x14ac:dyDescent="0.25">
      <c r="A316" s="6">
        <v>314</v>
      </c>
      <c r="B316" s="7">
        <v>62.466079711914063</v>
      </c>
      <c r="C316" s="3">
        <f t="shared" si="0"/>
        <v>0.32900102855114172</v>
      </c>
    </row>
    <row r="317" spans="1:3" ht="13.2" x14ac:dyDescent="0.25">
      <c r="A317" s="6">
        <v>315</v>
      </c>
      <c r="B317" s="7">
        <v>61.585330963134766</v>
      </c>
      <c r="C317" s="3">
        <f t="shared" si="0"/>
        <v>0.33985557009875439</v>
      </c>
    </row>
    <row r="318" spans="1:3" ht="13.2" x14ac:dyDescent="0.25">
      <c r="A318" s="6">
        <v>316</v>
      </c>
      <c r="B318" s="7">
        <v>60.867336273193359</v>
      </c>
      <c r="C318" s="3">
        <f t="shared" si="0"/>
        <v>0.35559307988796746</v>
      </c>
    </row>
    <row r="319" spans="1:3" ht="13.2" x14ac:dyDescent="0.25">
      <c r="A319" s="6">
        <v>317</v>
      </c>
      <c r="B319" s="7">
        <v>60.963066101074219</v>
      </c>
      <c r="C319" s="3">
        <f t="shared" ref="C319:C382" si="1">LN(B319/B67)</f>
        <v>0.36070668791375476</v>
      </c>
    </row>
    <row r="320" spans="1:3" ht="13.2" x14ac:dyDescent="0.25">
      <c r="A320" s="6">
        <v>318</v>
      </c>
      <c r="B320" s="7">
        <v>61.374717712402344</v>
      </c>
      <c r="C320" s="3">
        <f t="shared" si="1"/>
        <v>0.37388880839142724</v>
      </c>
    </row>
    <row r="321" spans="1:3" ht="13.2" x14ac:dyDescent="0.25">
      <c r="A321" s="6">
        <v>319</v>
      </c>
      <c r="B321" s="7">
        <v>61.815090179443359</v>
      </c>
      <c r="C321" s="3">
        <f t="shared" si="1"/>
        <v>0.36905685093081236</v>
      </c>
    </row>
    <row r="322" spans="1:3" ht="13.2" x14ac:dyDescent="0.25">
      <c r="A322" s="6">
        <v>320</v>
      </c>
      <c r="B322" s="7">
        <v>61.317283630371094</v>
      </c>
      <c r="C322" s="3">
        <f t="shared" si="1"/>
        <v>0.37697870059460364</v>
      </c>
    </row>
    <row r="323" spans="1:3" ht="13.2" x14ac:dyDescent="0.25">
      <c r="A323" s="6">
        <v>321</v>
      </c>
      <c r="B323" s="7">
        <v>61.757652282714844</v>
      </c>
      <c r="C323" s="3">
        <f t="shared" si="1"/>
        <v>0.37454405867286811</v>
      </c>
    </row>
    <row r="324" spans="1:3" ht="13.2" x14ac:dyDescent="0.25">
      <c r="A324" s="6">
        <v>322</v>
      </c>
      <c r="B324" s="7">
        <v>62.092720031738281</v>
      </c>
      <c r="C324" s="3">
        <f t="shared" si="1"/>
        <v>0.35107516650407627</v>
      </c>
    </row>
    <row r="325" spans="1:3" ht="13.2" x14ac:dyDescent="0.25">
      <c r="A325" s="6">
        <v>323</v>
      </c>
      <c r="B325" s="7">
        <v>65.357223510742188</v>
      </c>
      <c r="C325" s="3">
        <f t="shared" si="1"/>
        <v>0.47289509836944871</v>
      </c>
    </row>
    <row r="326" spans="1:3" ht="13.2" x14ac:dyDescent="0.25">
      <c r="A326" s="6">
        <v>324</v>
      </c>
      <c r="B326" s="7">
        <v>62.571388244628906</v>
      </c>
      <c r="C326" s="3">
        <f t="shared" si="1"/>
        <v>0.40894754066546629</v>
      </c>
    </row>
    <row r="327" spans="1:3" ht="13.2" x14ac:dyDescent="0.25">
      <c r="A327" s="6">
        <v>325</v>
      </c>
      <c r="B327" s="7">
        <v>61.594905853271484</v>
      </c>
      <c r="C327" s="3">
        <f t="shared" si="1"/>
        <v>0.4110638309281387</v>
      </c>
    </row>
    <row r="328" spans="1:3" ht="13.2" x14ac:dyDescent="0.25">
      <c r="A328" s="6">
        <v>326</v>
      </c>
      <c r="B328" s="7">
        <v>62.523513793945313</v>
      </c>
      <c r="C328" s="3">
        <f t="shared" si="1"/>
        <v>0.44278741154704149</v>
      </c>
    </row>
    <row r="329" spans="1:3" ht="13.2" x14ac:dyDescent="0.25">
      <c r="A329" s="6">
        <v>327</v>
      </c>
      <c r="B329" s="7">
        <v>64.945571899414063</v>
      </c>
      <c r="C329" s="3">
        <f t="shared" si="1"/>
        <v>0.47051853139691657</v>
      </c>
    </row>
    <row r="330" spans="1:3" ht="13.2" x14ac:dyDescent="0.25">
      <c r="A330" s="6">
        <v>328</v>
      </c>
      <c r="B330" s="7">
        <v>64.916847229003906</v>
      </c>
      <c r="C330" s="3">
        <f t="shared" si="1"/>
        <v>0.4580668794649651</v>
      </c>
    </row>
    <row r="331" spans="1:3" ht="13.2" x14ac:dyDescent="0.25">
      <c r="A331" s="6">
        <v>329</v>
      </c>
      <c r="B331" s="7">
        <v>64.993446350097656</v>
      </c>
      <c r="C331" s="3">
        <f t="shared" si="1"/>
        <v>0.48035812584916193</v>
      </c>
    </row>
    <row r="332" spans="1:3" ht="13.2" x14ac:dyDescent="0.25">
      <c r="A332" s="6">
        <v>330</v>
      </c>
      <c r="B332" s="7">
        <v>64.620079040527344</v>
      </c>
      <c r="C332" s="3">
        <f t="shared" si="1"/>
        <v>0.47389371881241971</v>
      </c>
    </row>
    <row r="333" spans="1:3" ht="13.2" x14ac:dyDescent="0.25">
      <c r="A333" s="6">
        <v>331</v>
      </c>
      <c r="B333" s="7">
        <v>65.156196594238281</v>
      </c>
      <c r="C333" s="3">
        <f t="shared" si="1"/>
        <v>0.48638228950532386</v>
      </c>
    </row>
    <row r="334" spans="1:3" ht="13.2" x14ac:dyDescent="0.25">
      <c r="A334" s="6">
        <v>332</v>
      </c>
      <c r="B334" s="7">
        <v>64.342460632324219</v>
      </c>
      <c r="C334" s="3">
        <f t="shared" si="1"/>
        <v>0.4670143960018463</v>
      </c>
    </row>
    <row r="335" spans="1:3" ht="13.2" x14ac:dyDescent="0.25">
      <c r="A335" s="6">
        <v>333</v>
      </c>
      <c r="B335" s="7">
        <v>66.544319152832031</v>
      </c>
      <c r="C335" s="3">
        <f t="shared" si="1"/>
        <v>0.47596444882871086</v>
      </c>
    </row>
    <row r="336" spans="1:3" ht="13.2" x14ac:dyDescent="0.25">
      <c r="A336" s="6">
        <v>334</v>
      </c>
      <c r="B336" s="7">
        <v>71.98199462890625</v>
      </c>
      <c r="C336" s="3">
        <f t="shared" si="1"/>
        <v>0.5438533053729725</v>
      </c>
    </row>
    <row r="337" spans="1:3" ht="13.2" x14ac:dyDescent="0.25">
      <c r="A337" s="6">
        <v>335</v>
      </c>
      <c r="B337" s="7">
        <v>71.800094604492188</v>
      </c>
      <c r="C337" s="3">
        <f t="shared" si="1"/>
        <v>0.52921542792751475</v>
      </c>
    </row>
    <row r="338" spans="1:3" ht="13.2" x14ac:dyDescent="0.25">
      <c r="A338" s="6">
        <v>336</v>
      </c>
      <c r="B338" s="7">
        <v>70.402374267578125</v>
      </c>
      <c r="C338" s="3">
        <f t="shared" si="1"/>
        <v>0.54079495838954084</v>
      </c>
    </row>
    <row r="339" spans="1:3" ht="13.2" x14ac:dyDescent="0.25">
      <c r="A339" s="6">
        <v>337</v>
      </c>
      <c r="B339" s="7">
        <v>69.789688110351563</v>
      </c>
      <c r="C339" s="3">
        <f t="shared" si="1"/>
        <v>0.53550925850834119</v>
      </c>
    </row>
    <row r="340" spans="1:3" ht="13.2" x14ac:dyDescent="0.25">
      <c r="A340" s="6">
        <v>338</v>
      </c>
      <c r="B340" s="7">
        <v>69.48333740234375</v>
      </c>
      <c r="C340" s="3">
        <f t="shared" si="1"/>
        <v>0.50066004659863184</v>
      </c>
    </row>
    <row r="341" spans="1:3" ht="13.2" x14ac:dyDescent="0.25">
      <c r="A341" s="6">
        <v>339</v>
      </c>
      <c r="B341" s="7">
        <v>70.258781433105469</v>
      </c>
      <c r="C341" s="3">
        <f t="shared" si="1"/>
        <v>0.51984829243459885</v>
      </c>
    </row>
    <row r="342" spans="1:3" ht="13.2" x14ac:dyDescent="0.25">
      <c r="A342" s="6">
        <v>340</v>
      </c>
      <c r="B342" s="7">
        <v>69.042976379394531</v>
      </c>
      <c r="C342" s="3">
        <f t="shared" si="1"/>
        <v>0.47633562507830812</v>
      </c>
    </row>
    <row r="343" spans="1:3" ht="13.2" x14ac:dyDescent="0.25">
      <c r="A343" s="6">
        <v>341</v>
      </c>
      <c r="B343" s="7">
        <v>69.349319458007813</v>
      </c>
      <c r="C343" s="3">
        <f t="shared" si="1"/>
        <v>0.49070432093789357</v>
      </c>
    </row>
    <row r="344" spans="1:3" ht="13.2" x14ac:dyDescent="0.25">
      <c r="A344" s="6">
        <v>342</v>
      </c>
      <c r="B344" s="7">
        <v>66.649635314941406</v>
      </c>
      <c r="C344" s="3">
        <f t="shared" si="1"/>
        <v>0.43754496434588019</v>
      </c>
    </row>
    <row r="345" spans="1:3" ht="13.2" x14ac:dyDescent="0.25">
      <c r="A345" s="6">
        <v>343</v>
      </c>
      <c r="B345" s="7">
        <v>65.02215576171875</v>
      </c>
      <c r="C345" s="3">
        <f t="shared" si="1"/>
        <v>0.40041448422288739</v>
      </c>
    </row>
    <row r="346" spans="1:3" ht="13.2" x14ac:dyDescent="0.25">
      <c r="A346" s="6">
        <v>344</v>
      </c>
      <c r="B346" s="7">
        <v>67.693130493164063</v>
      </c>
      <c r="C346" s="3">
        <f t="shared" si="1"/>
        <v>0.45791110166440557</v>
      </c>
    </row>
    <row r="347" spans="1:3" ht="13.2" x14ac:dyDescent="0.25">
      <c r="A347" s="6">
        <v>345</v>
      </c>
      <c r="B347" s="7">
        <v>67.042137145996094</v>
      </c>
      <c r="C347" s="3">
        <f t="shared" si="1"/>
        <v>0.48227826457487311</v>
      </c>
    </row>
    <row r="348" spans="1:3" ht="13.2" x14ac:dyDescent="0.25">
      <c r="A348" s="6">
        <v>346</v>
      </c>
      <c r="B348" s="7">
        <v>68.391975402832031</v>
      </c>
      <c r="C348" s="3">
        <f t="shared" si="1"/>
        <v>0.49336985306397263</v>
      </c>
    </row>
    <row r="349" spans="1:3" ht="13.2" x14ac:dyDescent="0.25">
      <c r="A349" s="6">
        <v>347</v>
      </c>
      <c r="B349" s="7">
        <v>68.746192932128906</v>
      </c>
      <c r="C349" s="3">
        <f t="shared" si="1"/>
        <v>0.47400824060278579</v>
      </c>
    </row>
    <row r="350" spans="1:3" ht="13.2" x14ac:dyDescent="0.25">
      <c r="A350" s="6">
        <v>348</v>
      </c>
      <c r="B350" s="7">
        <v>68.774917602539063</v>
      </c>
      <c r="C350" s="3">
        <f t="shared" si="1"/>
        <v>0.46871546446403711</v>
      </c>
    </row>
    <row r="351" spans="1:3" ht="13.2" x14ac:dyDescent="0.25">
      <c r="A351" s="6">
        <v>349</v>
      </c>
      <c r="B351" s="7">
        <v>70.373664855957031</v>
      </c>
      <c r="C351" s="3">
        <f t="shared" si="1"/>
        <v>0.50049454401742866</v>
      </c>
    </row>
    <row r="352" spans="1:3" ht="13.2" x14ac:dyDescent="0.25">
      <c r="A352" s="6">
        <v>350</v>
      </c>
      <c r="B352" s="7">
        <v>69.741813659667969</v>
      </c>
      <c r="C352" s="3">
        <f t="shared" si="1"/>
        <v>0.45438990946778657</v>
      </c>
    </row>
    <row r="353" spans="1:3" ht="13.2" x14ac:dyDescent="0.25">
      <c r="A353" s="6">
        <v>351</v>
      </c>
      <c r="B353" s="7">
        <v>71.742652893066406</v>
      </c>
      <c r="C353" s="3">
        <f t="shared" si="1"/>
        <v>0.48267531323454244</v>
      </c>
    </row>
    <row r="354" spans="1:3" ht="13.2" x14ac:dyDescent="0.25">
      <c r="A354" s="6">
        <v>352</v>
      </c>
      <c r="B354" s="7">
        <v>70.440673828125</v>
      </c>
      <c r="C354" s="3">
        <f t="shared" si="1"/>
        <v>0.45019709432013877</v>
      </c>
    </row>
    <row r="355" spans="1:3" ht="13.2" x14ac:dyDescent="0.25">
      <c r="A355" s="6">
        <v>353</v>
      </c>
      <c r="B355" s="7">
        <v>70.852333068847656</v>
      </c>
      <c r="C355" s="3">
        <f t="shared" si="1"/>
        <v>0.4880167464449206</v>
      </c>
    </row>
    <row r="356" spans="1:3" ht="13.2" x14ac:dyDescent="0.25">
      <c r="A356" s="6">
        <v>354</v>
      </c>
      <c r="B356" s="7">
        <v>70.670433044433594</v>
      </c>
      <c r="C356" s="3">
        <f t="shared" si="1"/>
        <v>0.48306483899619973</v>
      </c>
    </row>
    <row r="357" spans="1:3" ht="13.2" x14ac:dyDescent="0.25">
      <c r="A357" s="6">
        <v>355</v>
      </c>
      <c r="B357" s="7">
        <v>71.666061401367188</v>
      </c>
      <c r="C357" s="3">
        <f t="shared" si="1"/>
        <v>0.51891369311477298</v>
      </c>
    </row>
    <row r="358" spans="1:3" ht="13.2" x14ac:dyDescent="0.25">
      <c r="A358" s="6">
        <v>356</v>
      </c>
      <c r="B358" s="7">
        <v>70.612998962402344</v>
      </c>
      <c r="C358" s="3">
        <f t="shared" si="1"/>
        <v>0.53030719771796297</v>
      </c>
    </row>
    <row r="359" spans="1:3" ht="13.2" x14ac:dyDescent="0.25">
      <c r="A359" s="6">
        <v>357</v>
      </c>
      <c r="B359" s="7">
        <v>69.875846862792969</v>
      </c>
      <c r="C359" s="3">
        <f t="shared" si="1"/>
        <v>0.51981299997053232</v>
      </c>
    </row>
    <row r="360" spans="1:3" ht="13.2" x14ac:dyDescent="0.25">
      <c r="A360" s="6">
        <v>358</v>
      </c>
      <c r="B360" s="7">
        <v>70.325798034667969</v>
      </c>
      <c r="C360" s="3">
        <f t="shared" si="1"/>
        <v>0.56461770305203862</v>
      </c>
    </row>
    <row r="361" spans="1:3" ht="13.2" x14ac:dyDescent="0.25">
      <c r="A361" s="6">
        <v>359</v>
      </c>
      <c r="B361" s="7">
        <v>67.760139465332031</v>
      </c>
      <c r="C361" s="3">
        <f t="shared" si="1"/>
        <v>0.51294307623953761</v>
      </c>
    </row>
    <row r="362" spans="1:3" ht="13.2" x14ac:dyDescent="0.25">
      <c r="A362" s="6">
        <v>360</v>
      </c>
      <c r="B362" s="7">
        <v>68.152656555175781</v>
      </c>
      <c r="C362" s="3">
        <f t="shared" si="1"/>
        <v>0.53985185946827796</v>
      </c>
    </row>
    <row r="363" spans="1:3" ht="13.2" x14ac:dyDescent="0.25">
      <c r="A363" s="6">
        <v>361</v>
      </c>
      <c r="B363" s="7">
        <v>67.702705383300781</v>
      </c>
      <c r="C363" s="3">
        <f t="shared" si="1"/>
        <v>0.52331025177947743</v>
      </c>
    </row>
    <row r="364" spans="1:3" ht="13.2" x14ac:dyDescent="0.25">
      <c r="A364" s="6">
        <v>362</v>
      </c>
      <c r="B364" s="7">
        <v>68.985527038574219</v>
      </c>
      <c r="C364" s="3">
        <f t="shared" si="1"/>
        <v>0.54231592552015395</v>
      </c>
    </row>
    <row r="365" spans="1:3" ht="13.2" x14ac:dyDescent="0.25">
      <c r="A365" s="6">
        <v>363</v>
      </c>
      <c r="B365" s="7">
        <v>67.559097290039063</v>
      </c>
      <c r="C365" s="3">
        <f t="shared" si="1"/>
        <v>0.52802415470504782</v>
      </c>
    </row>
    <row r="366" spans="1:3" ht="13.2" x14ac:dyDescent="0.25">
      <c r="A366" s="6">
        <v>364</v>
      </c>
      <c r="B366" s="7">
        <v>66.247543334960938</v>
      </c>
      <c r="C366" s="3">
        <f t="shared" si="1"/>
        <v>0.54897561533875006</v>
      </c>
    </row>
    <row r="367" spans="1:3" ht="13.2" x14ac:dyDescent="0.25">
      <c r="A367" s="6">
        <v>365</v>
      </c>
      <c r="B367" s="7">
        <v>66.295417785644531</v>
      </c>
      <c r="C367" s="3">
        <f t="shared" si="1"/>
        <v>0.57945387169276719</v>
      </c>
    </row>
    <row r="368" spans="1:3" ht="13.2" x14ac:dyDescent="0.25">
      <c r="A368" s="6">
        <v>366</v>
      </c>
      <c r="B368" s="7">
        <v>67.693130493164063</v>
      </c>
      <c r="C368" s="3">
        <f t="shared" si="1"/>
        <v>0.60336832808903629</v>
      </c>
    </row>
    <row r="369" spans="1:3" ht="13.2" x14ac:dyDescent="0.25">
      <c r="A369" s="6">
        <v>367</v>
      </c>
      <c r="B369" s="7">
        <v>68.774917602539063</v>
      </c>
      <c r="C369" s="3">
        <f t="shared" si="1"/>
        <v>0.62253768374012963</v>
      </c>
    </row>
    <row r="370" spans="1:3" ht="13.2" x14ac:dyDescent="0.25">
      <c r="A370" s="6">
        <v>368</v>
      </c>
      <c r="B370" s="7">
        <v>67.932449340820313</v>
      </c>
      <c r="C370" s="3">
        <f t="shared" si="1"/>
        <v>0.58101319284809383</v>
      </c>
    </row>
    <row r="371" spans="1:3" ht="13.2" x14ac:dyDescent="0.25">
      <c r="A371" s="6">
        <v>369</v>
      </c>
      <c r="B371" s="7">
        <v>67.291038513183594</v>
      </c>
      <c r="C371" s="3">
        <f t="shared" si="1"/>
        <v>0.53858464704580022</v>
      </c>
    </row>
    <row r="372" spans="1:3" ht="13.2" x14ac:dyDescent="0.25">
      <c r="A372" s="6">
        <v>370</v>
      </c>
      <c r="B372" s="7">
        <v>67.568672180175781</v>
      </c>
      <c r="C372" s="3">
        <f t="shared" si="1"/>
        <v>0.55623541056225623</v>
      </c>
    </row>
    <row r="373" spans="1:3" ht="13.2" x14ac:dyDescent="0.25">
      <c r="A373" s="6">
        <v>371</v>
      </c>
      <c r="B373" s="7">
        <v>68.497299194335938</v>
      </c>
      <c r="C373" s="3">
        <f t="shared" si="1"/>
        <v>0.53005636011420554</v>
      </c>
    </row>
    <row r="374" spans="1:3" ht="13.2" x14ac:dyDescent="0.25">
      <c r="A374" s="6">
        <v>372</v>
      </c>
      <c r="B374" s="7">
        <v>67.444221496582031</v>
      </c>
      <c r="C374" s="3">
        <f t="shared" si="1"/>
        <v>0.50247832851007912</v>
      </c>
    </row>
    <row r="375" spans="1:3" ht="13.2" x14ac:dyDescent="0.25">
      <c r="A375" s="6">
        <v>373</v>
      </c>
      <c r="B375" s="7">
        <v>66.984695434570313</v>
      </c>
      <c r="C375" s="3">
        <f t="shared" si="1"/>
        <v>0.46381345098797078</v>
      </c>
    </row>
    <row r="376" spans="1:3" ht="13.2" x14ac:dyDescent="0.25">
      <c r="A376" s="6">
        <v>374</v>
      </c>
      <c r="B376" s="7">
        <v>64.342460632324219</v>
      </c>
      <c r="C376" s="3">
        <f t="shared" si="1"/>
        <v>0.42648212054988133</v>
      </c>
    </row>
    <row r="377" spans="1:3" ht="13.2" x14ac:dyDescent="0.25">
      <c r="A377" s="6">
        <v>375</v>
      </c>
      <c r="B377" s="7">
        <v>63.777633666992188</v>
      </c>
      <c r="C377" s="3">
        <f t="shared" si="1"/>
        <v>0.40406847596869511</v>
      </c>
    </row>
    <row r="378" spans="1:3" ht="13.2" x14ac:dyDescent="0.25">
      <c r="A378" s="6">
        <v>376</v>
      </c>
      <c r="B378" s="7">
        <v>65.433815002441406</v>
      </c>
      <c r="C378" s="3">
        <f t="shared" si="1"/>
        <v>0.3955379711158965</v>
      </c>
    </row>
    <row r="379" spans="1:3" ht="13.2" x14ac:dyDescent="0.25">
      <c r="A379" s="6">
        <v>377</v>
      </c>
      <c r="B379" s="7">
        <v>65.251930236816406</v>
      </c>
      <c r="C379" s="3">
        <f t="shared" si="1"/>
        <v>0.38550631255512946</v>
      </c>
    </row>
    <row r="380" spans="1:3" ht="13.2" x14ac:dyDescent="0.25">
      <c r="A380" s="6">
        <v>378</v>
      </c>
      <c r="B380" s="7">
        <v>64.486053466796875</v>
      </c>
      <c r="C380" s="3">
        <f t="shared" si="1"/>
        <v>0.38674097418842235</v>
      </c>
    </row>
    <row r="381" spans="1:3" ht="13.2" x14ac:dyDescent="0.25">
      <c r="A381" s="6">
        <v>379</v>
      </c>
      <c r="B381" s="7">
        <v>62.456508636474609</v>
      </c>
      <c r="C381" s="3">
        <f t="shared" si="1"/>
        <v>0.35046801656290044</v>
      </c>
    </row>
    <row r="382" spans="1:3" ht="13.2" x14ac:dyDescent="0.25">
      <c r="A382" s="6">
        <v>380</v>
      </c>
      <c r="B382" s="7">
        <v>61.384292602539063</v>
      </c>
      <c r="C382" s="3">
        <f t="shared" si="1"/>
        <v>0.35832097920931283</v>
      </c>
    </row>
    <row r="383" spans="1:3" ht="13.2" x14ac:dyDescent="0.25">
      <c r="A383" s="6">
        <v>381</v>
      </c>
      <c r="B383" s="7">
        <v>59.440898895263672</v>
      </c>
      <c r="C383" s="3">
        <f t="shared" ref="C383:C446" si="2">LN(B383/B131)</f>
        <v>0.31196791781826783</v>
      </c>
    </row>
    <row r="384" spans="1:3" ht="13.2" x14ac:dyDescent="0.25">
      <c r="A384" s="6">
        <v>382</v>
      </c>
      <c r="B384" s="7">
        <v>59.929145812988281</v>
      </c>
      <c r="C384" s="3">
        <f t="shared" si="2"/>
        <v>0.29554033338966945</v>
      </c>
    </row>
    <row r="385" spans="1:3" ht="13.2" x14ac:dyDescent="0.25">
      <c r="A385" s="6">
        <v>383</v>
      </c>
      <c r="B385" s="7">
        <v>56.961406707763672</v>
      </c>
      <c r="C385" s="3">
        <f t="shared" si="2"/>
        <v>0.26482037741241665</v>
      </c>
    </row>
    <row r="386" spans="1:3" ht="13.2" x14ac:dyDescent="0.25">
      <c r="A386" s="6">
        <v>384</v>
      </c>
      <c r="B386" s="7">
        <v>56.319999694824219</v>
      </c>
      <c r="C386" s="3">
        <f t="shared" si="2"/>
        <v>0.24533449092161502</v>
      </c>
    </row>
    <row r="387" spans="1:3" ht="13.2" x14ac:dyDescent="0.25">
      <c r="A387" s="6">
        <v>385</v>
      </c>
      <c r="B387" s="7">
        <v>59.708953857421875</v>
      </c>
      <c r="C387" s="3">
        <f t="shared" si="2"/>
        <v>0.32211579133959722</v>
      </c>
    </row>
    <row r="388" spans="1:3" ht="13.2" x14ac:dyDescent="0.25">
      <c r="A388" s="6">
        <v>386</v>
      </c>
      <c r="B388" s="7">
        <v>58.205940246582031</v>
      </c>
      <c r="C388" s="3">
        <f t="shared" si="2"/>
        <v>0.23556099213552095</v>
      </c>
    </row>
    <row r="389" spans="1:3" ht="13.2" x14ac:dyDescent="0.25">
      <c r="A389" s="6">
        <v>387</v>
      </c>
      <c r="B389" s="7">
        <v>59.775970458984375</v>
      </c>
      <c r="C389" s="3">
        <f t="shared" si="2"/>
        <v>0.26752077528609908</v>
      </c>
    </row>
    <row r="390" spans="1:3" ht="13.2" x14ac:dyDescent="0.25">
      <c r="A390" s="6">
        <v>388</v>
      </c>
      <c r="B390" s="7">
        <v>58.617595672607422</v>
      </c>
      <c r="C390" s="3">
        <f t="shared" si="2"/>
        <v>0.23505368128669779</v>
      </c>
    </row>
    <row r="391" spans="1:3" ht="13.2" x14ac:dyDescent="0.25">
      <c r="A391" s="6">
        <v>389</v>
      </c>
      <c r="B391" s="7">
        <v>57.899593353271484</v>
      </c>
      <c r="C391" s="3">
        <f t="shared" si="2"/>
        <v>0.22293264369374863</v>
      </c>
    </row>
    <row r="392" spans="1:3" ht="13.2" x14ac:dyDescent="0.25">
      <c r="A392" s="6">
        <v>390</v>
      </c>
      <c r="B392" s="7">
        <v>58.675037384033203</v>
      </c>
      <c r="C392" s="3">
        <f t="shared" si="2"/>
        <v>0.26012072587200524</v>
      </c>
    </row>
    <row r="393" spans="1:3" ht="13.2" x14ac:dyDescent="0.25">
      <c r="A393" s="6">
        <v>391</v>
      </c>
      <c r="B393" s="7">
        <v>58.225086212158203</v>
      </c>
      <c r="C393" s="3">
        <f t="shared" si="2"/>
        <v>0.19532205737432387</v>
      </c>
    </row>
    <row r="394" spans="1:3" ht="13.2" x14ac:dyDescent="0.25">
      <c r="A394" s="6">
        <v>392</v>
      </c>
      <c r="B394" s="7">
        <v>57.775138854980469</v>
      </c>
      <c r="C394" s="3">
        <f t="shared" si="2"/>
        <v>0.18874596563123239</v>
      </c>
    </row>
    <row r="395" spans="1:3" ht="13.2" x14ac:dyDescent="0.25">
      <c r="A395" s="6">
        <v>393</v>
      </c>
      <c r="B395" s="7">
        <v>57.382633209228516</v>
      </c>
      <c r="C395" s="3">
        <f t="shared" si="2"/>
        <v>0.1705652107048018</v>
      </c>
    </row>
    <row r="396" spans="1:3" ht="13.2" x14ac:dyDescent="0.25">
      <c r="A396" s="6">
        <v>394</v>
      </c>
      <c r="B396" s="7">
        <v>56.329566955566406</v>
      </c>
      <c r="C396" s="3">
        <f t="shared" si="2"/>
        <v>0.15868906282922957</v>
      </c>
    </row>
    <row r="397" spans="1:3" ht="13.2" x14ac:dyDescent="0.25">
      <c r="A397" s="6">
        <v>395</v>
      </c>
      <c r="B397" s="7">
        <v>57.353916168212891</v>
      </c>
      <c r="C397" s="3">
        <f t="shared" si="2"/>
        <v>0.16831305143769487</v>
      </c>
    </row>
    <row r="398" spans="1:3" ht="13.2" x14ac:dyDescent="0.25">
      <c r="A398" s="6">
        <v>396</v>
      </c>
      <c r="B398" s="7">
        <v>57.286899566650391</v>
      </c>
      <c r="C398" s="3">
        <f t="shared" si="2"/>
        <v>0.15170540360838636</v>
      </c>
    </row>
    <row r="399" spans="1:3" ht="13.2" x14ac:dyDescent="0.25">
      <c r="A399" s="6">
        <v>397</v>
      </c>
      <c r="B399" s="7">
        <v>55.630714416503906</v>
      </c>
      <c r="C399" s="3">
        <f t="shared" si="2"/>
        <v>0.10114798474580958</v>
      </c>
    </row>
    <row r="400" spans="1:3" ht="13.2" x14ac:dyDescent="0.25">
      <c r="A400" s="6">
        <v>398</v>
      </c>
      <c r="B400" s="7">
        <v>58.713329315185547</v>
      </c>
      <c r="C400" s="3">
        <f t="shared" si="2"/>
        <v>8.9065529707912566E-2</v>
      </c>
    </row>
    <row r="401" spans="1:3" ht="13.2" x14ac:dyDescent="0.25">
      <c r="A401" s="6">
        <v>399</v>
      </c>
      <c r="B401" s="7">
        <v>56.291267395019531</v>
      </c>
      <c r="C401" s="3">
        <f t="shared" si="2"/>
        <v>6.8402295693681558E-2</v>
      </c>
    </row>
    <row r="402" spans="1:3" ht="13.2" x14ac:dyDescent="0.25">
      <c r="A402" s="6">
        <v>400</v>
      </c>
      <c r="B402" s="7">
        <v>56.923110961914063</v>
      </c>
      <c r="C402" s="3">
        <f t="shared" si="2"/>
        <v>8.0281867813970925E-2</v>
      </c>
    </row>
    <row r="403" spans="1:3" ht="13.2" x14ac:dyDescent="0.25">
      <c r="A403" s="6">
        <v>401</v>
      </c>
      <c r="B403" s="7">
        <v>59.172843933105469</v>
      </c>
      <c r="C403" s="3">
        <f t="shared" si="2"/>
        <v>0.16832688149333006</v>
      </c>
    </row>
    <row r="404" spans="1:3" ht="13.2" x14ac:dyDescent="0.25">
      <c r="A404" s="6">
        <v>402</v>
      </c>
      <c r="B404" s="7">
        <v>58.636745452880859</v>
      </c>
      <c r="C404" s="3">
        <f t="shared" si="2"/>
        <v>7.8327870980433464E-2</v>
      </c>
    </row>
    <row r="405" spans="1:3" ht="13.2" x14ac:dyDescent="0.25">
      <c r="A405" s="6">
        <v>403</v>
      </c>
      <c r="B405" s="7">
        <v>58.990951538085938</v>
      </c>
      <c r="C405" s="3">
        <f t="shared" si="2"/>
        <v>3.7482740062759472E-2</v>
      </c>
    </row>
    <row r="406" spans="1:3" ht="13.2" x14ac:dyDescent="0.25">
      <c r="A406" s="6">
        <v>404</v>
      </c>
      <c r="B406" s="7">
        <v>60.560981750488281</v>
      </c>
      <c r="C406" s="3">
        <f t="shared" si="2"/>
        <v>3.2073365645753089E-2</v>
      </c>
    </row>
    <row r="407" spans="1:3" ht="13.2" x14ac:dyDescent="0.25">
      <c r="A407" s="6">
        <v>405</v>
      </c>
      <c r="B407" s="7">
        <v>59.402606964111328</v>
      </c>
      <c r="C407" s="3">
        <f t="shared" si="2"/>
        <v>-3.8460341281112823E-2</v>
      </c>
    </row>
    <row r="408" spans="1:3" ht="13.2" x14ac:dyDescent="0.25">
      <c r="A408" s="6">
        <v>406</v>
      </c>
      <c r="B408" s="7">
        <v>59.641937255859375</v>
      </c>
      <c r="C408" s="3">
        <f t="shared" si="2"/>
        <v>-5.2746882497222737E-2</v>
      </c>
    </row>
    <row r="409" spans="1:3" ht="13.2" x14ac:dyDescent="0.25">
      <c r="A409" s="6">
        <v>407</v>
      </c>
      <c r="B409" s="7">
        <v>60.484401702880859</v>
      </c>
      <c r="C409" s="3">
        <f t="shared" si="2"/>
        <v>-3.3911146543286662E-2</v>
      </c>
    </row>
    <row r="410" spans="1:3" ht="13.2" x14ac:dyDescent="0.25">
      <c r="A410" s="6">
        <v>408</v>
      </c>
      <c r="B410" s="7">
        <v>63.365978240966797</v>
      </c>
      <c r="C410" s="3">
        <f t="shared" si="2"/>
        <v>2.8268780676880333E-2</v>
      </c>
    </row>
    <row r="411" spans="1:3" ht="13.2" x14ac:dyDescent="0.25">
      <c r="A411" s="6">
        <v>409</v>
      </c>
      <c r="B411" s="7">
        <v>61.977836608886719</v>
      </c>
      <c r="C411" s="3">
        <f t="shared" si="2"/>
        <v>-3.4758006884827372E-3</v>
      </c>
    </row>
    <row r="412" spans="1:3" ht="13.2" x14ac:dyDescent="0.25">
      <c r="A412" s="6">
        <v>410</v>
      </c>
      <c r="B412" s="7">
        <v>62.408645629882813</v>
      </c>
      <c r="C412" s="3">
        <f t="shared" si="2"/>
        <v>-9.9476365299897458E-3</v>
      </c>
    </row>
    <row r="413" spans="1:3" ht="13.2" x14ac:dyDescent="0.25">
      <c r="A413" s="6">
        <v>411</v>
      </c>
      <c r="B413" s="7">
        <v>59.900421142578125</v>
      </c>
      <c r="C413" s="3">
        <f t="shared" si="2"/>
        <v>-6.1825444934646603E-2</v>
      </c>
    </row>
    <row r="414" spans="1:3" ht="13.2" x14ac:dyDescent="0.25">
      <c r="A414" s="6">
        <v>412</v>
      </c>
      <c r="B414" s="7">
        <v>59.785541534423828</v>
      </c>
      <c r="C414" s="3">
        <f t="shared" si="2"/>
        <v>-8.8581948653862486E-2</v>
      </c>
    </row>
    <row r="415" spans="1:3" ht="13.2" x14ac:dyDescent="0.25">
      <c r="A415" s="6">
        <v>413</v>
      </c>
      <c r="B415" s="7">
        <v>58.588874816894531</v>
      </c>
      <c r="C415" s="3">
        <f t="shared" si="2"/>
        <v>-8.9716674573024041E-2</v>
      </c>
    </row>
    <row r="416" spans="1:3" ht="13.2" x14ac:dyDescent="0.25">
      <c r="A416" s="6">
        <v>414</v>
      </c>
      <c r="B416" s="7">
        <v>58.014472961425781</v>
      </c>
      <c r="C416" s="3">
        <f t="shared" si="2"/>
        <v>-8.3407350075508535E-2</v>
      </c>
    </row>
    <row r="417" spans="1:3" ht="13.2" x14ac:dyDescent="0.25">
      <c r="A417" s="6">
        <v>415</v>
      </c>
      <c r="B417" s="7">
        <v>58.550579071044922</v>
      </c>
      <c r="C417" s="3">
        <f t="shared" si="2"/>
        <v>-3.76752678054358E-2</v>
      </c>
    </row>
    <row r="418" spans="1:3" ht="13.2" x14ac:dyDescent="0.25">
      <c r="A418" s="6">
        <v>416</v>
      </c>
      <c r="B418" s="7">
        <v>61.068374633789063</v>
      </c>
      <c r="C418" s="3">
        <f t="shared" si="2"/>
        <v>-5.9060510155935792E-3</v>
      </c>
    </row>
    <row r="419" spans="1:3" ht="13.2" x14ac:dyDescent="0.25">
      <c r="A419" s="6">
        <v>417</v>
      </c>
      <c r="B419" s="7">
        <v>61.346004486083984</v>
      </c>
      <c r="C419" s="3">
        <f t="shared" si="2"/>
        <v>-9.4698728215360066E-3</v>
      </c>
    </row>
    <row r="420" spans="1:3" ht="13.2" x14ac:dyDescent="0.25">
      <c r="A420" s="6">
        <v>418</v>
      </c>
      <c r="B420" s="7">
        <v>61.231121063232422</v>
      </c>
      <c r="C420" s="3">
        <f t="shared" si="2"/>
        <v>-2.6306420364371088E-3</v>
      </c>
    </row>
    <row r="421" spans="1:3" ht="13.2" x14ac:dyDescent="0.25">
      <c r="A421" s="6">
        <v>419</v>
      </c>
      <c r="B421" s="7">
        <v>62.456508636474609</v>
      </c>
      <c r="C421" s="3">
        <f t="shared" si="2"/>
        <v>1.8259648068886563E-2</v>
      </c>
    </row>
    <row r="422" spans="1:3" ht="13.2" x14ac:dyDescent="0.25">
      <c r="A422" s="6">
        <v>420</v>
      </c>
      <c r="B422" s="7">
        <v>60.254638671875</v>
      </c>
      <c r="C422" s="3">
        <f t="shared" si="2"/>
        <v>5.3795528966053951E-3</v>
      </c>
    </row>
    <row r="423" spans="1:3" ht="13.2" x14ac:dyDescent="0.25">
      <c r="A423" s="6">
        <v>421</v>
      </c>
      <c r="B423" s="7">
        <v>58.694187164306641</v>
      </c>
      <c r="C423" s="3">
        <f t="shared" si="2"/>
        <v>-5.0059950813208911E-3</v>
      </c>
    </row>
    <row r="424" spans="1:3" ht="13.2" x14ac:dyDescent="0.25">
      <c r="A424" s="6">
        <v>422</v>
      </c>
      <c r="B424" s="7">
        <v>60.063175201416016</v>
      </c>
      <c r="C424" s="3">
        <f t="shared" si="2"/>
        <v>4.0839126871295386E-2</v>
      </c>
    </row>
    <row r="425" spans="1:3" ht="13.2" x14ac:dyDescent="0.25">
      <c r="A425" s="6">
        <v>423</v>
      </c>
      <c r="B425" s="7">
        <v>57.995330810546875</v>
      </c>
      <c r="C425" s="3">
        <f t="shared" si="2"/>
        <v>5.151002155324106E-3</v>
      </c>
    </row>
    <row r="426" spans="1:3" ht="13.2" x14ac:dyDescent="0.25">
      <c r="A426" s="6">
        <v>424</v>
      </c>
      <c r="B426" s="7">
        <v>56.310413360595703</v>
      </c>
      <c r="C426" s="3">
        <f t="shared" si="2"/>
        <v>-2.8649893607674217E-3</v>
      </c>
    </row>
    <row r="427" spans="1:3" ht="13.2" x14ac:dyDescent="0.25">
      <c r="A427" s="6">
        <v>425</v>
      </c>
      <c r="B427" s="7">
        <v>55.123321533203125</v>
      </c>
      <c r="C427" s="3">
        <f t="shared" si="2"/>
        <v>1.4975823104285515E-2</v>
      </c>
    </row>
    <row r="428" spans="1:3" ht="13.2" x14ac:dyDescent="0.25">
      <c r="A428" s="6">
        <v>426</v>
      </c>
      <c r="B428" s="7">
        <v>54.577648162841797</v>
      </c>
      <c r="C428" s="3">
        <f t="shared" si="2"/>
        <v>4.3241744343223067E-2</v>
      </c>
    </row>
    <row r="429" spans="1:3" ht="13.2" x14ac:dyDescent="0.25">
      <c r="A429" s="6">
        <v>427</v>
      </c>
      <c r="B429" s="7">
        <v>54.185134887695313</v>
      </c>
      <c r="C429" s="3">
        <f t="shared" si="2"/>
        <v>0.10817780539076398</v>
      </c>
    </row>
    <row r="430" spans="1:3" ht="13.2" x14ac:dyDescent="0.25">
      <c r="A430" s="6">
        <v>428</v>
      </c>
      <c r="B430" s="7">
        <v>54.453193664550781</v>
      </c>
      <c r="C430" s="3">
        <f t="shared" si="2"/>
        <v>9.9444130745406548E-2</v>
      </c>
    </row>
    <row r="431" spans="1:3" ht="13.2" x14ac:dyDescent="0.25">
      <c r="A431" s="6">
        <v>429</v>
      </c>
      <c r="B431" s="7">
        <v>55.228630065917969</v>
      </c>
      <c r="C431" s="3">
        <f t="shared" si="2"/>
        <v>0.11281966207455058</v>
      </c>
    </row>
    <row r="432" spans="1:3" ht="13.2" x14ac:dyDescent="0.25">
      <c r="A432" s="6">
        <v>430</v>
      </c>
      <c r="B432" s="7">
        <v>56.023216247558594</v>
      </c>
      <c r="C432" s="3">
        <f t="shared" si="2"/>
        <v>9.2922616843029715E-2</v>
      </c>
    </row>
    <row r="433" spans="1:3" ht="13.2" x14ac:dyDescent="0.25">
      <c r="A433" s="6">
        <v>431</v>
      </c>
      <c r="B433" s="7">
        <v>56.501884460449219</v>
      </c>
      <c r="C433" s="3">
        <f t="shared" si="2"/>
        <v>0.10940153656126438</v>
      </c>
    </row>
    <row r="434" spans="1:3" ht="13.2" x14ac:dyDescent="0.25">
      <c r="A434" s="6">
        <v>432</v>
      </c>
      <c r="B434" s="7">
        <v>53.409694671630859</v>
      </c>
      <c r="C434" s="3">
        <f t="shared" si="2"/>
        <v>8.8929288186681929E-2</v>
      </c>
    </row>
    <row r="435" spans="1:3" ht="13.2" x14ac:dyDescent="0.25">
      <c r="A435" s="6">
        <v>433</v>
      </c>
      <c r="B435" s="7">
        <v>53.582019805908203</v>
      </c>
      <c r="C435" s="3">
        <f t="shared" si="2"/>
        <v>6.194013897931324E-2</v>
      </c>
    </row>
    <row r="436" spans="1:3" ht="13.2" x14ac:dyDescent="0.25">
      <c r="A436" s="6">
        <v>434</v>
      </c>
      <c r="B436" s="7">
        <v>53.649032592773438</v>
      </c>
      <c r="C436" s="3">
        <f t="shared" si="2"/>
        <v>4.9250665873076305E-2</v>
      </c>
    </row>
    <row r="437" spans="1:3" ht="13.2" x14ac:dyDescent="0.25">
      <c r="A437" s="6">
        <v>435</v>
      </c>
      <c r="B437" s="7">
        <v>54.079830169677734</v>
      </c>
      <c r="C437" s="3">
        <f t="shared" si="2"/>
        <v>9.4669382804228111E-2</v>
      </c>
    </row>
    <row r="438" spans="1:3" ht="13.2" x14ac:dyDescent="0.25">
      <c r="A438" s="6">
        <v>436</v>
      </c>
      <c r="B438" s="7">
        <v>53.31396484375</v>
      </c>
      <c r="C438" s="3">
        <f t="shared" si="2"/>
        <v>7.5436895736079548E-2</v>
      </c>
    </row>
    <row r="439" spans="1:3" ht="13.2" x14ac:dyDescent="0.25">
      <c r="A439" s="6">
        <v>437</v>
      </c>
      <c r="B439" s="7">
        <v>55.228630065917969</v>
      </c>
      <c r="C439" s="3">
        <f t="shared" si="2"/>
        <v>9.7650569461249434E-2</v>
      </c>
    </row>
    <row r="440" spans="1:3" ht="13.2" x14ac:dyDescent="0.25">
      <c r="A440" s="6">
        <v>438</v>
      </c>
      <c r="B440" s="7">
        <v>53.639457702636719</v>
      </c>
      <c r="C440" s="3">
        <f t="shared" si="2"/>
        <v>7.1847060931437848E-2</v>
      </c>
    </row>
    <row r="441" spans="1:3" ht="13.2" x14ac:dyDescent="0.25">
      <c r="A441" s="6">
        <v>439</v>
      </c>
      <c r="B441" s="7">
        <v>54.568073272705078</v>
      </c>
      <c r="C441" s="3">
        <f t="shared" si="2"/>
        <v>6.7528949802207847E-2</v>
      </c>
    </row>
    <row r="442" spans="1:3" ht="13.2" x14ac:dyDescent="0.25">
      <c r="A442" s="6">
        <v>440</v>
      </c>
      <c r="B442" s="7">
        <v>56.588050842285156</v>
      </c>
      <c r="C442" s="3">
        <f t="shared" si="2"/>
        <v>0.1400059384884032</v>
      </c>
    </row>
    <row r="443" spans="1:3" ht="13.2" x14ac:dyDescent="0.25">
      <c r="A443" s="6">
        <v>441</v>
      </c>
      <c r="B443" s="7">
        <v>55.161617279052734</v>
      </c>
      <c r="C443" s="3">
        <f t="shared" si="2"/>
        <v>0.1312859557760275</v>
      </c>
    </row>
    <row r="444" spans="1:3" ht="13.2" x14ac:dyDescent="0.25">
      <c r="A444" s="6">
        <v>442</v>
      </c>
      <c r="B444" s="7">
        <v>56.530605316162109</v>
      </c>
      <c r="C444" s="3">
        <f t="shared" si="2"/>
        <v>0.19697186121832699</v>
      </c>
    </row>
    <row r="445" spans="1:3" ht="13.2" x14ac:dyDescent="0.25">
      <c r="A445" s="6">
        <v>443</v>
      </c>
      <c r="B445" s="7">
        <v>56.980552673339844</v>
      </c>
      <c r="C445" s="3">
        <f t="shared" si="2"/>
        <v>0.17273229644305949</v>
      </c>
    </row>
    <row r="446" spans="1:3" ht="13.2" x14ac:dyDescent="0.25">
      <c r="A446" s="6">
        <v>444</v>
      </c>
      <c r="B446" s="7">
        <v>60.934345245361328</v>
      </c>
      <c r="C446" s="3">
        <f t="shared" si="2"/>
        <v>0.25228352435710927</v>
      </c>
    </row>
    <row r="447" spans="1:3" ht="13.2" x14ac:dyDescent="0.25">
      <c r="A447" s="6">
        <v>445</v>
      </c>
      <c r="B447" s="7">
        <v>60.063175201416016</v>
      </c>
      <c r="C447" s="3">
        <f t="shared" ref="C447:C510" si="3">LN(B447/B195)</f>
        <v>0.25799278414144272</v>
      </c>
    </row>
    <row r="448" spans="1:3" ht="13.2" x14ac:dyDescent="0.25">
      <c r="A448" s="6">
        <v>446</v>
      </c>
      <c r="B448" s="7">
        <v>58.655887603759766</v>
      </c>
      <c r="C448" s="3">
        <f t="shared" si="3"/>
        <v>0.18262496600257974</v>
      </c>
    </row>
    <row r="449" spans="1:3" ht="13.2" x14ac:dyDescent="0.25">
      <c r="A449" s="6">
        <v>447</v>
      </c>
      <c r="B449" s="7">
        <v>59.823833465576172</v>
      </c>
      <c r="C449" s="3">
        <f t="shared" si="3"/>
        <v>0.19849055033227928</v>
      </c>
    </row>
    <row r="450" spans="1:3" ht="13.2" x14ac:dyDescent="0.25">
      <c r="A450" s="6">
        <v>448</v>
      </c>
      <c r="B450" s="7">
        <v>59.708953857421875</v>
      </c>
      <c r="C450" s="3">
        <f t="shared" si="3"/>
        <v>0.18491468791196994</v>
      </c>
    </row>
    <row r="451" spans="1:3" ht="13.2" x14ac:dyDescent="0.25">
      <c r="A451" s="6">
        <v>449</v>
      </c>
      <c r="B451" s="7">
        <v>60.273780822753906</v>
      </c>
      <c r="C451" s="3">
        <f t="shared" si="3"/>
        <v>0.18281065103423461</v>
      </c>
    </row>
    <row r="452" spans="1:3" ht="13.2" x14ac:dyDescent="0.25">
      <c r="A452" s="6">
        <v>450</v>
      </c>
      <c r="B452" s="7">
        <v>64.237144470214844</v>
      </c>
      <c r="C452" s="3">
        <f t="shared" si="3"/>
        <v>0.22531653651404143</v>
      </c>
    </row>
    <row r="453" spans="1:3" ht="13.2" x14ac:dyDescent="0.25">
      <c r="A453" s="6">
        <v>451</v>
      </c>
      <c r="B453" s="7">
        <v>63.844638824462891</v>
      </c>
      <c r="C453" s="3">
        <f t="shared" si="3"/>
        <v>0.23102196900953803</v>
      </c>
    </row>
    <row r="454" spans="1:3" ht="13.2" x14ac:dyDescent="0.25">
      <c r="A454" s="6">
        <v>452</v>
      </c>
      <c r="B454" s="7">
        <v>63.289386749267578</v>
      </c>
      <c r="C454" s="3">
        <f t="shared" si="3"/>
        <v>0.21321364993636174</v>
      </c>
    </row>
    <row r="455" spans="1:3" ht="13.2" x14ac:dyDescent="0.25">
      <c r="A455" s="6">
        <v>453</v>
      </c>
      <c r="B455" s="7">
        <v>61.087516784667969</v>
      </c>
      <c r="C455" s="3">
        <f t="shared" si="3"/>
        <v>0.16753374283812658</v>
      </c>
    </row>
    <row r="456" spans="1:3" ht="13.2" x14ac:dyDescent="0.25">
      <c r="A456" s="6">
        <v>454</v>
      </c>
      <c r="B456" s="7">
        <v>58.933521270751953</v>
      </c>
      <c r="C456" s="3">
        <f t="shared" si="3"/>
        <v>0.10233098904593914</v>
      </c>
    </row>
    <row r="457" spans="1:3" ht="13.2" x14ac:dyDescent="0.25">
      <c r="A457" s="6">
        <v>455</v>
      </c>
      <c r="B457" s="7">
        <v>61.929969787597656</v>
      </c>
      <c r="C457" s="3">
        <f t="shared" si="3"/>
        <v>0.17305393484570883</v>
      </c>
    </row>
    <row r="458" spans="1:3" ht="13.2" x14ac:dyDescent="0.25">
      <c r="A458" s="6">
        <v>456</v>
      </c>
      <c r="B458" s="7">
        <v>61.432159423828125</v>
      </c>
      <c r="C458" s="3">
        <f t="shared" si="3"/>
        <v>0.16824574107292359</v>
      </c>
    </row>
    <row r="459" spans="1:3" ht="13.2" x14ac:dyDescent="0.25">
      <c r="A459" s="6">
        <v>457</v>
      </c>
      <c r="B459" s="7">
        <v>60.312080383300781</v>
      </c>
      <c r="C459" s="3">
        <f t="shared" si="3"/>
        <v>0.13131742691092224</v>
      </c>
    </row>
    <row r="460" spans="1:3" ht="13.2" x14ac:dyDescent="0.25">
      <c r="A460" s="6">
        <v>458</v>
      </c>
      <c r="B460" s="7">
        <v>60.752452850341797</v>
      </c>
      <c r="C460" s="3">
        <f t="shared" si="3"/>
        <v>0.12777957833561951</v>
      </c>
    </row>
    <row r="461" spans="1:3" ht="13.2" x14ac:dyDescent="0.25">
      <c r="A461" s="6">
        <v>459</v>
      </c>
      <c r="B461" s="7">
        <v>62.15972900390625</v>
      </c>
      <c r="C461" s="3">
        <f t="shared" si="3"/>
        <v>0.15509681751504317</v>
      </c>
    </row>
    <row r="462" spans="1:3" ht="13.2" x14ac:dyDescent="0.25">
      <c r="A462" s="6">
        <v>460</v>
      </c>
      <c r="B462" s="7">
        <v>66.649635314941406</v>
      </c>
      <c r="C462" s="3">
        <f t="shared" si="3"/>
        <v>0.27644000902399962</v>
      </c>
    </row>
    <row r="463" spans="1:3" ht="13.2" x14ac:dyDescent="0.25">
      <c r="A463" s="6">
        <v>461</v>
      </c>
      <c r="B463" s="7">
        <v>67.089996337890625</v>
      </c>
      <c r="C463" s="3">
        <f t="shared" si="3"/>
        <v>0.26528323596410402</v>
      </c>
    </row>
    <row r="464" spans="1:3" ht="13.2" x14ac:dyDescent="0.25">
      <c r="A464" s="6">
        <v>462</v>
      </c>
      <c r="B464" s="7">
        <v>72.144729614257813</v>
      </c>
      <c r="C464" s="3">
        <f t="shared" si="3"/>
        <v>0.34841894669569101</v>
      </c>
    </row>
    <row r="465" spans="1:3" ht="13.2" x14ac:dyDescent="0.25">
      <c r="A465" s="6">
        <v>463</v>
      </c>
      <c r="B465" s="7">
        <v>71.876678466796875</v>
      </c>
      <c r="C465" s="3">
        <f t="shared" si="3"/>
        <v>0.34506678938072088</v>
      </c>
    </row>
    <row r="466" spans="1:3" ht="13.2" x14ac:dyDescent="0.25">
      <c r="A466" s="6">
        <v>464</v>
      </c>
      <c r="B466" s="7">
        <v>70.565132141113281</v>
      </c>
      <c r="C466" s="3">
        <f t="shared" si="3"/>
        <v>0.31230991696475097</v>
      </c>
    </row>
    <row r="467" spans="1:3" ht="13.2" x14ac:dyDescent="0.25">
      <c r="A467" s="6">
        <v>465</v>
      </c>
      <c r="B467" s="7">
        <v>72.384063720703125</v>
      </c>
      <c r="C467" s="3">
        <f t="shared" si="3"/>
        <v>0.32074605424994967</v>
      </c>
    </row>
    <row r="468" spans="1:3" ht="13.2" x14ac:dyDescent="0.25">
      <c r="A468" s="6">
        <v>466</v>
      </c>
      <c r="B468" s="7">
        <v>72.5372314453125</v>
      </c>
      <c r="C468" s="3">
        <f t="shared" si="3"/>
        <v>0.28103335044324895</v>
      </c>
    </row>
    <row r="469" spans="1:3" ht="13.2" x14ac:dyDescent="0.25">
      <c r="A469" s="6">
        <v>467</v>
      </c>
      <c r="B469" s="7">
        <v>72.575531005859375</v>
      </c>
      <c r="C469" s="3">
        <f t="shared" si="3"/>
        <v>0.29350841815855694</v>
      </c>
    </row>
    <row r="470" spans="1:3" ht="13.2" x14ac:dyDescent="0.25">
      <c r="A470" s="6">
        <v>468</v>
      </c>
      <c r="B470" s="7">
        <v>71.120391845703125</v>
      </c>
      <c r="C470" s="3">
        <f t="shared" si="3"/>
        <v>0.3002665415738045</v>
      </c>
    </row>
    <row r="471" spans="1:3" ht="13.2" x14ac:dyDescent="0.25">
      <c r="A471" s="6">
        <v>469</v>
      </c>
      <c r="B471" s="7">
        <v>70.392807006835938</v>
      </c>
      <c r="C471" s="3">
        <f t="shared" si="3"/>
        <v>0.25654749679693195</v>
      </c>
    </row>
    <row r="472" spans="1:3" ht="13.2" x14ac:dyDescent="0.25">
      <c r="A472" s="6">
        <v>470</v>
      </c>
      <c r="B472" s="7">
        <v>71.235267639160156</v>
      </c>
      <c r="C472" s="3">
        <f t="shared" si="3"/>
        <v>0.24873673285494768</v>
      </c>
    </row>
    <row r="473" spans="1:3" ht="13.2" x14ac:dyDescent="0.25">
      <c r="A473" s="6">
        <v>471</v>
      </c>
      <c r="B473" s="7">
        <v>71.522468566894531</v>
      </c>
      <c r="C473" s="3">
        <f t="shared" si="3"/>
        <v>0.24111951526882219</v>
      </c>
    </row>
    <row r="474" spans="1:3" ht="13.2" x14ac:dyDescent="0.25">
      <c r="A474" s="6">
        <v>472</v>
      </c>
      <c r="B474" s="7">
        <v>71.043792724609375</v>
      </c>
      <c r="C474" s="3">
        <f t="shared" si="3"/>
        <v>0.23826971022517032</v>
      </c>
    </row>
    <row r="475" spans="1:3" ht="13.2" x14ac:dyDescent="0.25">
      <c r="A475" s="6">
        <v>473</v>
      </c>
      <c r="B475" s="7">
        <v>70.871475219726563</v>
      </c>
      <c r="C475" s="3">
        <f t="shared" si="3"/>
        <v>0.27009691049880674</v>
      </c>
    </row>
    <row r="476" spans="1:3" ht="13.2" x14ac:dyDescent="0.25">
      <c r="A476" s="6">
        <v>474</v>
      </c>
      <c r="B476" s="7">
        <v>71.331001281738281</v>
      </c>
      <c r="C476" s="3">
        <f t="shared" si="3"/>
        <v>0.24179925078303019</v>
      </c>
    </row>
    <row r="477" spans="1:3" ht="13.2" x14ac:dyDescent="0.25">
      <c r="A477" s="6">
        <v>475</v>
      </c>
      <c r="B477" s="7">
        <v>70.392807006835938</v>
      </c>
      <c r="C477" s="3">
        <f t="shared" si="3"/>
        <v>0.22754998421153702</v>
      </c>
    </row>
    <row r="478" spans="1:3" ht="13.2" x14ac:dyDescent="0.25">
      <c r="A478" s="6">
        <v>476</v>
      </c>
      <c r="B478" s="7">
        <v>68.162216186523438</v>
      </c>
      <c r="C478" s="3">
        <f t="shared" si="3"/>
        <v>0.18497959493403068</v>
      </c>
    </row>
    <row r="479" spans="1:3" ht="13.2" x14ac:dyDescent="0.25">
      <c r="A479" s="6">
        <v>477</v>
      </c>
      <c r="B479" s="7">
        <v>70.0577392578125</v>
      </c>
      <c r="C479" s="3">
        <f t="shared" si="3"/>
        <v>0.20511449821983171</v>
      </c>
    </row>
    <row r="480" spans="1:3" ht="13.2" x14ac:dyDescent="0.25">
      <c r="A480" s="6">
        <v>478</v>
      </c>
      <c r="B480" s="7">
        <v>70.086463928222656</v>
      </c>
      <c r="C480" s="3">
        <f t="shared" si="3"/>
        <v>0.19549868934599984</v>
      </c>
    </row>
    <row r="481" spans="1:3" ht="13.2" x14ac:dyDescent="0.25">
      <c r="A481" s="6">
        <v>479</v>
      </c>
      <c r="B481" s="7">
        <v>68.554733276367188</v>
      </c>
      <c r="C481" s="3">
        <f t="shared" si="3"/>
        <v>0.21992951772208832</v>
      </c>
    </row>
    <row r="482" spans="1:3" ht="13.2" x14ac:dyDescent="0.25">
      <c r="A482" s="6">
        <v>480</v>
      </c>
      <c r="B482" s="7">
        <v>68.593032836914063</v>
      </c>
      <c r="C482" s="3">
        <f t="shared" si="3"/>
        <v>0.21792152050941263</v>
      </c>
    </row>
    <row r="483" spans="1:3" ht="13.2" x14ac:dyDescent="0.25">
      <c r="A483" s="6">
        <v>481</v>
      </c>
      <c r="B483" s="7">
        <v>70.708732604980469</v>
      </c>
      <c r="C483" s="3">
        <f t="shared" si="3"/>
        <v>0.21057182892363668</v>
      </c>
    </row>
    <row r="484" spans="1:3" ht="13.2" x14ac:dyDescent="0.25">
      <c r="A484" s="6">
        <v>482</v>
      </c>
      <c r="B484" s="7">
        <v>71.493743896484375</v>
      </c>
      <c r="C484" s="3">
        <f t="shared" si="3"/>
        <v>0.21309225970250634</v>
      </c>
    </row>
    <row r="485" spans="1:3" ht="13.2" x14ac:dyDescent="0.25">
      <c r="A485" s="6">
        <v>483</v>
      </c>
      <c r="B485" s="7">
        <v>68.545150756835938</v>
      </c>
      <c r="C485" s="3">
        <f t="shared" si="3"/>
        <v>0.15720179387466932</v>
      </c>
    </row>
    <row r="486" spans="1:3" ht="13.2" x14ac:dyDescent="0.25">
      <c r="A486" s="6">
        <v>484</v>
      </c>
      <c r="B486" s="7">
        <v>67.338912963867188</v>
      </c>
      <c r="C486" s="3">
        <f t="shared" si="3"/>
        <v>0.17917025910425247</v>
      </c>
    </row>
    <row r="487" spans="1:3" ht="13.2" x14ac:dyDescent="0.25">
      <c r="A487" s="6">
        <v>485</v>
      </c>
      <c r="B487" s="7">
        <v>68.3441162109375</v>
      </c>
      <c r="C487" s="3">
        <f t="shared" si="3"/>
        <v>0.18299653336726149</v>
      </c>
    </row>
    <row r="488" spans="1:3" ht="13.2" x14ac:dyDescent="0.25">
      <c r="A488" s="6">
        <v>486</v>
      </c>
      <c r="B488" s="7">
        <v>66.103950500488281</v>
      </c>
      <c r="C488" s="3">
        <f t="shared" si="3"/>
        <v>0.15948911827574394</v>
      </c>
    </row>
    <row r="489" spans="1:3" ht="13.2" x14ac:dyDescent="0.25">
      <c r="A489" s="6">
        <v>487</v>
      </c>
      <c r="B489" s="7">
        <v>64.801979064941406</v>
      </c>
      <c r="C489" s="3">
        <f t="shared" si="3"/>
        <v>0.14277973050609052</v>
      </c>
    </row>
    <row r="490" spans="1:3" ht="13.2" x14ac:dyDescent="0.25">
      <c r="A490" s="6">
        <v>488</v>
      </c>
      <c r="B490" s="7">
        <v>65.883773803710938</v>
      </c>
      <c r="C490" s="3">
        <f t="shared" si="3"/>
        <v>0.1908680135185736</v>
      </c>
    </row>
    <row r="491" spans="1:3" ht="13.2" x14ac:dyDescent="0.25">
      <c r="A491" s="6">
        <v>489</v>
      </c>
      <c r="B491" s="7">
        <v>63.815925598144531</v>
      </c>
      <c r="C491" s="3">
        <f t="shared" si="3"/>
        <v>0.14522074768141477</v>
      </c>
    </row>
    <row r="492" spans="1:3" ht="13.2" x14ac:dyDescent="0.25">
      <c r="A492" s="6">
        <v>490</v>
      </c>
      <c r="B492" s="7">
        <v>64.294593811035156</v>
      </c>
      <c r="C492" s="3">
        <f t="shared" si="3"/>
        <v>0.14792255321404746</v>
      </c>
    </row>
    <row r="493" spans="1:3" ht="13.2" x14ac:dyDescent="0.25">
      <c r="A493" s="6">
        <v>491</v>
      </c>
      <c r="B493" s="7">
        <v>63.346828460693359</v>
      </c>
      <c r="C493" s="3">
        <f t="shared" si="3"/>
        <v>0.12967805955323408</v>
      </c>
    </row>
    <row r="494" spans="1:3" ht="13.2" x14ac:dyDescent="0.25">
      <c r="A494" s="6">
        <v>492</v>
      </c>
      <c r="B494" s="7">
        <v>64.562644958496094</v>
      </c>
      <c r="C494" s="3">
        <f t="shared" si="3"/>
        <v>0.15959033658955435</v>
      </c>
    </row>
    <row r="495" spans="1:3" ht="13.2" x14ac:dyDescent="0.25">
      <c r="A495" s="6">
        <v>493</v>
      </c>
      <c r="B495" s="7">
        <v>62.064002990722656</v>
      </c>
      <c r="C495" s="3">
        <f t="shared" si="3"/>
        <v>0.13183479512796048</v>
      </c>
    </row>
    <row r="496" spans="1:3" ht="13.2" x14ac:dyDescent="0.25">
      <c r="A496" s="6">
        <v>494</v>
      </c>
      <c r="B496" s="7">
        <v>61.547042846679688</v>
      </c>
      <c r="C496" s="3">
        <f t="shared" si="3"/>
        <v>9.9500701465817479E-2</v>
      </c>
    </row>
    <row r="497" spans="1:3" ht="13.2" x14ac:dyDescent="0.25">
      <c r="A497" s="6">
        <v>495</v>
      </c>
      <c r="B497" s="7">
        <v>62.437362670898438</v>
      </c>
      <c r="C497" s="3">
        <f t="shared" si="3"/>
        <v>0.12440711664072318</v>
      </c>
    </row>
    <row r="498" spans="1:3" ht="13.2" x14ac:dyDescent="0.25">
      <c r="A498" s="6">
        <v>496</v>
      </c>
      <c r="B498" s="7">
        <v>62.370346069335938</v>
      </c>
      <c r="C498" s="3">
        <f t="shared" si="3"/>
        <v>0.13641200557211139</v>
      </c>
    </row>
    <row r="499" spans="1:3" ht="13.2" x14ac:dyDescent="0.25">
      <c r="A499" s="6">
        <v>497</v>
      </c>
      <c r="B499" s="7">
        <v>60.178047180175781</v>
      </c>
      <c r="C499" s="3">
        <f t="shared" si="3"/>
        <v>9.7689277271485186E-2</v>
      </c>
    </row>
    <row r="500" spans="1:3" ht="13.2" x14ac:dyDescent="0.25">
      <c r="A500" s="6">
        <v>498</v>
      </c>
      <c r="B500" s="7">
        <v>62.064002990722656</v>
      </c>
      <c r="C500" s="3">
        <f t="shared" si="3"/>
        <v>0.13270157012034423</v>
      </c>
    </row>
    <row r="501" spans="1:3" ht="13.2" x14ac:dyDescent="0.25">
      <c r="A501" s="6">
        <v>499</v>
      </c>
      <c r="B501" s="7">
        <v>62.169315338134766</v>
      </c>
      <c r="C501" s="3">
        <f t="shared" si="3"/>
        <v>0.12541895198553837</v>
      </c>
    </row>
    <row r="502" spans="1:3" ht="13.2" x14ac:dyDescent="0.25">
      <c r="A502" s="6">
        <v>500</v>
      </c>
      <c r="B502" s="7">
        <v>62.188449859619141</v>
      </c>
      <c r="C502" s="3">
        <f t="shared" si="3"/>
        <v>0.12521117814420468</v>
      </c>
    </row>
    <row r="503" spans="1:3" ht="13.2" x14ac:dyDescent="0.25">
      <c r="A503" s="6">
        <v>501</v>
      </c>
      <c r="B503" s="7">
        <v>62.935169219970703</v>
      </c>
      <c r="C503" s="3">
        <f t="shared" si="3"/>
        <v>0.1357735680421939</v>
      </c>
    </row>
    <row r="504" spans="1:3" ht="13.2" x14ac:dyDescent="0.25">
      <c r="A504" s="6">
        <v>502</v>
      </c>
      <c r="B504" s="7">
        <v>61.843814849853516</v>
      </c>
      <c r="C504" s="3">
        <f t="shared" si="3"/>
        <v>0.12068526108170619</v>
      </c>
    </row>
    <row r="505" spans="1:3" ht="13.2" x14ac:dyDescent="0.25">
      <c r="A505" s="6">
        <v>503</v>
      </c>
      <c r="B505" s="7">
        <v>63.040481567382813</v>
      </c>
      <c r="C505" s="3">
        <f t="shared" si="3"/>
        <v>0.15789693846717304</v>
      </c>
    </row>
    <row r="506" spans="1:3" ht="13.2" x14ac:dyDescent="0.25">
      <c r="A506" s="6">
        <v>504</v>
      </c>
      <c r="B506" s="7">
        <v>69.071693420410156</v>
      </c>
      <c r="C506" s="3">
        <f t="shared" si="3"/>
        <v>0.25154375368776949</v>
      </c>
    </row>
    <row r="507" spans="1:3" ht="13.2" x14ac:dyDescent="0.25">
      <c r="A507" s="6">
        <v>505</v>
      </c>
      <c r="B507" s="7">
        <v>70.0577392578125</v>
      </c>
      <c r="C507" s="3">
        <f t="shared" si="3"/>
        <v>0.28879770093147578</v>
      </c>
    </row>
    <row r="508" spans="1:3" ht="13.2" x14ac:dyDescent="0.25">
      <c r="A508" s="6">
        <v>506</v>
      </c>
      <c r="B508" s="7">
        <v>71.235267639160156</v>
      </c>
      <c r="C508" s="3">
        <f t="shared" si="3"/>
        <v>0.2938597650585445</v>
      </c>
    </row>
    <row r="509" spans="1:3" ht="13.2" x14ac:dyDescent="0.25">
      <c r="A509" s="6">
        <v>507</v>
      </c>
      <c r="B509" s="7">
        <v>72.99676513671875</v>
      </c>
      <c r="C509" s="3">
        <f t="shared" si="3"/>
        <v>0.28305482307649027</v>
      </c>
    </row>
    <row r="510" spans="1:3" ht="13.2" x14ac:dyDescent="0.25">
      <c r="A510" s="6">
        <v>508</v>
      </c>
      <c r="B510" s="7">
        <v>74.748695373535156</v>
      </c>
      <c r="C510" s="3">
        <f t="shared" si="3"/>
        <v>0.27955312145126671</v>
      </c>
    </row>
    <row r="511" spans="1:3" ht="13.2" x14ac:dyDescent="0.25">
      <c r="A511" s="6">
        <v>509</v>
      </c>
      <c r="B511" s="7">
        <v>76.940971374511719</v>
      </c>
      <c r="C511" s="3">
        <f t="shared" ref="C511:C574" si="4">LN(B511/B259)</f>
        <v>0.30313719401530498</v>
      </c>
    </row>
    <row r="512" spans="1:3" ht="13.2" x14ac:dyDescent="0.25">
      <c r="A512" s="6">
        <v>510</v>
      </c>
      <c r="B512" s="7">
        <v>79.248146057128906</v>
      </c>
      <c r="C512" s="3">
        <f t="shared" si="4"/>
        <v>0.28981899786779802</v>
      </c>
    </row>
    <row r="513" spans="1:3" ht="13.2" x14ac:dyDescent="0.25">
      <c r="A513" s="6">
        <v>511</v>
      </c>
      <c r="B513" s="7">
        <v>78.60833740234375</v>
      </c>
      <c r="C513" s="3">
        <f t="shared" si="4"/>
        <v>0.25042107530361074</v>
      </c>
    </row>
    <row r="514" spans="1:3" ht="13.2" x14ac:dyDescent="0.25">
      <c r="A514" s="6">
        <v>512</v>
      </c>
      <c r="B514" s="7">
        <v>76.931282043457031</v>
      </c>
      <c r="C514" s="3">
        <f t="shared" si="4"/>
        <v>0.26046541095383552</v>
      </c>
    </row>
    <row r="515" spans="1:3" ht="13.2" x14ac:dyDescent="0.25">
      <c r="A515" s="6">
        <v>513</v>
      </c>
      <c r="B515" s="7">
        <v>74.459320068359375</v>
      </c>
      <c r="C515" s="3">
        <f t="shared" si="4"/>
        <v>0.20859563692362737</v>
      </c>
    </row>
    <row r="516" spans="1:3" ht="13.2" x14ac:dyDescent="0.25">
      <c r="A516" s="6">
        <v>514</v>
      </c>
      <c r="B516" s="7">
        <v>75.535362243652344</v>
      </c>
      <c r="C516" s="3">
        <f t="shared" si="4"/>
        <v>0.20578043175156813</v>
      </c>
    </row>
    <row r="517" spans="1:3" ht="13.2" x14ac:dyDescent="0.25">
      <c r="A517" s="6">
        <v>515</v>
      </c>
      <c r="B517" s="7">
        <v>75.932807922363281</v>
      </c>
      <c r="C517" s="3">
        <f t="shared" si="4"/>
        <v>0.18814346924325634</v>
      </c>
    </row>
    <row r="518" spans="1:3" ht="13.2" x14ac:dyDescent="0.25">
      <c r="A518" s="6">
        <v>516</v>
      </c>
      <c r="B518" s="7">
        <v>76.078224182128906</v>
      </c>
      <c r="C518" s="3">
        <f t="shared" si="4"/>
        <v>0.21631996286448027</v>
      </c>
    </row>
    <row r="519" spans="1:3" ht="13.2" x14ac:dyDescent="0.25">
      <c r="A519" s="6">
        <v>517</v>
      </c>
      <c r="B519" s="7">
        <v>75.399635314941406</v>
      </c>
      <c r="C519" s="3">
        <f t="shared" si="4"/>
        <v>0.2039819493917332</v>
      </c>
    </row>
    <row r="520" spans="1:3" ht="13.2" x14ac:dyDescent="0.25">
      <c r="A520" s="6">
        <v>518</v>
      </c>
      <c r="B520" s="7">
        <v>76.078224182128906</v>
      </c>
      <c r="C520" s="3">
        <f t="shared" si="4"/>
        <v>0.20911632798261173</v>
      </c>
    </row>
    <row r="521" spans="1:3" ht="13.2" x14ac:dyDescent="0.25">
      <c r="A521" s="6">
        <v>519</v>
      </c>
      <c r="B521" s="7">
        <v>73.470535278320313</v>
      </c>
      <c r="C521" s="3">
        <f t="shared" si="4"/>
        <v>0.17469695604734409</v>
      </c>
    </row>
    <row r="522" spans="1:3" ht="13.2" x14ac:dyDescent="0.25">
      <c r="A522" s="6">
        <v>520</v>
      </c>
      <c r="B522" s="7">
        <v>75.457809448242188</v>
      </c>
      <c r="C522" s="3">
        <f t="shared" si="4"/>
        <v>0.19423081555458502</v>
      </c>
    </row>
    <row r="523" spans="1:3" ht="13.2" x14ac:dyDescent="0.25">
      <c r="A523" s="6">
        <v>521</v>
      </c>
      <c r="B523" s="7">
        <v>75.293006896972656</v>
      </c>
      <c r="C523" s="3">
        <f t="shared" si="4"/>
        <v>0.21335606804471491</v>
      </c>
    </row>
    <row r="524" spans="1:3" ht="13.2" x14ac:dyDescent="0.25">
      <c r="A524" s="6">
        <v>522</v>
      </c>
      <c r="B524" s="7">
        <v>73.858314514160156</v>
      </c>
      <c r="C524" s="3">
        <f t="shared" si="4"/>
        <v>0.19303321973096563</v>
      </c>
    </row>
    <row r="525" spans="1:3" ht="13.2" x14ac:dyDescent="0.25">
      <c r="A525" s="6">
        <v>523</v>
      </c>
      <c r="B525" s="7">
        <v>74.38177490234375</v>
      </c>
      <c r="C525" s="3">
        <f t="shared" si="4"/>
        <v>0.19500023491832652</v>
      </c>
    </row>
    <row r="526" spans="1:3" ht="13.2" x14ac:dyDescent="0.25">
      <c r="A526" s="6">
        <v>524</v>
      </c>
      <c r="B526" s="7">
        <v>71.114906311035156</v>
      </c>
      <c r="C526" s="3">
        <f t="shared" si="4"/>
        <v>0.14947026983157297</v>
      </c>
    </row>
    <row r="527" spans="1:3" ht="13.2" x14ac:dyDescent="0.25">
      <c r="A527" s="6">
        <v>525</v>
      </c>
      <c r="B527" s="7">
        <v>72.549613952636719</v>
      </c>
      <c r="C527" s="3">
        <f t="shared" si="4"/>
        <v>0.2034145740124913</v>
      </c>
    </row>
    <row r="528" spans="1:3" ht="13.2" x14ac:dyDescent="0.25">
      <c r="A528" s="6">
        <v>526</v>
      </c>
      <c r="B528" s="7">
        <v>73.441459655761719</v>
      </c>
      <c r="C528" s="3">
        <f t="shared" si="4"/>
        <v>0.22154167074435133</v>
      </c>
    </row>
    <row r="529" spans="1:3" ht="13.2" x14ac:dyDescent="0.25">
      <c r="A529" s="6">
        <v>527</v>
      </c>
      <c r="B529" s="7">
        <v>72.656242370605469</v>
      </c>
      <c r="C529" s="3">
        <f t="shared" si="4"/>
        <v>0.20398305894044144</v>
      </c>
    </row>
    <row r="530" spans="1:3" ht="13.2" x14ac:dyDescent="0.25">
      <c r="A530" s="6">
        <v>528</v>
      </c>
      <c r="B530" s="7">
        <v>71.87103271484375</v>
      </c>
      <c r="C530" s="3">
        <f t="shared" si="4"/>
        <v>0.18587237659227956</v>
      </c>
    </row>
    <row r="531" spans="1:3" ht="13.2" x14ac:dyDescent="0.25">
      <c r="A531" s="6">
        <v>529</v>
      </c>
      <c r="B531" s="7">
        <v>72.442985534667969</v>
      </c>
      <c r="C531" s="3">
        <f t="shared" si="4"/>
        <v>0.17536235541751402</v>
      </c>
    </row>
    <row r="532" spans="1:3" ht="13.2" x14ac:dyDescent="0.25">
      <c r="A532" s="6">
        <v>530</v>
      </c>
      <c r="B532" s="7">
        <v>72.956764221191406</v>
      </c>
      <c r="C532" s="3">
        <f t="shared" si="4"/>
        <v>0.19942337492134699</v>
      </c>
    </row>
    <row r="533" spans="1:3" ht="13.2" x14ac:dyDescent="0.25">
      <c r="A533" s="6">
        <v>531</v>
      </c>
      <c r="B533" s="7">
        <v>73.654731750488281</v>
      </c>
      <c r="C533" s="3">
        <f t="shared" si="4"/>
        <v>0.2111898399293318</v>
      </c>
    </row>
    <row r="534" spans="1:3" ht="13.2" x14ac:dyDescent="0.25">
      <c r="A534" s="6">
        <v>532</v>
      </c>
      <c r="B534" s="7">
        <v>73.199111938476563</v>
      </c>
      <c r="C534" s="3">
        <f t="shared" si="4"/>
        <v>0.18921624914828977</v>
      </c>
    </row>
    <row r="535" spans="1:3" ht="13.2" x14ac:dyDescent="0.25">
      <c r="A535" s="6">
        <v>533</v>
      </c>
      <c r="B535" s="7">
        <v>72.656242370605469</v>
      </c>
      <c r="C535" s="3">
        <f t="shared" si="4"/>
        <v>0.16484928983444883</v>
      </c>
    </row>
    <row r="536" spans="1:3" ht="13.2" x14ac:dyDescent="0.25">
      <c r="A536" s="6">
        <v>534</v>
      </c>
      <c r="B536" s="7">
        <v>72.220016479492188</v>
      </c>
      <c r="C536" s="3">
        <f t="shared" si="4"/>
        <v>0.15309477470263894</v>
      </c>
    </row>
    <row r="537" spans="1:3" ht="13.2" x14ac:dyDescent="0.25">
      <c r="A537" s="6">
        <v>535</v>
      </c>
      <c r="B537" s="7">
        <v>74.43994140625</v>
      </c>
      <c r="C537" s="3">
        <f t="shared" si="4"/>
        <v>0.19315067717752271</v>
      </c>
    </row>
    <row r="538" spans="1:3" ht="13.2" x14ac:dyDescent="0.25">
      <c r="A538" s="6">
        <v>536</v>
      </c>
      <c r="B538" s="7">
        <v>73.635337829589844</v>
      </c>
      <c r="C538" s="3">
        <f t="shared" si="4"/>
        <v>0.19168755341680174</v>
      </c>
    </row>
    <row r="539" spans="1:3" ht="13.2" x14ac:dyDescent="0.25">
      <c r="A539" s="6">
        <v>537</v>
      </c>
      <c r="B539" s="7">
        <v>74.711372375488281</v>
      </c>
      <c r="C539" s="3">
        <f t="shared" si="4"/>
        <v>0.22222818669554467</v>
      </c>
    </row>
    <row r="540" spans="1:3" ht="13.2" x14ac:dyDescent="0.25">
      <c r="A540" s="6">
        <v>538</v>
      </c>
      <c r="B540" s="7">
        <v>74.944015502929688</v>
      </c>
      <c r="C540" s="3">
        <f t="shared" si="4"/>
        <v>0.21943375380814342</v>
      </c>
    </row>
    <row r="541" spans="1:3" ht="13.2" x14ac:dyDescent="0.25">
      <c r="A541" s="6">
        <v>539</v>
      </c>
      <c r="B541" s="7">
        <v>74.76953125</v>
      </c>
      <c r="C541" s="3">
        <f t="shared" si="4"/>
        <v>0.23524276018020679</v>
      </c>
    </row>
    <row r="542" spans="1:3" ht="13.2" x14ac:dyDescent="0.25">
      <c r="A542" s="6">
        <v>540</v>
      </c>
      <c r="B542" s="7">
        <v>74.604736328125</v>
      </c>
      <c r="C542" s="3">
        <f t="shared" si="4"/>
        <v>0.27134375793185345</v>
      </c>
    </row>
    <row r="543" spans="1:3" ht="13.2" x14ac:dyDescent="0.25">
      <c r="A543" s="6">
        <v>541</v>
      </c>
      <c r="B543" s="7">
        <v>75.234840393066406</v>
      </c>
      <c r="C543" s="3">
        <f t="shared" si="4"/>
        <v>0.24762154638033215</v>
      </c>
    </row>
    <row r="544" spans="1:3" ht="13.2" x14ac:dyDescent="0.25">
      <c r="A544" s="6">
        <v>542</v>
      </c>
      <c r="B544" s="7">
        <v>73.654731750488281</v>
      </c>
      <c r="C544" s="3">
        <f t="shared" si="4"/>
        <v>0.20319496204450513</v>
      </c>
    </row>
    <row r="545" spans="1:3" ht="13.2" x14ac:dyDescent="0.25">
      <c r="A545" s="6">
        <v>543</v>
      </c>
      <c r="B545" s="7">
        <v>74.653213500976563</v>
      </c>
      <c r="C545" s="3">
        <f t="shared" si="4"/>
        <v>0.20462892396339219</v>
      </c>
    </row>
    <row r="546" spans="1:3" ht="13.2" x14ac:dyDescent="0.25">
      <c r="A546" s="6">
        <v>544</v>
      </c>
      <c r="B546" s="7">
        <v>75.118507385253906</v>
      </c>
      <c r="C546" s="3">
        <f t="shared" si="4"/>
        <v>0.24705258609001463</v>
      </c>
    </row>
    <row r="547" spans="1:3" ht="13.2" x14ac:dyDescent="0.25">
      <c r="A547" s="6">
        <v>545</v>
      </c>
      <c r="B547" s="7">
        <v>74.953720092773438</v>
      </c>
      <c r="C547" s="3">
        <f t="shared" si="4"/>
        <v>0.2083315595918166</v>
      </c>
    </row>
    <row r="548" spans="1:3" ht="13.2" x14ac:dyDescent="0.25">
      <c r="A548" s="6">
        <v>546</v>
      </c>
      <c r="B548" s="7">
        <v>75.2154541015625</v>
      </c>
      <c r="C548" s="3">
        <f t="shared" si="4"/>
        <v>0.24459675460862379</v>
      </c>
    </row>
    <row r="549" spans="1:3" ht="13.2" x14ac:dyDescent="0.25">
      <c r="A549" s="6">
        <v>547</v>
      </c>
      <c r="B549" s="7">
        <v>75.050651550292969</v>
      </c>
      <c r="C549" s="3">
        <f t="shared" si="4"/>
        <v>0.2333416836907499</v>
      </c>
    </row>
    <row r="550" spans="1:3" ht="13.2" x14ac:dyDescent="0.25">
      <c r="A550" s="6">
        <v>548</v>
      </c>
      <c r="B550" s="7">
        <v>74.498092651367188</v>
      </c>
      <c r="C550" s="3">
        <f t="shared" si="4"/>
        <v>0.21139986972569705</v>
      </c>
    </row>
    <row r="551" spans="1:3" ht="13.2" x14ac:dyDescent="0.25">
      <c r="A551" s="6">
        <v>549</v>
      </c>
      <c r="B551" s="7">
        <v>74.87615966796875</v>
      </c>
      <c r="C551" s="3">
        <f t="shared" si="4"/>
        <v>0.20493935508516856</v>
      </c>
    </row>
    <row r="552" spans="1:3" ht="13.2" x14ac:dyDescent="0.25">
      <c r="A552" s="6">
        <v>550</v>
      </c>
      <c r="B552" s="7">
        <v>74.633811950683594</v>
      </c>
      <c r="C552" s="3">
        <f t="shared" si="4"/>
        <v>0.18073241337719784</v>
      </c>
    </row>
    <row r="553" spans="1:3" ht="13.2" x14ac:dyDescent="0.25">
      <c r="A553" s="6">
        <v>551</v>
      </c>
      <c r="B553" s="7">
        <v>74.624122619628906</v>
      </c>
      <c r="C553" s="3">
        <f t="shared" si="4"/>
        <v>0.18769691129565899</v>
      </c>
    </row>
    <row r="554" spans="1:3" ht="13.2" x14ac:dyDescent="0.25">
      <c r="A554" s="6">
        <v>552</v>
      </c>
      <c r="B554" s="7">
        <v>75.574134826660156</v>
      </c>
      <c r="C554" s="3">
        <f t="shared" si="4"/>
        <v>0.21468896262813703</v>
      </c>
    </row>
    <row r="555" spans="1:3" ht="13.2" x14ac:dyDescent="0.25">
      <c r="A555" s="6">
        <v>553</v>
      </c>
      <c r="B555" s="7">
        <v>77.503227233886719</v>
      </c>
      <c r="C555" s="3">
        <f t="shared" si="4"/>
        <v>0.21876573966775287</v>
      </c>
    </row>
    <row r="556" spans="1:3" ht="13.2" x14ac:dyDescent="0.25">
      <c r="A556" s="6">
        <v>554</v>
      </c>
      <c r="B556" s="7">
        <v>77.076705932617188</v>
      </c>
      <c r="C556" s="3">
        <f t="shared" si="4"/>
        <v>0.22842728111454824</v>
      </c>
    </row>
    <row r="557" spans="1:3" ht="13.2" x14ac:dyDescent="0.25">
      <c r="A557" s="6">
        <v>555</v>
      </c>
      <c r="B557" s="7">
        <v>78.773147583007813</v>
      </c>
      <c r="C557" s="3">
        <f t="shared" si="4"/>
        <v>0.22325084568363085</v>
      </c>
    </row>
    <row r="558" spans="1:3" ht="13.2" x14ac:dyDescent="0.25">
      <c r="A558" s="6">
        <v>556</v>
      </c>
      <c r="B558" s="7">
        <v>78.230270385742188</v>
      </c>
      <c r="C558" s="3">
        <f t="shared" si="4"/>
        <v>0.21694321533630376</v>
      </c>
    </row>
    <row r="559" spans="1:3" ht="13.2" x14ac:dyDescent="0.25">
      <c r="A559" s="6">
        <v>557</v>
      </c>
      <c r="B559" s="7">
        <v>76.679237365722656</v>
      </c>
      <c r="C559" s="3">
        <f t="shared" si="4"/>
        <v>0.17779479052090194</v>
      </c>
    </row>
    <row r="560" spans="1:3" ht="13.2" x14ac:dyDescent="0.25">
      <c r="A560" s="6">
        <v>558</v>
      </c>
      <c r="B560" s="7">
        <v>78.172103881835938</v>
      </c>
      <c r="C560" s="3">
        <f t="shared" si="4"/>
        <v>0.20666757176721362</v>
      </c>
    </row>
    <row r="561" spans="1:3" ht="13.2" x14ac:dyDescent="0.25">
      <c r="A561" s="6">
        <v>559</v>
      </c>
      <c r="B561" s="7">
        <v>77.096084594726563</v>
      </c>
      <c r="C561" s="3">
        <f t="shared" si="4"/>
        <v>0.19025045436121246</v>
      </c>
    </row>
    <row r="562" spans="1:3" ht="13.2" x14ac:dyDescent="0.25">
      <c r="A562" s="6">
        <v>560</v>
      </c>
      <c r="B562" s="7">
        <v>76.902206420898438</v>
      </c>
      <c r="C562" s="3">
        <f t="shared" si="4"/>
        <v>0.19390972642712226</v>
      </c>
    </row>
    <row r="563" spans="1:3" ht="13.2" x14ac:dyDescent="0.25">
      <c r="A563" s="6">
        <v>561</v>
      </c>
      <c r="B563" s="7">
        <v>76.950675964355469</v>
      </c>
      <c r="C563" s="3">
        <f t="shared" si="4"/>
        <v>0.20700968499563696</v>
      </c>
    </row>
    <row r="564" spans="1:3" ht="13.2" x14ac:dyDescent="0.25">
      <c r="A564" s="6">
        <v>562</v>
      </c>
      <c r="B564" s="7">
        <v>75.990974426269531</v>
      </c>
      <c r="C564" s="3">
        <f t="shared" si="4"/>
        <v>0.19721771136638244</v>
      </c>
    </row>
    <row r="565" spans="1:3" ht="13.2" x14ac:dyDescent="0.25">
      <c r="A565" s="6">
        <v>563</v>
      </c>
      <c r="B565" s="7">
        <v>77.357826232910156</v>
      </c>
      <c r="C565" s="3">
        <f t="shared" si="4"/>
        <v>0.22863994463927542</v>
      </c>
    </row>
    <row r="566" spans="1:3" ht="13.2" x14ac:dyDescent="0.25">
      <c r="A566" s="6">
        <v>564</v>
      </c>
      <c r="B566" s="7">
        <v>77.086380004882813</v>
      </c>
      <c r="C566" s="3">
        <f t="shared" si="4"/>
        <v>0.21321909413890447</v>
      </c>
    </row>
    <row r="567" spans="1:3" ht="13.2" x14ac:dyDescent="0.25">
      <c r="A567" s="6">
        <v>565</v>
      </c>
      <c r="B567" s="7">
        <v>78.472618103027344</v>
      </c>
      <c r="C567" s="3">
        <f t="shared" si="4"/>
        <v>0.24746900390955076</v>
      </c>
    </row>
    <row r="568" spans="1:3" ht="13.2" x14ac:dyDescent="0.25">
      <c r="A568" s="6">
        <v>566</v>
      </c>
      <c r="B568" s="7">
        <v>77.270584106445313</v>
      </c>
      <c r="C568" s="3">
        <f t="shared" si="4"/>
        <v>0.2126896564036343</v>
      </c>
    </row>
    <row r="569" spans="1:3" ht="13.2" x14ac:dyDescent="0.25">
      <c r="A569" s="6">
        <v>567</v>
      </c>
      <c r="B569" s="7">
        <v>78.017005920410156</v>
      </c>
      <c r="C569" s="3">
        <f t="shared" si="4"/>
        <v>0.23650311908052718</v>
      </c>
    </row>
    <row r="570" spans="1:3" ht="13.2" x14ac:dyDescent="0.25">
      <c r="A570" s="6">
        <v>568</v>
      </c>
      <c r="B570" s="7">
        <v>77.38690185546875</v>
      </c>
      <c r="C570" s="3">
        <f t="shared" si="4"/>
        <v>0.2401208589669368</v>
      </c>
    </row>
    <row r="571" spans="1:3" ht="13.2" x14ac:dyDescent="0.25">
      <c r="A571" s="6">
        <v>569</v>
      </c>
      <c r="B571" s="7">
        <v>75.641990661621094</v>
      </c>
      <c r="C571" s="3">
        <f t="shared" si="4"/>
        <v>0.21574335397506056</v>
      </c>
    </row>
    <row r="572" spans="1:3" ht="13.2" x14ac:dyDescent="0.25">
      <c r="A572" s="6">
        <v>570</v>
      </c>
      <c r="B572" s="7">
        <v>74.788925170898438</v>
      </c>
      <c r="C572" s="3">
        <f t="shared" si="4"/>
        <v>0.19767182809248232</v>
      </c>
    </row>
    <row r="573" spans="1:3" ht="13.2" x14ac:dyDescent="0.25">
      <c r="A573" s="6">
        <v>571</v>
      </c>
      <c r="B573" s="7">
        <v>73.81951904296875</v>
      </c>
      <c r="C573" s="3">
        <f t="shared" si="4"/>
        <v>0.17747566999531164</v>
      </c>
    </row>
    <row r="574" spans="1:3" ht="13.2" x14ac:dyDescent="0.25">
      <c r="A574" s="6">
        <v>572</v>
      </c>
      <c r="B574" s="7">
        <v>73.20880126953125</v>
      </c>
      <c r="C574" s="3">
        <f t="shared" si="4"/>
        <v>0.17725389490496007</v>
      </c>
    </row>
    <row r="575" spans="1:3" ht="13.2" x14ac:dyDescent="0.25">
      <c r="A575" s="6">
        <v>573</v>
      </c>
      <c r="B575" s="7">
        <v>74.197593688964844</v>
      </c>
      <c r="C575" s="3">
        <f t="shared" ref="C575:C638" si="5">LN(B575/B323)</f>
        <v>0.18351382814270056</v>
      </c>
    </row>
    <row r="576" spans="1:3" ht="13.2" x14ac:dyDescent="0.25">
      <c r="A576" s="6">
        <v>574</v>
      </c>
      <c r="B576" s="7">
        <v>73.683815002441406</v>
      </c>
      <c r="C576" s="3">
        <f t="shared" si="5"/>
        <v>0.17115441629367437</v>
      </c>
    </row>
    <row r="577" spans="1:3" ht="13.2" x14ac:dyDescent="0.25">
      <c r="A577" s="6">
        <v>575</v>
      </c>
      <c r="B577" s="7">
        <v>71.938888549804688</v>
      </c>
      <c r="C577" s="3">
        <f t="shared" si="5"/>
        <v>9.5949018761482208E-2</v>
      </c>
    </row>
    <row r="578" spans="1:3" ht="13.2" x14ac:dyDescent="0.25">
      <c r="A578" s="6">
        <v>576</v>
      </c>
      <c r="B578" s="7">
        <v>70.47509765625</v>
      </c>
      <c r="C578" s="3">
        <f t="shared" si="5"/>
        <v>0.11895130585693676</v>
      </c>
    </row>
    <row r="579" spans="1:3" ht="13.2" x14ac:dyDescent="0.25">
      <c r="A579" s="6">
        <v>577</v>
      </c>
      <c r="B579" s="7">
        <v>67.208236694335938</v>
      </c>
      <c r="C579" s="3">
        <f t="shared" si="5"/>
        <v>8.721663994150046E-2</v>
      </c>
    </row>
    <row r="580" spans="1:3" ht="13.2" x14ac:dyDescent="0.25">
      <c r="A580" s="6">
        <v>578</v>
      </c>
      <c r="B580" s="7">
        <v>66.054656982421875</v>
      </c>
      <c r="C580" s="3">
        <f t="shared" si="5"/>
        <v>5.493982871600845E-2</v>
      </c>
    </row>
    <row r="581" spans="1:3" ht="13.2" x14ac:dyDescent="0.25">
      <c r="A581" s="6">
        <v>579</v>
      </c>
      <c r="B581" s="7">
        <v>65.53118896484375</v>
      </c>
      <c r="C581" s="3">
        <f t="shared" si="5"/>
        <v>8.9766329875297386E-3</v>
      </c>
    </row>
    <row r="582" spans="1:3" ht="13.2" x14ac:dyDescent="0.25">
      <c r="A582" s="6">
        <v>580</v>
      </c>
      <c r="B582" s="7">
        <v>67.334266662597656</v>
      </c>
      <c r="C582" s="3">
        <f t="shared" si="5"/>
        <v>3.6562092435785433E-2</v>
      </c>
    </row>
    <row r="583" spans="1:3" ht="13.2" x14ac:dyDescent="0.25">
      <c r="A583" s="6">
        <v>581</v>
      </c>
      <c r="B583" s="7">
        <v>67.004661560058594</v>
      </c>
      <c r="C583" s="3">
        <f t="shared" si="5"/>
        <v>3.0475753064660615E-2</v>
      </c>
    </row>
    <row r="584" spans="1:3" ht="13.2" x14ac:dyDescent="0.25">
      <c r="A584" s="6">
        <v>582</v>
      </c>
      <c r="B584" s="7">
        <v>65.841384887695313</v>
      </c>
      <c r="C584" s="3">
        <f t="shared" si="5"/>
        <v>1.8723406731858003E-2</v>
      </c>
    </row>
    <row r="585" spans="1:3" ht="13.2" x14ac:dyDescent="0.25">
      <c r="A585" s="6">
        <v>583</v>
      </c>
      <c r="B585" s="7">
        <v>66.655693054199219</v>
      </c>
      <c r="C585" s="3">
        <f t="shared" si="5"/>
        <v>2.2753048368094515E-2</v>
      </c>
    </row>
    <row r="586" spans="1:3" ht="13.2" x14ac:dyDescent="0.25">
      <c r="A586" s="6">
        <v>584</v>
      </c>
      <c r="B586" s="7">
        <v>67.59600830078125</v>
      </c>
      <c r="C586" s="3">
        <f t="shared" si="5"/>
        <v>4.9329167213156423E-2</v>
      </c>
    </row>
    <row r="587" spans="1:3" ht="13.2" x14ac:dyDescent="0.25">
      <c r="A587" s="6">
        <v>585</v>
      </c>
      <c r="B587" s="7">
        <v>72.278190612792969</v>
      </c>
      <c r="C587" s="3">
        <f t="shared" si="5"/>
        <v>8.2654253277091319E-2</v>
      </c>
    </row>
    <row r="588" spans="1:3" ht="13.2" x14ac:dyDescent="0.25">
      <c r="A588" s="6">
        <v>586</v>
      </c>
      <c r="B588" s="7">
        <v>72.258796691894531</v>
      </c>
      <c r="C588" s="3">
        <f t="shared" si="5"/>
        <v>3.8380599585501524E-3</v>
      </c>
    </row>
    <row r="589" spans="1:3" ht="13.2" x14ac:dyDescent="0.25">
      <c r="A589" s="6">
        <v>587</v>
      </c>
      <c r="B589" s="7">
        <v>72.607780456542969</v>
      </c>
      <c r="C589" s="3">
        <f t="shared" si="5"/>
        <v>1.1186291246866053E-2</v>
      </c>
    </row>
    <row r="590" spans="1:3" ht="13.2" x14ac:dyDescent="0.25">
      <c r="A590" s="6">
        <v>588</v>
      </c>
      <c r="B590" s="7">
        <v>72.888908386230469</v>
      </c>
      <c r="C590" s="3">
        <f t="shared" si="5"/>
        <v>3.470949111480634E-2</v>
      </c>
    </row>
    <row r="591" spans="1:3" ht="13.2" x14ac:dyDescent="0.25">
      <c r="A591" s="6">
        <v>589</v>
      </c>
      <c r="B591" s="7">
        <v>73.974617004394531</v>
      </c>
      <c r="C591" s="3">
        <f t="shared" si="5"/>
        <v>5.8235756861722568E-2</v>
      </c>
    </row>
    <row r="592" spans="1:3" ht="13.2" x14ac:dyDescent="0.25">
      <c r="A592" s="6">
        <v>590</v>
      </c>
      <c r="B592" s="7">
        <v>74.023101806640625</v>
      </c>
      <c r="C592" s="3">
        <f t="shared" si="5"/>
        <v>6.3290256840654507E-2</v>
      </c>
    </row>
    <row r="593" spans="1:3" ht="13.2" x14ac:dyDescent="0.25">
      <c r="A593" s="6">
        <v>591</v>
      </c>
      <c r="B593" s="7">
        <v>74.013397216796875</v>
      </c>
      <c r="C593" s="3">
        <f t="shared" si="5"/>
        <v>5.2060817279842526E-2</v>
      </c>
    </row>
    <row r="594" spans="1:3" ht="13.2" x14ac:dyDescent="0.25">
      <c r="A594" s="6">
        <v>592</v>
      </c>
      <c r="B594" s="7">
        <v>72.249107360839844</v>
      </c>
      <c r="C594" s="3">
        <f t="shared" si="5"/>
        <v>4.539081526162432E-2</v>
      </c>
    </row>
    <row r="595" spans="1:3" ht="13.2" x14ac:dyDescent="0.25">
      <c r="A595" s="6">
        <v>593</v>
      </c>
      <c r="B595" s="7">
        <v>70.242454528808594</v>
      </c>
      <c r="C595" s="3">
        <f t="shared" si="5"/>
        <v>1.2796560040411029E-2</v>
      </c>
    </row>
    <row r="596" spans="1:3" ht="13.2" x14ac:dyDescent="0.25">
      <c r="A596" s="6">
        <v>594</v>
      </c>
      <c r="B596" s="7">
        <v>68.933769226074219</v>
      </c>
      <c r="C596" s="3">
        <f t="shared" si="5"/>
        <v>3.3696602375874296E-2</v>
      </c>
    </row>
    <row r="597" spans="1:3" ht="13.2" x14ac:dyDescent="0.25">
      <c r="A597" s="6">
        <v>595</v>
      </c>
      <c r="B597" s="7">
        <v>68.836837768554688</v>
      </c>
      <c r="C597" s="3">
        <f t="shared" si="5"/>
        <v>5.7010964639460995E-2</v>
      </c>
    </row>
    <row r="598" spans="1:3" ht="13.2" x14ac:dyDescent="0.25">
      <c r="A598" s="6">
        <v>596</v>
      </c>
      <c r="B598" s="7">
        <v>70.7562255859375</v>
      </c>
      <c r="C598" s="3">
        <f t="shared" si="5"/>
        <v>4.4255821850120787E-2</v>
      </c>
    </row>
    <row r="599" spans="1:3" ht="13.2" x14ac:dyDescent="0.25">
      <c r="A599" s="6">
        <v>597</v>
      </c>
      <c r="B599" s="7">
        <v>72.200630187988281</v>
      </c>
      <c r="C599" s="3">
        <f t="shared" si="5"/>
        <v>7.4127439891070845E-2</v>
      </c>
    </row>
    <row r="600" spans="1:3" ht="13.2" x14ac:dyDescent="0.25">
      <c r="A600" s="6">
        <v>598</v>
      </c>
      <c r="B600" s="7">
        <v>71.900123596191406</v>
      </c>
      <c r="C600" s="3">
        <f t="shared" si="5"/>
        <v>5.0022484652710045E-2</v>
      </c>
    </row>
    <row r="601" spans="1:3" ht="13.2" x14ac:dyDescent="0.25">
      <c r="A601" s="6">
        <v>599</v>
      </c>
      <c r="B601" s="7">
        <v>73.383285522460938</v>
      </c>
      <c r="C601" s="3">
        <f t="shared" si="5"/>
        <v>6.5274832530490032E-2</v>
      </c>
    </row>
    <row r="602" spans="1:3" ht="13.2" x14ac:dyDescent="0.25">
      <c r="A602" s="6">
        <v>600</v>
      </c>
      <c r="B602" s="7">
        <v>72.297569274902344</v>
      </c>
      <c r="C602" s="3">
        <f t="shared" si="5"/>
        <v>4.9951399874974371E-2</v>
      </c>
    </row>
    <row r="603" spans="1:3" ht="13.2" x14ac:dyDescent="0.25">
      <c r="A603" s="6">
        <v>601</v>
      </c>
      <c r="B603" s="7">
        <v>72.685340881347656</v>
      </c>
      <c r="C603" s="3">
        <f t="shared" si="5"/>
        <v>3.2320611283316585E-2</v>
      </c>
    </row>
    <row r="604" spans="1:3" ht="13.2" x14ac:dyDescent="0.25">
      <c r="A604" s="6">
        <v>602</v>
      </c>
      <c r="B604" s="7">
        <v>73.577178955078125</v>
      </c>
      <c r="C604" s="3">
        <f t="shared" si="5"/>
        <v>5.3534862181543519E-2</v>
      </c>
    </row>
    <row r="605" spans="1:3" ht="13.2" x14ac:dyDescent="0.25">
      <c r="A605" s="6">
        <v>603</v>
      </c>
      <c r="B605" s="7">
        <v>72.733802795410156</v>
      </c>
      <c r="C605" s="3">
        <f t="shared" si="5"/>
        <v>1.3720788581987801E-2</v>
      </c>
    </row>
    <row r="606" spans="1:3" ht="13.2" x14ac:dyDescent="0.25">
      <c r="A606" s="6">
        <v>604</v>
      </c>
      <c r="B606" s="7">
        <v>71.376640319824219</v>
      </c>
      <c r="C606" s="3">
        <f t="shared" si="5"/>
        <v>1.319979985666141E-2</v>
      </c>
    </row>
    <row r="607" spans="1:3" ht="13.2" x14ac:dyDescent="0.25">
      <c r="A607" s="6">
        <v>605</v>
      </c>
      <c r="B607" s="7">
        <v>71.492973327636719</v>
      </c>
      <c r="C607" s="3">
        <f t="shared" si="5"/>
        <v>9.001274443785557E-3</v>
      </c>
    </row>
    <row r="608" spans="1:3" ht="13.2" x14ac:dyDescent="0.25">
      <c r="A608" s="6">
        <v>606</v>
      </c>
      <c r="B608" s="7">
        <v>71.92919921875</v>
      </c>
      <c r="C608" s="3">
        <f t="shared" si="5"/>
        <v>1.7655008649734016E-2</v>
      </c>
    </row>
    <row r="609" spans="1:3" ht="13.2" x14ac:dyDescent="0.25">
      <c r="A609" s="6">
        <v>607</v>
      </c>
      <c r="B609" s="7">
        <v>72.43328857421875</v>
      </c>
      <c r="C609" s="3">
        <f t="shared" si="5"/>
        <v>1.064868679719851E-2</v>
      </c>
    </row>
    <row r="610" spans="1:3" ht="13.2" x14ac:dyDescent="0.25">
      <c r="A610" s="6">
        <v>608</v>
      </c>
      <c r="B610" s="7">
        <v>70.950111389160156</v>
      </c>
      <c r="C610" s="3">
        <f t="shared" si="5"/>
        <v>4.7627247404001911E-3</v>
      </c>
    </row>
    <row r="611" spans="1:3" ht="13.2" x14ac:dyDescent="0.25">
      <c r="A611" s="6">
        <v>609</v>
      </c>
      <c r="B611" s="7">
        <v>74.4884033203125</v>
      </c>
      <c r="C611" s="3">
        <f t="shared" si="5"/>
        <v>6.3923402055175299E-2</v>
      </c>
    </row>
    <row r="612" spans="1:3" ht="13.2" x14ac:dyDescent="0.25">
      <c r="A612" s="6">
        <v>610</v>
      </c>
      <c r="B612" s="7">
        <v>72.423599243164063</v>
      </c>
      <c r="C612" s="3">
        <f t="shared" si="5"/>
        <v>2.939350055618381E-2</v>
      </c>
    </row>
    <row r="613" spans="1:3" ht="13.2" x14ac:dyDescent="0.25">
      <c r="A613" s="6">
        <v>611</v>
      </c>
      <c r="B613" s="7">
        <v>72.520530700683594</v>
      </c>
      <c r="C613" s="3">
        <f t="shared" si="5"/>
        <v>6.7895595283776866E-2</v>
      </c>
    </row>
    <row r="614" spans="1:3" ht="13.2" x14ac:dyDescent="0.25">
      <c r="A614" s="6">
        <v>612</v>
      </c>
      <c r="B614" s="7">
        <v>72.636863708496094</v>
      </c>
      <c r="C614" s="3">
        <f t="shared" si="5"/>
        <v>6.3722419158593224E-2</v>
      </c>
    </row>
    <row r="615" spans="1:3" ht="13.2" x14ac:dyDescent="0.25">
      <c r="A615" s="6">
        <v>613</v>
      </c>
      <c r="B615" s="7">
        <v>74.14910888671875</v>
      </c>
      <c r="C615" s="3">
        <f t="shared" si="5"/>
        <v>9.0951910332180766E-2</v>
      </c>
    </row>
    <row r="616" spans="1:3" ht="13.2" x14ac:dyDescent="0.25">
      <c r="A616" s="6">
        <v>614</v>
      </c>
      <c r="B616" s="7">
        <v>72.491447448730469</v>
      </c>
      <c r="C616" s="3">
        <f t="shared" si="5"/>
        <v>4.9571859145792319E-2</v>
      </c>
    </row>
    <row r="617" spans="1:3" ht="13.2" x14ac:dyDescent="0.25">
      <c r="A617" s="6">
        <v>615</v>
      </c>
      <c r="B617" s="7">
        <v>75.031272888183594</v>
      </c>
      <c r="C617" s="3">
        <f t="shared" si="5"/>
        <v>0.10490226822374704</v>
      </c>
    </row>
    <row r="618" spans="1:3" ht="13.2" x14ac:dyDescent="0.25">
      <c r="A618" s="6">
        <v>616</v>
      </c>
      <c r="B618" s="7">
        <v>74.43023681640625</v>
      </c>
      <c r="C618" s="3">
        <f t="shared" si="5"/>
        <v>0.11646388565766547</v>
      </c>
    </row>
    <row r="619" spans="1:3" ht="13.2" x14ac:dyDescent="0.25">
      <c r="A619" s="6">
        <v>617</v>
      </c>
      <c r="B619" s="7">
        <v>76.737411499023438</v>
      </c>
      <c r="C619" s="3">
        <f t="shared" si="5"/>
        <v>0.14626857199324497</v>
      </c>
    </row>
    <row r="620" spans="1:3" ht="13.2" x14ac:dyDescent="0.25">
      <c r="A620" s="6">
        <v>618</v>
      </c>
      <c r="B620" s="7">
        <v>76.4368896484375</v>
      </c>
      <c r="C620" s="3">
        <f t="shared" si="5"/>
        <v>0.12148072349054612</v>
      </c>
    </row>
    <row r="621" spans="1:3" ht="13.2" x14ac:dyDescent="0.25">
      <c r="A621" s="6">
        <v>619</v>
      </c>
      <c r="B621" s="7">
        <v>77.454757690429688</v>
      </c>
      <c r="C621" s="3">
        <f t="shared" si="5"/>
        <v>0.11885488542478594</v>
      </c>
    </row>
    <row r="622" spans="1:3" ht="13.2" x14ac:dyDescent="0.25">
      <c r="A622" s="6">
        <v>620</v>
      </c>
      <c r="B622" s="7">
        <v>79.189979553222656</v>
      </c>
      <c r="C622" s="3">
        <f t="shared" si="5"/>
        <v>0.15333595063485167</v>
      </c>
    </row>
    <row r="623" spans="1:3" ht="13.2" x14ac:dyDescent="0.25">
      <c r="A623" s="6">
        <v>621</v>
      </c>
      <c r="B623" s="7">
        <v>79.500190734863281</v>
      </c>
      <c r="C623" s="3">
        <f t="shared" si="5"/>
        <v>0.16673235036143944</v>
      </c>
    </row>
    <row r="624" spans="1:3" ht="13.2" x14ac:dyDescent="0.25">
      <c r="A624" s="6">
        <v>622</v>
      </c>
      <c r="B624" s="7">
        <v>82.398681640625</v>
      </c>
      <c r="C624" s="3">
        <f t="shared" si="5"/>
        <v>0.19842499093541655</v>
      </c>
    </row>
    <row r="625" spans="1:3" ht="13.2" x14ac:dyDescent="0.25">
      <c r="A625" s="6">
        <v>623</v>
      </c>
      <c r="B625" s="7">
        <v>80.459884643554688</v>
      </c>
      <c r="C625" s="3">
        <f t="shared" si="5"/>
        <v>0.16096441613792109</v>
      </c>
    </row>
    <row r="626" spans="1:3" ht="13.2" x14ac:dyDescent="0.25">
      <c r="A626" s="6">
        <v>624</v>
      </c>
      <c r="B626" s="7">
        <v>80.556831359863281</v>
      </c>
      <c r="C626" s="3">
        <f t="shared" si="5"/>
        <v>0.17766200689794009</v>
      </c>
    </row>
    <row r="627" spans="1:3" ht="13.2" x14ac:dyDescent="0.25">
      <c r="A627" s="6">
        <v>625</v>
      </c>
      <c r="B627" s="7">
        <v>79.306312561035156</v>
      </c>
      <c r="C627" s="3">
        <f t="shared" si="5"/>
        <v>0.16885356206856045</v>
      </c>
    </row>
    <row r="628" spans="1:3" ht="13.2" x14ac:dyDescent="0.25">
      <c r="A628" s="6">
        <v>626</v>
      </c>
      <c r="B628" s="7">
        <v>80.459884643554688</v>
      </c>
      <c r="C628" s="3">
        <f t="shared" si="5"/>
        <v>0.22353896752158878</v>
      </c>
    </row>
    <row r="629" spans="1:3" ht="13.2" x14ac:dyDescent="0.25">
      <c r="A629" s="6">
        <v>627</v>
      </c>
      <c r="B629" s="7">
        <v>83.368080139160156</v>
      </c>
      <c r="C629" s="3">
        <f t="shared" si="5"/>
        <v>0.26786294455568133</v>
      </c>
    </row>
    <row r="630" spans="1:3" ht="13.2" x14ac:dyDescent="0.25">
      <c r="A630" s="6">
        <v>628</v>
      </c>
      <c r="B630" s="7">
        <v>84.715530395507813</v>
      </c>
      <c r="C630" s="3">
        <f t="shared" si="5"/>
        <v>0.25825976872379536</v>
      </c>
    </row>
    <row r="631" spans="1:3" ht="13.2" x14ac:dyDescent="0.25">
      <c r="A631" s="6">
        <v>629</v>
      </c>
      <c r="B631" s="7">
        <v>83.019088745117188</v>
      </c>
      <c r="C631" s="3">
        <f t="shared" si="5"/>
        <v>0.24081493829636888</v>
      </c>
    </row>
    <row r="632" spans="1:3" ht="13.2" x14ac:dyDescent="0.25">
      <c r="A632" s="6">
        <v>630</v>
      </c>
      <c r="B632" s="7">
        <v>82.5150146484375</v>
      </c>
      <c r="C632" s="3">
        <f t="shared" si="5"/>
        <v>0.24653129741937332</v>
      </c>
    </row>
    <row r="633" spans="1:3" ht="13.2" x14ac:dyDescent="0.25">
      <c r="A633" s="6">
        <v>631</v>
      </c>
      <c r="B633" s="7">
        <v>83.261444091796875</v>
      </c>
      <c r="C633" s="3">
        <f t="shared" si="5"/>
        <v>0.28751513327928141</v>
      </c>
    </row>
    <row r="634" spans="1:3" ht="13.2" x14ac:dyDescent="0.25">
      <c r="A634" s="6">
        <v>632</v>
      </c>
      <c r="B634" s="7">
        <v>84.221145629882813</v>
      </c>
      <c r="C634" s="3">
        <f t="shared" si="5"/>
        <v>0.3162920438459848</v>
      </c>
    </row>
    <row r="635" spans="1:3" ht="13.2" x14ac:dyDescent="0.25">
      <c r="A635" s="6">
        <v>633</v>
      </c>
      <c r="B635" s="7">
        <v>84.482887268066406</v>
      </c>
      <c r="C635" s="3">
        <f t="shared" si="5"/>
        <v>0.35156647328761237</v>
      </c>
    </row>
    <row r="636" spans="1:3" ht="13.2" x14ac:dyDescent="0.25">
      <c r="A636" s="6">
        <v>634</v>
      </c>
      <c r="B636" s="7">
        <v>82.737960815429688</v>
      </c>
      <c r="C636" s="3">
        <f t="shared" si="5"/>
        <v>0.32251555374765278</v>
      </c>
    </row>
    <row r="637" spans="1:3" ht="13.2" x14ac:dyDescent="0.25">
      <c r="A637" s="6">
        <v>635</v>
      </c>
      <c r="B637" s="7">
        <v>80.808876037597656</v>
      </c>
      <c r="C637" s="3">
        <f t="shared" si="5"/>
        <v>0.34971284823107285</v>
      </c>
    </row>
    <row r="638" spans="1:3" ht="13.2" x14ac:dyDescent="0.25">
      <c r="A638" s="6">
        <v>636</v>
      </c>
      <c r="B638" s="7">
        <v>79.781318664550781</v>
      </c>
      <c r="C638" s="3">
        <f t="shared" si="5"/>
        <v>0.34823966867045675</v>
      </c>
    </row>
    <row r="639" spans="1:3" ht="13.2" x14ac:dyDescent="0.25">
      <c r="A639" s="6">
        <v>637</v>
      </c>
      <c r="B639" s="7">
        <v>80.285400390625</v>
      </c>
      <c r="C639" s="3">
        <f t="shared" ref="C639:C702" si="6">LN(B639/B387)</f>
        <v>0.29610580109153395</v>
      </c>
    </row>
    <row r="640" spans="1:3" ht="13.2" x14ac:dyDescent="0.25">
      <c r="A640" s="6">
        <v>638</v>
      </c>
      <c r="B640" s="7">
        <v>80.06243896484375</v>
      </c>
      <c r="C640" s="3">
        <f t="shared" si="6"/>
        <v>0.31881940169131284</v>
      </c>
    </row>
    <row r="641" spans="1:3" ht="13.2" x14ac:dyDescent="0.25">
      <c r="A641" s="6">
        <v>639</v>
      </c>
      <c r="B641" s="7">
        <v>81.516517639160156</v>
      </c>
      <c r="C641" s="3">
        <f t="shared" si="6"/>
        <v>0.31020192172008587</v>
      </c>
    </row>
    <row r="642" spans="1:3" ht="13.2" x14ac:dyDescent="0.25">
      <c r="A642" s="6">
        <v>640</v>
      </c>
      <c r="B642" s="7">
        <v>84.172676086425781</v>
      </c>
      <c r="C642" s="3">
        <f t="shared" si="6"/>
        <v>0.36183543758280046</v>
      </c>
    </row>
    <row r="643" spans="1:3" ht="13.2" x14ac:dyDescent="0.25">
      <c r="A643" s="6">
        <v>641</v>
      </c>
      <c r="B643" s="7">
        <v>83.338996887207031</v>
      </c>
      <c r="C643" s="3">
        <f t="shared" si="6"/>
        <v>0.36420622823653864</v>
      </c>
    </row>
    <row r="644" spans="1:3" ht="13.2" x14ac:dyDescent="0.25">
      <c r="A644" s="6">
        <v>642</v>
      </c>
      <c r="B644" s="7">
        <v>80.459884643554688</v>
      </c>
      <c r="C644" s="3">
        <f t="shared" si="6"/>
        <v>0.31574435393466993</v>
      </c>
    </row>
    <row r="645" spans="1:3" ht="13.2" x14ac:dyDescent="0.25">
      <c r="A645" s="6">
        <v>643</v>
      </c>
      <c r="B645" s="7">
        <v>79.587432861328125</v>
      </c>
      <c r="C645" s="3">
        <f t="shared" si="6"/>
        <v>0.31253990531782294</v>
      </c>
    </row>
    <row r="646" spans="1:3" ht="13.2" x14ac:dyDescent="0.25">
      <c r="A646" s="6">
        <v>644</v>
      </c>
      <c r="B646" s="7">
        <v>81.419586181640625</v>
      </c>
      <c r="C646" s="3">
        <f t="shared" si="6"/>
        <v>0.34305730101468268</v>
      </c>
    </row>
    <row r="647" spans="1:3" ht="13.2" x14ac:dyDescent="0.25">
      <c r="A647" s="6">
        <v>645</v>
      </c>
      <c r="B647" s="7">
        <v>82.146636962890625</v>
      </c>
      <c r="C647" s="3">
        <f t="shared" si="6"/>
        <v>0.35876420566847417</v>
      </c>
    </row>
    <row r="648" spans="1:3" ht="13.2" x14ac:dyDescent="0.25">
      <c r="A648" s="6">
        <v>646</v>
      </c>
      <c r="B648" s="7">
        <v>81.846115112304688</v>
      </c>
      <c r="C648" s="3">
        <f t="shared" si="6"/>
        <v>0.37362127394513606</v>
      </c>
    </row>
    <row r="649" spans="1:3" ht="13.2" x14ac:dyDescent="0.25">
      <c r="A649" s="6">
        <v>647</v>
      </c>
      <c r="B649" s="7">
        <v>85.190544128417969</v>
      </c>
      <c r="C649" s="3">
        <f t="shared" si="6"/>
        <v>0.39564931661465036</v>
      </c>
    </row>
    <row r="650" spans="1:3" ht="13.2" x14ac:dyDescent="0.25">
      <c r="A650" s="6">
        <v>648</v>
      </c>
      <c r="B650" s="7">
        <v>83.736442565917969</v>
      </c>
      <c r="C650" s="3">
        <f t="shared" si="6"/>
        <v>0.37960230906442627</v>
      </c>
    </row>
    <row r="651" spans="1:3" ht="13.2" x14ac:dyDescent="0.25">
      <c r="A651" s="6">
        <v>649</v>
      </c>
      <c r="B651" s="7">
        <v>81.632858276367188</v>
      </c>
      <c r="C651" s="3">
        <f t="shared" si="6"/>
        <v>0.38349638958059507</v>
      </c>
    </row>
    <row r="652" spans="1:3" ht="13.2" x14ac:dyDescent="0.25">
      <c r="A652" s="6">
        <v>650</v>
      </c>
      <c r="B652" s="7">
        <v>81.943061828613281</v>
      </c>
      <c r="C652" s="3">
        <f t="shared" si="6"/>
        <v>0.33335786186295385</v>
      </c>
    </row>
    <row r="653" spans="1:3" ht="13.2" x14ac:dyDescent="0.25">
      <c r="A653" s="6">
        <v>651</v>
      </c>
      <c r="B653" s="7">
        <v>83.726753234863281</v>
      </c>
      <c r="C653" s="3">
        <f t="shared" si="6"/>
        <v>0.39701914418101864</v>
      </c>
    </row>
    <row r="654" spans="1:3" ht="13.2" x14ac:dyDescent="0.25">
      <c r="A654" s="6">
        <v>652</v>
      </c>
      <c r="B654" s="7">
        <v>83.416557312011719</v>
      </c>
      <c r="C654" s="3">
        <f t="shared" si="6"/>
        <v>0.38214539186537516</v>
      </c>
    </row>
    <row r="655" spans="1:3" ht="13.2" x14ac:dyDescent="0.25">
      <c r="A655" s="6">
        <v>653</v>
      </c>
      <c r="B655" s="7">
        <v>84.550743103027344</v>
      </c>
      <c r="C655" s="3">
        <f t="shared" si="6"/>
        <v>0.35688914492330959</v>
      </c>
    </row>
    <row r="656" spans="1:3" ht="13.2" x14ac:dyDescent="0.25">
      <c r="A656" s="6">
        <v>654</v>
      </c>
      <c r="B656" s="7">
        <v>82.418075561523438</v>
      </c>
      <c r="C656" s="3">
        <f t="shared" si="6"/>
        <v>0.3404432208937484</v>
      </c>
    </row>
    <row r="657" spans="1:3" ht="13.2" x14ac:dyDescent="0.25">
      <c r="A657" s="6">
        <v>655</v>
      </c>
      <c r="B657" s="7">
        <v>85.47998046875</v>
      </c>
      <c r="C657" s="3">
        <f t="shared" si="6"/>
        <v>0.37089813357876056</v>
      </c>
    </row>
    <row r="658" spans="1:3" ht="13.2" x14ac:dyDescent="0.25">
      <c r="A658" s="6">
        <v>656</v>
      </c>
      <c r="B658" s="7">
        <v>83.997787475585938</v>
      </c>
      <c r="C658" s="3">
        <f t="shared" si="6"/>
        <v>0.32713963871869839</v>
      </c>
    </row>
    <row r="659" spans="1:3" ht="13.2" x14ac:dyDescent="0.25">
      <c r="A659" s="6">
        <v>657</v>
      </c>
      <c r="B659" s="7">
        <v>84.836387634277344</v>
      </c>
      <c r="C659" s="3">
        <f t="shared" si="6"/>
        <v>0.35638643653158997</v>
      </c>
    </row>
    <row r="660" spans="1:3" ht="13.2" x14ac:dyDescent="0.25">
      <c r="A660" s="6">
        <v>658</v>
      </c>
      <c r="B660" s="7">
        <v>82.262039184570313</v>
      </c>
      <c r="C660" s="3">
        <f t="shared" si="6"/>
        <v>0.32155078013706934</v>
      </c>
    </row>
    <row r="661" spans="1:3" ht="13.2" x14ac:dyDescent="0.25">
      <c r="A661" s="6">
        <v>659</v>
      </c>
      <c r="B661" s="7">
        <v>82.067024230957031</v>
      </c>
      <c r="C661" s="3">
        <f t="shared" si="6"/>
        <v>0.3051507733687735</v>
      </c>
    </row>
    <row r="662" spans="1:3" ht="13.2" x14ac:dyDescent="0.25">
      <c r="A662" s="6">
        <v>660</v>
      </c>
      <c r="B662" s="7">
        <v>79.980239868164063</v>
      </c>
      <c r="C662" s="3">
        <f t="shared" si="6"/>
        <v>0.23285250591023485</v>
      </c>
    </row>
    <row r="663" spans="1:3" ht="13.2" x14ac:dyDescent="0.25">
      <c r="A663" s="6">
        <v>661</v>
      </c>
      <c r="B663" s="7">
        <v>82.720359802246094</v>
      </c>
      <c r="C663" s="3">
        <f t="shared" si="6"/>
        <v>0.28868891330516711</v>
      </c>
    </row>
    <row r="664" spans="1:3" ht="13.2" x14ac:dyDescent="0.25">
      <c r="A664" s="6">
        <v>662</v>
      </c>
      <c r="B664" s="7">
        <v>82.320549011230469</v>
      </c>
      <c r="C664" s="3">
        <f t="shared" si="6"/>
        <v>0.27691694319727361</v>
      </c>
    </row>
    <row r="665" spans="1:3" ht="13.2" x14ac:dyDescent="0.25">
      <c r="A665" s="6">
        <v>663</v>
      </c>
      <c r="B665" s="7">
        <v>81.48193359375</v>
      </c>
      <c r="C665" s="3">
        <f t="shared" si="6"/>
        <v>0.30769778611966114</v>
      </c>
    </row>
    <row r="666" spans="1:3" ht="13.2" x14ac:dyDescent="0.25">
      <c r="A666" s="6">
        <v>664</v>
      </c>
      <c r="B666" s="7">
        <v>84.183059692382813</v>
      </c>
      <c r="C666" s="3">
        <f t="shared" si="6"/>
        <v>0.34222985834253233</v>
      </c>
    </row>
    <row r="667" spans="1:3" ht="13.2" x14ac:dyDescent="0.25">
      <c r="A667" s="6">
        <v>665</v>
      </c>
      <c r="B667" s="7">
        <v>87.742286682128906</v>
      </c>
      <c r="C667" s="3">
        <f t="shared" si="6"/>
        <v>0.40385912840587807</v>
      </c>
    </row>
    <row r="668" spans="1:3" ht="13.2" x14ac:dyDescent="0.25">
      <c r="A668" s="6">
        <v>666</v>
      </c>
      <c r="B668" s="7">
        <v>87.02069091796875</v>
      </c>
      <c r="C668" s="3">
        <f t="shared" si="6"/>
        <v>0.40545340378590927</v>
      </c>
    </row>
    <row r="669" spans="1:3" ht="13.2" x14ac:dyDescent="0.25">
      <c r="A669" s="6">
        <v>667</v>
      </c>
      <c r="B669" s="7">
        <v>85.18743896484375</v>
      </c>
      <c r="C669" s="3">
        <f t="shared" si="6"/>
        <v>0.37496301278430477</v>
      </c>
    </row>
    <row r="670" spans="1:3" ht="13.2" x14ac:dyDescent="0.25">
      <c r="A670" s="6">
        <v>668</v>
      </c>
      <c r="B670" s="7">
        <v>86.913421630859375</v>
      </c>
      <c r="C670" s="3">
        <f t="shared" si="6"/>
        <v>0.35291833741740947</v>
      </c>
    </row>
    <row r="671" spans="1:3" ht="13.2" x14ac:dyDescent="0.25">
      <c r="A671" s="6">
        <v>669</v>
      </c>
      <c r="B671" s="7">
        <v>87.439987182617188</v>
      </c>
      <c r="C671" s="3">
        <f t="shared" si="6"/>
        <v>0.35442265479848589</v>
      </c>
    </row>
    <row r="672" spans="1:3" ht="13.2" x14ac:dyDescent="0.25">
      <c r="A672" s="6">
        <v>670</v>
      </c>
      <c r="B672" s="7">
        <v>89.126968383789063</v>
      </c>
      <c r="C672" s="3">
        <f t="shared" si="6"/>
        <v>0.37540638976928509</v>
      </c>
    </row>
    <row r="673" spans="1:3" ht="13.2" x14ac:dyDescent="0.25">
      <c r="A673" s="6">
        <v>671</v>
      </c>
      <c r="B673" s="7">
        <v>90.492156982421875</v>
      </c>
      <c r="C673" s="3">
        <f t="shared" si="6"/>
        <v>0.37079273107101185</v>
      </c>
    </row>
    <row r="674" spans="1:3" ht="13.2" x14ac:dyDescent="0.25">
      <c r="A674" s="6">
        <v>672</v>
      </c>
      <c r="B674" s="7">
        <v>88.103080749511719</v>
      </c>
      <c r="C674" s="3">
        <f t="shared" si="6"/>
        <v>0.37992794129894936</v>
      </c>
    </row>
    <row r="675" spans="1:3" ht="13.2" x14ac:dyDescent="0.25">
      <c r="A675" s="6">
        <v>673</v>
      </c>
      <c r="B675" s="7">
        <v>89.858314514160156</v>
      </c>
      <c r="C675" s="3">
        <f t="shared" si="6"/>
        <v>0.42589345089950936</v>
      </c>
    </row>
    <row r="676" spans="1:3" ht="13.2" x14ac:dyDescent="0.25">
      <c r="A676" s="6">
        <v>674</v>
      </c>
      <c r="B676" s="7">
        <v>89.760810852050781</v>
      </c>
      <c r="C676" s="3">
        <f t="shared" si="6"/>
        <v>0.40175154697609011</v>
      </c>
    </row>
    <row r="677" spans="1:3" ht="13.2" x14ac:dyDescent="0.25">
      <c r="A677" s="6">
        <v>675</v>
      </c>
      <c r="B677" s="7">
        <v>90.414146423339844</v>
      </c>
      <c r="C677" s="3">
        <f t="shared" si="6"/>
        <v>0.44403823809974352</v>
      </c>
    </row>
    <row r="678" spans="1:3" ht="13.2" x14ac:dyDescent="0.25">
      <c r="A678" s="6">
        <v>676</v>
      </c>
      <c r="B678" s="7">
        <v>92.608192443847656</v>
      </c>
      <c r="C678" s="3">
        <f t="shared" si="6"/>
        <v>0.49749812901242041</v>
      </c>
    </row>
    <row r="679" spans="1:3" ht="13.2" x14ac:dyDescent="0.25">
      <c r="A679" s="6">
        <v>677</v>
      </c>
      <c r="B679" s="7">
        <v>92.530174255371094</v>
      </c>
      <c r="C679" s="3">
        <f t="shared" si="6"/>
        <v>0.51796191456405638</v>
      </c>
    </row>
    <row r="680" spans="1:3" ht="13.2" x14ac:dyDescent="0.25">
      <c r="A680" s="6">
        <v>678</v>
      </c>
      <c r="B680" s="7">
        <v>94.2171630859375</v>
      </c>
      <c r="C680" s="3">
        <f t="shared" si="6"/>
        <v>0.54597793872333289</v>
      </c>
    </row>
    <row r="681" spans="1:3" ht="13.2" x14ac:dyDescent="0.25">
      <c r="A681" s="6">
        <v>679</v>
      </c>
      <c r="B681" s="7">
        <v>94.58770751953125</v>
      </c>
      <c r="C681" s="3">
        <f t="shared" si="6"/>
        <v>0.55712091919700912</v>
      </c>
    </row>
    <row r="682" spans="1:3" ht="13.2" x14ac:dyDescent="0.25">
      <c r="A682" s="6">
        <v>680</v>
      </c>
      <c r="B682" s="7">
        <v>94.58770751953125</v>
      </c>
      <c r="C682" s="3">
        <f t="shared" si="6"/>
        <v>0.55218602514194659</v>
      </c>
    </row>
    <row r="683" spans="1:3" ht="13.2" x14ac:dyDescent="0.25">
      <c r="A683" s="6">
        <v>681</v>
      </c>
      <c r="B683" s="7">
        <v>93.125007629394531</v>
      </c>
      <c r="C683" s="3">
        <f t="shared" si="6"/>
        <v>0.5224612791865253</v>
      </c>
    </row>
    <row r="684" spans="1:3" ht="13.2" x14ac:dyDescent="0.25">
      <c r="A684" s="6">
        <v>682</v>
      </c>
      <c r="B684" s="7">
        <v>92.149879455566406</v>
      </c>
      <c r="C684" s="3">
        <f t="shared" si="6"/>
        <v>0.49765019531063276</v>
      </c>
    </row>
    <row r="685" spans="1:3" ht="13.2" x14ac:dyDescent="0.25">
      <c r="A685" s="6">
        <v>683</v>
      </c>
      <c r="B685" s="7">
        <v>93.125007629394531</v>
      </c>
      <c r="C685" s="3">
        <f t="shared" si="6"/>
        <v>0.49966876774763047</v>
      </c>
    </row>
    <row r="686" spans="1:3" ht="13.2" x14ac:dyDescent="0.25">
      <c r="A686" s="6">
        <v>684</v>
      </c>
      <c r="B686" s="7">
        <v>92.803215026855469</v>
      </c>
      <c r="C686" s="3">
        <f t="shared" si="6"/>
        <v>0.55248900623182629</v>
      </c>
    </row>
    <row r="687" spans="1:3" ht="13.2" x14ac:dyDescent="0.25">
      <c r="A687" s="6">
        <v>685</v>
      </c>
      <c r="B687" s="7">
        <v>94.538948059082031</v>
      </c>
      <c r="C687" s="3">
        <f t="shared" si="6"/>
        <v>0.56779833794502976</v>
      </c>
    </row>
    <row r="688" spans="1:3" ht="13.2" x14ac:dyDescent="0.25">
      <c r="A688" s="6">
        <v>686</v>
      </c>
      <c r="B688" s="7">
        <v>92.978736877441406</v>
      </c>
      <c r="C688" s="3">
        <f t="shared" si="6"/>
        <v>0.54990739419311252</v>
      </c>
    </row>
    <row r="689" spans="1:3" ht="13.2" x14ac:dyDescent="0.25">
      <c r="A689" s="6">
        <v>687</v>
      </c>
      <c r="B689" s="7">
        <v>90.765190124511719</v>
      </c>
      <c r="C689" s="3">
        <f t="shared" si="6"/>
        <v>0.51781455205372717</v>
      </c>
    </row>
    <row r="690" spans="1:3" ht="13.2" x14ac:dyDescent="0.25">
      <c r="A690" s="6">
        <v>688</v>
      </c>
      <c r="B690" s="7">
        <v>91.203994750976563</v>
      </c>
      <c r="C690" s="3">
        <f t="shared" si="6"/>
        <v>0.53690039678727786</v>
      </c>
    </row>
    <row r="691" spans="1:3" ht="13.2" x14ac:dyDescent="0.25">
      <c r="A691" s="6">
        <v>689</v>
      </c>
      <c r="B691" s="7">
        <v>90.999221801757813</v>
      </c>
      <c r="C691" s="3">
        <f t="shared" si="6"/>
        <v>0.49936947541167059</v>
      </c>
    </row>
    <row r="692" spans="1:3" ht="13.2" x14ac:dyDescent="0.25">
      <c r="A692" s="6">
        <v>690</v>
      </c>
      <c r="B692" s="7">
        <v>90.667678833007813</v>
      </c>
      <c r="C692" s="3">
        <f t="shared" si="6"/>
        <v>0.52491599274594114</v>
      </c>
    </row>
    <row r="693" spans="1:3" ht="13.2" x14ac:dyDescent="0.25">
      <c r="A693" s="6">
        <v>691</v>
      </c>
      <c r="B693" s="7">
        <v>87.342475891113281</v>
      </c>
      <c r="C693" s="3">
        <f t="shared" si="6"/>
        <v>0.4703879222604917</v>
      </c>
    </row>
    <row r="694" spans="1:3" ht="13.2" x14ac:dyDescent="0.25">
      <c r="A694" s="6">
        <v>692</v>
      </c>
      <c r="B694" s="7">
        <v>88.454124450683594</v>
      </c>
      <c r="C694" s="3">
        <f t="shared" si="6"/>
        <v>0.4466862027656075</v>
      </c>
    </row>
    <row r="695" spans="1:3" ht="13.2" x14ac:dyDescent="0.25">
      <c r="A695" s="6">
        <v>693</v>
      </c>
      <c r="B695" s="7">
        <v>88.678413391113281</v>
      </c>
      <c r="C695" s="3">
        <f t="shared" si="6"/>
        <v>0.47474912091823851</v>
      </c>
    </row>
    <row r="696" spans="1:3" ht="13.2" x14ac:dyDescent="0.25">
      <c r="A696" s="6">
        <v>694</v>
      </c>
      <c r="B696" s="7">
        <v>87.664268493652344</v>
      </c>
      <c r="C696" s="3">
        <f t="shared" si="6"/>
        <v>0.43873220904510468</v>
      </c>
    </row>
    <row r="697" spans="1:3" ht="13.2" x14ac:dyDescent="0.25">
      <c r="A697" s="6">
        <v>695</v>
      </c>
      <c r="B697" s="7">
        <v>88.044578552246094</v>
      </c>
      <c r="C697" s="3">
        <f t="shared" si="6"/>
        <v>0.43513323222048678</v>
      </c>
    </row>
    <row r="698" spans="1:3" ht="13.2" x14ac:dyDescent="0.25">
      <c r="A698" s="6">
        <v>696</v>
      </c>
      <c r="B698" s="7">
        <v>85.587242126464844</v>
      </c>
      <c r="C698" s="3">
        <f t="shared" si="6"/>
        <v>0.33973925437595998</v>
      </c>
    </row>
    <row r="699" spans="1:3" ht="13.2" x14ac:dyDescent="0.25">
      <c r="A699" s="6">
        <v>697</v>
      </c>
      <c r="B699" s="7">
        <v>86.357589721679688</v>
      </c>
      <c r="C699" s="3">
        <f t="shared" si="6"/>
        <v>0.36309976728195792</v>
      </c>
    </row>
    <row r="700" spans="1:3" ht="13.2" x14ac:dyDescent="0.25">
      <c r="A700" s="6">
        <v>698</v>
      </c>
      <c r="B700" s="7">
        <v>85.431221008300781</v>
      </c>
      <c r="C700" s="3">
        <f t="shared" si="6"/>
        <v>0.3760236640996365</v>
      </c>
    </row>
    <row r="701" spans="1:3" ht="13.2" x14ac:dyDescent="0.25">
      <c r="A701" s="6">
        <v>699</v>
      </c>
      <c r="B701" s="7">
        <v>84.19281005859375</v>
      </c>
      <c r="C701" s="3">
        <f t="shared" si="6"/>
        <v>0.3417053918826225</v>
      </c>
    </row>
    <row r="702" spans="1:3" ht="13.2" x14ac:dyDescent="0.25">
      <c r="A702" s="6">
        <v>700</v>
      </c>
      <c r="B702" s="7">
        <v>85.128936767578125</v>
      </c>
      <c r="C702" s="3">
        <f t="shared" si="6"/>
        <v>0.35468502028896498</v>
      </c>
    </row>
    <row r="703" spans="1:3" ht="13.2" x14ac:dyDescent="0.25">
      <c r="A703" s="6">
        <v>701</v>
      </c>
      <c r="B703" s="7">
        <v>85.528732299804688</v>
      </c>
      <c r="C703" s="3">
        <f t="shared" ref="C703:C766" si="7">LN(B703/B451)</f>
        <v>0.34995517283198668</v>
      </c>
    </row>
    <row r="704" spans="1:3" ht="13.2" x14ac:dyDescent="0.25">
      <c r="A704" s="6">
        <v>702</v>
      </c>
      <c r="B704" s="7">
        <v>86.338096618652344</v>
      </c>
      <c r="C704" s="3">
        <f t="shared" si="7"/>
        <v>0.29568932700972039</v>
      </c>
    </row>
    <row r="705" spans="1:3" ht="13.2" x14ac:dyDescent="0.25">
      <c r="A705" s="6">
        <v>703</v>
      </c>
      <c r="B705" s="7">
        <v>86.737907409667969</v>
      </c>
      <c r="C705" s="3">
        <f t="shared" si="7"/>
        <v>0.30643839946432888</v>
      </c>
    </row>
    <row r="706" spans="1:3" ht="13.2" x14ac:dyDescent="0.25">
      <c r="A706" s="6">
        <v>704</v>
      </c>
      <c r="B706" s="7">
        <v>88.610153198242188</v>
      </c>
      <c r="C706" s="3">
        <f t="shared" si="7"/>
        <v>0.3365287977580933</v>
      </c>
    </row>
    <row r="707" spans="1:3" ht="13.2" x14ac:dyDescent="0.25">
      <c r="A707" s="6">
        <v>705</v>
      </c>
      <c r="B707" s="7">
        <v>88.073829650878906</v>
      </c>
      <c r="C707" s="3">
        <f t="shared" si="7"/>
        <v>0.36586789868166808</v>
      </c>
    </row>
    <row r="708" spans="1:3" ht="13.2" x14ac:dyDescent="0.25">
      <c r="A708" s="6">
        <v>706</v>
      </c>
      <c r="B708" s="7">
        <v>85.343460083007813</v>
      </c>
      <c r="C708" s="3">
        <f t="shared" si="7"/>
        <v>0.3702737711044391</v>
      </c>
    </row>
    <row r="709" spans="1:3" ht="13.2" x14ac:dyDescent="0.25">
      <c r="A709" s="6">
        <v>707</v>
      </c>
      <c r="B709" s="7">
        <v>85.245941162109375</v>
      </c>
      <c r="C709" s="3">
        <f t="shared" si="7"/>
        <v>0.31953627692629405</v>
      </c>
    </row>
    <row r="710" spans="1:3" ht="13.2" x14ac:dyDescent="0.25">
      <c r="A710" s="6">
        <v>708</v>
      </c>
      <c r="B710" s="7">
        <v>85.2264404296875</v>
      </c>
      <c r="C710" s="3">
        <f t="shared" si="7"/>
        <v>0.3273782522218599</v>
      </c>
    </row>
    <row r="711" spans="1:3" ht="13.2" x14ac:dyDescent="0.25">
      <c r="A711" s="6">
        <v>709</v>
      </c>
      <c r="B711" s="7">
        <v>85.948043823242188</v>
      </c>
      <c r="C711" s="3">
        <f t="shared" si="7"/>
        <v>0.3542105503965573</v>
      </c>
    </row>
    <row r="712" spans="1:3" ht="13.2" x14ac:dyDescent="0.25">
      <c r="A712" s="6">
        <v>710</v>
      </c>
      <c r="B712" s="7">
        <v>84.709625244140625</v>
      </c>
      <c r="C712" s="3">
        <f t="shared" si="7"/>
        <v>0.3324217769047339</v>
      </c>
    </row>
    <row r="713" spans="1:3" ht="13.2" x14ac:dyDescent="0.25">
      <c r="A713" s="6">
        <v>711</v>
      </c>
      <c r="B713" s="7">
        <v>84.875396728515625</v>
      </c>
      <c r="C713" s="3">
        <f t="shared" si="7"/>
        <v>0.31147691374029035</v>
      </c>
    </row>
    <row r="714" spans="1:3" ht="13.2" x14ac:dyDescent="0.25">
      <c r="A714" s="6">
        <v>712</v>
      </c>
      <c r="B714" s="7">
        <v>84.787635803222656</v>
      </c>
      <c r="C714" s="3">
        <f t="shared" si="7"/>
        <v>0.2407001529941524</v>
      </c>
    </row>
    <row r="715" spans="1:3" ht="13.2" x14ac:dyDescent="0.25">
      <c r="A715" s="6">
        <v>713</v>
      </c>
      <c r="B715" s="7">
        <v>82.320549011230469</v>
      </c>
      <c r="C715" s="3">
        <f t="shared" si="7"/>
        <v>0.20458581374641993</v>
      </c>
    </row>
    <row r="716" spans="1:3" ht="13.2" x14ac:dyDescent="0.25">
      <c r="A716" s="6">
        <v>714</v>
      </c>
      <c r="B716" s="7">
        <v>82.652099609375</v>
      </c>
      <c r="C716" s="3">
        <f t="shared" si="7"/>
        <v>0.13596599263423051</v>
      </c>
    </row>
    <row r="717" spans="1:3" ht="13.2" x14ac:dyDescent="0.25">
      <c r="A717" s="6">
        <v>715</v>
      </c>
      <c r="B717" s="7">
        <v>82.681350708007813</v>
      </c>
      <c r="C717" s="3">
        <f t="shared" si="7"/>
        <v>0.14004221982859877</v>
      </c>
    </row>
    <row r="718" spans="1:3" ht="13.2" x14ac:dyDescent="0.25">
      <c r="A718" s="6">
        <v>716</v>
      </c>
      <c r="B718" s="7">
        <v>82.808113098144531</v>
      </c>
      <c r="C718" s="3">
        <f t="shared" si="7"/>
        <v>0.15998989738845179</v>
      </c>
    </row>
    <row r="719" spans="1:3" ht="13.2" x14ac:dyDescent="0.25">
      <c r="A719" s="6">
        <v>717</v>
      </c>
      <c r="B719" s="7">
        <v>82.096275329589844</v>
      </c>
      <c r="C719" s="3">
        <f t="shared" si="7"/>
        <v>0.12590648713754546</v>
      </c>
    </row>
    <row r="720" spans="1:3" ht="13.2" x14ac:dyDescent="0.25">
      <c r="A720" s="6">
        <v>718</v>
      </c>
      <c r="B720" s="7">
        <v>84.056282043457031</v>
      </c>
      <c r="C720" s="3">
        <f t="shared" si="7"/>
        <v>0.14738663158183524</v>
      </c>
    </row>
    <row r="721" spans="1:3" ht="13.2" x14ac:dyDescent="0.25">
      <c r="A721" s="6">
        <v>719</v>
      </c>
      <c r="B721" s="7">
        <v>83.480964660644531</v>
      </c>
      <c r="C721" s="3">
        <f t="shared" si="7"/>
        <v>0.13999081119840184</v>
      </c>
    </row>
    <row r="722" spans="1:3" ht="13.2" x14ac:dyDescent="0.25">
      <c r="A722" s="6">
        <v>720</v>
      </c>
      <c r="B722" s="7">
        <v>82.466819763183594</v>
      </c>
      <c r="C722" s="3">
        <f t="shared" si="7"/>
        <v>0.14802192692203225</v>
      </c>
    </row>
    <row r="723" spans="1:3" ht="13.2" x14ac:dyDescent="0.25">
      <c r="A723" s="6">
        <v>721</v>
      </c>
      <c r="B723" s="7">
        <v>86.942680358886719</v>
      </c>
      <c r="C723" s="3">
        <f t="shared" si="7"/>
        <v>0.21115797032469946</v>
      </c>
    </row>
    <row r="724" spans="1:3" ht="13.2" x14ac:dyDescent="0.25">
      <c r="A724" s="6">
        <v>722</v>
      </c>
      <c r="B724" s="7">
        <v>89.107467651367188</v>
      </c>
      <c r="C724" s="3">
        <f t="shared" si="7"/>
        <v>0.22385511519685369</v>
      </c>
    </row>
    <row r="725" spans="1:3" ht="13.2" x14ac:dyDescent="0.25">
      <c r="A725" s="6">
        <v>723</v>
      </c>
      <c r="B725" s="7">
        <v>87.391242980957031</v>
      </c>
      <c r="C725" s="3">
        <f t="shared" si="7"/>
        <v>0.20038343688981192</v>
      </c>
    </row>
    <row r="726" spans="1:3" ht="13.2" x14ac:dyDescent="0.25">
      <c r="A726" s="6">
        <v>724</v>
      </c>
      <c r="B726" s="7">
        <v>87.498504638671875</v>
      </c>
      <c r="C726" s="3">
        <f t="shared" si="7"/>
        <v>0.20832521753659278</v>
      </c>
    </row>
    <row r="727" spans="1:3" ht="13.2" x14ac:dyDescent="0.25">
      <c r="A727" s="6">
        <v>725</v>
      </c>
      <c r="B727" s="7">
        <v>88.824676513671875</v>
      </c>
      <c r="C727" s="3">
        <f t="shared" si="7"/>
        <v>0.22579647160001148</v>
      </c>
    </row>
    <row r="728" spans="1:3" ht="13.2" x14ac:dyDescent="0.25">
      <c r="A728" s="6">
        <v>726</v>
      </c>
      <c r="B728" s="7">
        <v>86.279586791992188</v>
      </c>
      <c r="C728" s="3">
        <f t="shared" si="7"/>
        <v>0.19026199885054124</v>
      </c>
    </row>
    <row r="729" spans="1:3" ht="13.2" x14ac:dyDescent="0.25">
      <c r="A729" s="6">
        <v>727</v>
      </c>
      <c r="B729" s="7">
        <v>90.326377868652344</v>
      </c>
      <c r="C729" s="3">
        <f t="shared" si="7"/>
        <v>0.24933844673750832</v>
      </c>
    </row>
    <row r="730" spans="1:3" ht="13.2" x14ac:dyDescent="0.25">
      <c r="A730" s="6">
        <v>728</v>
      </c>
      <c r="B730" s="7">
        <v>91.896331787109375</v>
      </c>
      <c r="C730" s="3">
        <f t="shared" si="7"/>
        <v>0.29877071683348383</v>
      </c>
    </row>
    <row r="731" spans="1:3" ht="13.2" x14ac:dyDescent="0.25">
      <c r="A731" s="6">
        <v>729</v>
      </c>
      <c r="B731" s="7">
        <v>94.246406555175781</v>
      </c>
      <c r="C731" s="3">
        <f t="shared" si="7"/>
        <v>0.29659295027516036</v>
      </c>
    </row>
    <row r="732" spans="1:3" ht="13.2" x14ac:dyDescent="0.25">
      <c r="A732" s="6">
        <v>730</v>
      </c>
      <c r="B732" s="7">
        <v>95.91387939453125</v>
      </c>
      <c r="C732" s="3">
        <f t="shared" si="7"/>
        <v>0.3137210204084917</v>
      </c>
    </row>
    <row r="733" spans="1:3" ht="13.2" x14ac:dyDescent="0.25">
      <c r="A733" s="6">
        <v>731</v>
      </c>
      <c r="B733" s="7">
        <v>93.437049865722656</v>
      </c>
      <c r="C733" s="3">
        <f t="shared" si="7"/>
        <v>0.30965549393353858</v>
      </c>
    </row>
    <row r="734" spans="1:3" ht="13.2" x14ac:dyDescent="0.25">
      <c r="A734" s="6">
        <v>732</v>
      </c>
      <c r="B734" s="7">
        <v>95.718864440917969</v>
      </c>
      <c r="C734" s="3">
        <f t="shared" si="7"/>
        <v>0.33322443219800513</v>
      </c>
    </row>
    <row r="735" spans="1:3" ht="13.2" x14ac:dyDescent="0.25">
      <c r="A735" s="6">
        <v>733</v>
      </c>
      <c r="B735" s="7">
        <v>94.49993896484375</v>
      </c>
      <c r="C735" s="3">
        <f t="shared" si="7"/>
        <v>0.29003010701344928</v>
      </c>
    </row>
    <row r="736" spans="1:3" ht="13.2" x14ac:dyDescent="0.25">
      <c r="A736" s="6">
        <v>734</v>
      </c>
      <c r="B736" s="7">
        <v>94.577949523925781</v>
      </c>
      <c r="C736" s="3">
        <f t="shared" si="7"/>
        <v>0.27981440925395351</v>
      </c>
    </row>
    <row r="737" spans="1:3" ht="13.2" x14ac:dyDescent="0.25">
      <c r="A737" s="6">
        <v>735</v>
      </c>
      <c r="B737" s="7">
        <v>97.337570190429688</v>
      </c>
      <c r="C737" s="3">
        <f t="shared" si="7"/>
        <v>0.35069237873621162</v>
      </c>
    </row>
    <row r="738" spans="1:3" ht="13.2" x14ac:dyDescent="0.25">
      <c r="A738" s="6">
        <v>736</v>
      </c>
      <c r="B738" s="7">
        <v>100.614013671875</v>
      </c>
      <c r="C738" s="3">
        <f t="shared" si="7"/>
        <v>0.40155327777751587</v>
      </c>
    </row>
    <row r="739" spans="1:3" ht="13.2" x14ac:dyDescent="0.25">
      <c r="A739" s="6">
        <v>737</v>
      </c>
      <c r="B739" s="7">
        <v>98.48822021484375</v>
      </c>
      <c r="C739" s="3">
        <f t="shared" si="7"/>
        <v>0.36538147306859559</v>
      </c>
    </row>
    <row r="740" spans="1:3" ht="13.2" x14ac:dyDescent="0.25">
      <c r="A740" s="6">
        <v>738</v>
      </c>
      <c r="B740" s="7">
        <v>97.591110229492188</v>
      </c>
      <c r="C740" s="3">
        <f t="shared" si="7"/>
        <v>0.3895578949705058</v>
      </c>
    </row>
    <row r="741" spans="1:3" ht="13.2" x14ac:dyDescent="0.25">
      <c r="A741" s="6">
        <v>739</v>
      </c>
      <c r="B741" s="7">
        <v>97.737380981445313</v>
      </c>
      <c r="C741" s="3">
        <f t="shared" si="7"/>
        <v>0.41094795169555076</v>
      </c>
    </row>
    <row r="742" spans="1:3" ht="13.2" x14ac:dyDescent="0.25">
      <c r="A742" s="6">
        <v>740</v>
      </c>
      <c r="B742" s="7">
        <v>96.713485717773438</v>
      </c>
      <c r="C742" s="3">
        <f t="shared" si="7"/>
        <v>0.38386066540767916</v>
      </c>
    </row>
    <row r="743" spans="1:3" ht="13.2" x14ac:dyDescent="0.25">
      <c r="A743" s="6">
        <v>741</v>
      </c>
      <c r="B743" s="7">
        <v>99.521858215332031</v>
      </c>
      <c r="C743" s="3">
        <f t="shared" si="7"/>
        <v>0.44437452386715842</v>
      </c>
    </row>
    <row r="744" spans="1:3" ht="13.2" x14ac:dyDescent="0.25">
      <c r="A744" s="6">
        <v>742</v>
      </c>
      <c r="B744" s="7">
        <v>96.976776123046875</v>
      </c>
      <c r="C744" s="3">
        <f t="shared" si="7"/>
        <v>0.41099597830563578</v>
      </c>
    </row>
    <row r="745" spans="1:3" ht="13.2" x14ac:dyDescent="0.25">
      <c r="A745" s="6">
        <v>743</v>
      </c>
      <c r="B745" s="7">
        <v>98.517471313476563</v>
      </c>
      <c r="C745" s="3">
        <f t="shared" si="7"/>
        <v>0.44160906443789028</v>
      </c>
    </row>
    <row r="746" spans="1:3" ht="13.2" x14ac:dyDescent="0.25">
      <c r="A746" s="6">
        <v>744</v>
      </c>
      <c r="B746" s="7">
        <v>97.513092041015625</v>
      </c>
      <c r="C746" s="3">
        <f t="shared" si="7"/>
        <v>0.41235065421289807</v>
      </c>
    </row>
    <row r="747" spans="1:3" ht="13.2" x14ac:dyDescent="0.25">
      <c r="A747" s="6">
        <v>745</v>
      </c>
      <c r="B747" s="7">
        <v>97.357063293457031</v>
      </c>
      <c r="C747" s="3">
        <f t="shared" si="7"/>
        <v>0.45021912596039226</v>
      </c>
    </row>
    <row r="748" spans="1:3" ht="13.2" x14ac:dyDescent="0.25">
      <c r="A748" s="6">
        <v>746</v>
      </c>
      <c r="B748" s="7">
        <v>98.117683410644531</v>
      </c>
      <c r="C748" s="3">
        <f t="shared" si="7"/>
        <v>0.46636580261137811</v>
      </c>
    </row>
    <row r="749" spans="1:3" ht="13.2" x14ac:dyDescent="0.25">
      <c r="A749" s="6">
        <v>747</v>
      </c>
      <c r="B749" s="7">
        <v>98.507720947265625</v>
      </c>
      <c r="C749" s="3">
        <f t="shared" si="7"/>
        <v>0.45597107341624421</v>
      </c>
    </row>
    <row r="750" spans="1:3" ht="13.2" x14ac:dyDescent="0.25">
      <c r="A750" s="6">
        <v>748</v>
      </c>
      <c r="B750" s="7">
        <v>100.92604827880859</v>
      </c>
      <c r="C750" s="3">
        <f t="shared" si="7"/>
        <v>0.48129811422286639</v>
      </c>
    </row>
    <row r="751" spans="1:3" ht="13.2" x14ac:dyDescent="0.25">
      <c r="A751" s="6">
        <v>749</v>
      </c>
      <c r="B751" s="7">
        <v>100.43849182128906</v>
      </c>
      <c r="C751" s="3">
        <f t="shared" si="7"/>
        <v>0.51223789743142489</v>
      </c>
    </row>
    <row r="752" spans="1:3" ht="13.2" x14ac:dyDescent="0.25">
      <c r="A752" s="6">
        <v>750</v>
      </c>
      <c r="B752" s="7">
        <v>100.60425567626953</v>
      </c>
      <c r="C752" s="3">
        <f t="shared" si="7"/>
        <v>0.4830284008305894</v>
      </c>
    </row>
    <row r="753" spans="1:3" ht="13.2" x14ac:dyDescent="0.25">
      <c r="A753" s="6">
        <v>751</v>
      </c>
      <c r="B753" s="7">
        <v>100.04843139648438</v>
      </c>
      <c r="C753" s="3">
        <f t="shared" si="7"/>
        <v>0.47579282722727012</v>
      </c>
    </row>
    <row r="754" spans="1:3" ht="13.2" x14ac:dyDescent="0.25">
      <c r="A754" s="6">
        <v>752</v>
      </c>
      <c r="B754" s="7">
        <v>101.111328125</v>
      </c>
      <c r="C754" s="3">
        <f t="shared" si="7"/>
        <v>0.48605287953688964</v>
      </c>
    </row>
    <row r="755" spans="1:3" ht="13.2" x14ac:dyDescent="0.25">
      <c r="A755" s="6">
        <v>753</v>
      </c>
      <c r="B755" s="7">
        <v>100.77978515625</v>
      </c>
      <c r="C755" s="3">
        <f t="shared" si="7"/>
        <v>0.47083265489549414</v>
      </c>
    </row>
    <row r="756" spans="1:3" ht="13.2" x14ac:dyDescent="0.25">
      <c r="A756" s="6">
        <v>754</v>
      </c>
      <c r="B756" s="7">
        <v>101.43312072753906</v>
      </c>
      <c r="C756" s="3">
        <f t="shared" si="7"/>
        <v>0.49478758080722884</v>
      </c>
    </row>
    <row r="757" spans="1:3" ht="13.2" x14ac:dyDescent="0.25">
      <c r="A757" s="6">
        <v>755</v>
      </c>
      <c r="B757" s="7">
        <v>101.81341552734375</v>
      </c>
      <c r="C757" s="3">
        <f t="shared" si="7"/>
        <v>0.47936479401309712</v>
      </c>
    </row>
    <row r="758" spans="1:3" ht="13.2" x14ac:dyDescent="0.25">
      <c r="A758" s="6">
        <v>756</v>
      </c>
      <c r="B758" s="7">
        <v>100.47749328613281</v>
      </c>
      <c r="C758" s="3">
        <f t="shared" si="7"/>
        <v>0.37478875476516188</v>
      </c>
    </row>
    <row r="759" spans="1:3" ht="13.2" x14ac:dyDescent="0.25">
      <c r="A759" s="6">
        <v>757</v>
      </c>
      <c r="B759" s="7">
        <v>99.746147155761719</v>
      </c>
      <c r="C759" s="3">
        <f t="shared" si="7"/>
        <v>0.35330868142853111</v>
      </c>
    </row>
    <row r="760" spans="1:3" ht="13.2" x14ac:dyDescent="0.25">
      <c r="A760" s="6">
        <v>758</v>
      </c>
      <c r="B760" s="7">
        <v>98.585739135742188</v>
      </c>
      <c r="C760" s="3">
        <f t="shared" si="7"/>
        <v>0.32493858984421076</v>
      </c>
    </row>
    <row r="761" spans="1:3" ht="13.2" x14ac:dyDescent="0.25">
      <c r="A761" s="6">
        <v>759</v>
      </c>
      <c r="B761" s="7">
        <v>99.092803955078125</v>
      </c>
      <c r="C761" s="3">
        <f t="shared" si="7"/>
        <v>0.30564169775352745</v>
      </c>
    </row>
    <row r="762" spans="1:3" ht="13.2" x14ac:dyDescent="0.25">
      <c r="A762" s="6">
        <v>760</v>
      </c>
      <c r="B762" s="7">
        <v>102.34973907470703</v>
      </c>
      <c r="C762" s="3">
        <f t="shared" si="7"/>
        <v>0.31426400383905528</v>
      </c>
    </row>
    <row r="763" spans="1:3" ht="13.2" x14ac:dyDescent="0.25">
      <c r="A763" s="6">
        <v>761</v>
      </c>
      <c r="B763" s="7">
        <v>107.84947967529297</v>
      </c>
      <c r="C763" s="3">
        <f t="shared" si="7"/>
        <v>0.33769802596585519</v>
      </c>
    </row>
    <row r="764" spans="1:3" ht="13.2" x14ac:dyDescent="0.25">
      <c r="A764" s="6">
        <v>762</v>
      </c>
      <c r="B764" s="7">
        <v>108.57107543945313</v>
      </c>
      <c r="C764" s="3">
        <f t="shared" si="7"/>
        <v>0.31482101280556274</v>
      </c>
    </row>
    <row r="765" spans="1:3" ht="13.2" x14ac:dyDescent="0.25">
      <c r="A765" s="6">
        <v>763</v>
      </c>
      <c r="B765" s="7">
        <v>100.45799255371094</v>
      </c>
      <c r="C765" s="3">
        <f t="shared" si="7"/>
        <v>0.24526188794815487</v>
      </c>
    </row>
    <row r="766" spans="1:3" ht="13.2" x14ac:dyDescent="0.25">
      <c r="A766" s="6">
        <v>764</v>
      </c>
      <c r="B766" s="7">
        <v>104.61204528808594</v>
      </c>
      <c r="C766" s="3">
        <f t="shared" si="7"/>
        <v>0.3073461183216824</v>
      </c>
    </row>
    <row r="767" spans="1:3" ht="13.2" x14ac:dyDescent="0.25">
      <c r="A767" s="6">
        <v>765</v>
      </c>
      <c r="B767" s="7">
        <v>110.26780700683594</v>
      </c>
      <c r="C767" s="3">
        <f t="shared" ref="C767:C830" si="8">LN(B767/B515)</f>
        <v>0.39265907918522158</v>
      </c>
    </row>
    <row r="768" spans="1:3" ht="13.2" x14ac:dyDescent="0.25">
      <c r="A768" s="6">
        <v>766</v>
      </c>
      <c r="B768" s="7">
        <v>109.32192230224609</v>
      </c>
      <c r="C768" s="3">
        <f t="shared" si="8"/>
        <v>0.36969602439223387</v>
      </c>
    </row>
    <row r="769" spans="1:3" ht="13.2" x14ac:dyDescent="0.25">
      <c r="A769" s="6">
        <v>767</v>
      </c>
      <c r="B769" s="7">
        <v>112.05229949951172</v>
      </c>
      <c r="C769" s="3">
        <f t="shared" si="8"/>
        <v>0.38911687917118548</v>
      </c>
    </row>
    <row r="770" spans="1:3" ht="13.2" x14ac:dyDescent="0.25">
      <c r="A770" s="6">
        <v>768</v>
      </c>
      <c r="B770" s="7">
        <v>111.01865386962891</v>
      </c>
      <c r="C770" s="3">
        <f t="shared" si="8"/>
        <v>0.37793616356251897</v>
      </c>
    </row>
    <row r="771" spans="1:3" ht="13.2" x14ac:dyDescent="0.25">
      <c r="A771" s="6">
        <v>769</v>
      </c>
      <c r="B771" s="7">
        <v>112.72513580322266</v>
      </c>
      <c r="C771" s="3">
        <f t="shared" si="8"/>
        <v>0.40214999070636948</v>
      </c>
    </row>
    <row r="772" spans="1:3" ht="13.2" x14ac:dyDescent="0.25">
      <c r="A772" s="6">
        <v>770</v>
      </c>
      <c r="B772" s="7">
        <v>112.98842620849609</v>
      </c>
      <c r="C772" s="3">
        <f t="shared" si="8"/>
        <v>0.39552331402303925</v>
      </c>
    </row>
    <row r="773" spans="1:3" ht="13.2" x14ac:dyDescent="0.25">
      <c r="A773" s="6">
        <v>771</v>
      </c>
      <c r="B773" s="7">
        <v>113.45648193359375</v>
      </c>
      <c r="C773" s="3">
        <f t="shared" si="8"/>
        <v>0.43453489903266018</v>
      </c>
    </row>
    <row r="774" spans="1:3" ht="13.2" x14ac:dyDescent="0.25">
      <c r="A774" s="6">
        <v>772</v>
      </c>
      <c r="B774" s="7">
        <v>114.70465087890625</v>
      </c>
      <c r="C774" s="3">
        <f t="shared" si="8"/>
        <v>0.41878688671199027</v>
      </c>
    </row>
    <row r="775" spans="1:3" ht="13.2" x14ac:dyDescent="0.25">
      <c r="A775" s="6">
        <v>773</v>
      </c>
      <c r="B775" s="7">
        <v>116.28436279296875</v>
      </c>
      <c r="C775" s="3">
        <f t="shared" si="8"/>
        <v>0.43465133410715073</v>
      </c>
    </row>
    <row r="776" spans="1:3" ht="13.2" x14ac:dyDescent="0.25">
      <c r="A776" s="6">
        <v>774</v>
      </c>
      <c r="B776" s="7">
        <v>116.81092834472656</v>
      </c>
      <c r="C776" s="3">
        <f t="shared" si="8"/>
        <v>0.45840804145712083</v>
      </c>
    </row>
    <row r="777" spans="1:3" ht="13.2" x14ac:dyDescent="0.25">
      <c r="A777" s="6">
        <v>775</v>
      </c>
      <c r="B777" s="7">
        <v>115.84555816650391</v>
      </c>
      <c r="C777" s="3">
        <f t="shared" si="8"/>
        <v>0.44304695805487304</v>
      </c>
    </row>
    <row r="778" spans="1:3" ht="13.2" x14ac:dyDescent="0.25">
      <c r="A778" s="6">
        <v>776</v>
      </c>
      <c r="B778" s="7">
        <v>115.95282745361328</v>
      </c>
      <c r="C778" s="3">
        <f t="shared" si="8"/>
        <v>0.48888648092286457</v>
      </c>
    </row>
    <row r="779" spans="1:3" ht="13.2" x14ac:dyDescent="0.25">
      <c r="A779" s="6">
        <v>777</v>
      </c>
      <c r="B779" s="7">
        <v>117.86408233642578</v>
      </c>
      <c r="C779" s="3">
        <f t="shared" si="8"/>
        <v>0.48526145778170171</v>
      </c>
    </row>
    <row r="780" spans="1:3" ht="13.2" x14ac:dyDescent="0.25">
      <c r="A780" s="6">
        <v>778</v>
      </c>
      <c r="B780" s="7">
        <v>117.50328063964844</v>
      </c>
      <c r="C780" s="3">
        <f t="shared" si="8"/>
        <v>0.46997763193021019</v>
      </c>
    </row>
    <row r="781" spans="1:3" ht="13.2" x14ac:dyDescent="0.25">
      <c r="A781" s="6">
        <v>779</v>
      </c>
      <c r="B781" s="7">
        <v>116.908447265625</v>
      </c>
      <c r="C781" s="3">
        <f t="shared" si="8"/>
        <v>0.47565181626504943</v>
      </c>
    </row>
    <row r="782" spans="1:3" ht="13.2" x14ac:dyDescent="0.25">
      <c r="A782" s="6">
        <v>780</v>
      </c>
      <c r="B782" s="7">
        <v>117.42527008056641</v>
      </c>
      <c r="C782" s="3">
        <f t="shared" si="8"/>
        <v>0.49092883135329363</v>
      </c>
    </row>
    <row r="783" spans="1:3" ht="13.2" x14ac:dyDescent="0.25">
      <c r="A783" s="6">
        <v>781</v>
      </c>
      <c r="B783" s="7">
        <v>117.30825042724609</v>
      </c>
      <c r="C783" s="3">
        <f t="shared" si="8"/>
        <v>0.48200524324659633</v>
      </c>
    </row>
    <row r="784" spans="1:3" ht="13.2" x14ac:dyDescent="0.25">
      <c r="A784" s="6">
        <v>782</v>
      </c>
      <c r="B784" s="7">
        <v>118.92696380615234</v>
      </c>
      <c r="C784" s="3">
        <f t="shared" si="8"/>
        <v>0.48864256041796766</v>
      </c>
    </row>
    <row r="785" spans="1:3" ht="13.2" x14ac:dyDescent="0.25">
      <c r="A785" s="6">
        <v>783</v>
      </c>
      <c r="B785" s="7">
        <v>117.76082611083984</v>
      </c>
      <c r="C785" s="3">
        <f t="shared" si="8"/>
        <v>0.46926728287609915</v>
      </c>
    </row>
    <row r="786" spans="1:3" ht="13.2" x14ac:dyDescent="0.25">
      <c r="A786" s="6">
        <v>784</v>
      </c>
      <c r="B786" s="7">
        <v>119.06416320800781</v>
      </c>
      <c r="C786" s="3">
        <f t="shared" si="8"/>
        <v>0.48647924551891958</v>
      </c>
    </row>
    <row r="787" spans="1:3" ht="13.2" x14ac:dyDescent="0.25">
      <c r="A787" s="6">
        <v>785</v>
      </c>
      <c r="B787" s="7">
        <v>121.22005462646484</v>
      </c>
      <c r="C787" s="3">
        <f t="shared" si="8"/>
        <v>0.51186821694707663</v>
      </c>
    </row>
    <row r="788" spans="1:3" ht="13.2" x14ac:dyDescent="0.25">
      <c r="A788" s="6">
        <v>786</v>
      </c>
      <c r="B788" s="7">
        <v>123.00356292724609</v>
      </c>
      <c r="C788" s="3">
        <f t="shared" si="8"/>
        <v>0.53249607780717401</v>
      </c>
    </row>
    <row r="789" spans="1:3" ht="13.2" x14ac:dyDescent="0.25">
      <c r="A789" s="6">
        <v>787</v>
      </c>
      <c r="B789" s="7">
        <v>121.36705780029297</v>
      </c>
      <c r="C789" s="3">
        <f t="shared" si="8"/>
        <v>0.48882684460498049</v>
      </c>
    </row>
    <row r="790" spans="1:3" ht="13.2" x14ac:dyDescent="0.25">
      <c r="A790" s="6">
        <v>788</v>
      </c>
      <c r="B790" s="7">
        <v>121.59243774414063</v>
      </c>
      <c r="C790" s="3">
        <f t="shared" si="8"/>
        <v>0.50154973393229929</v>
      </c>
    </row>
    <row r="791" spans="1:3" ht="13.2" x14ac:dyDescent="0.25">
      <c r="A791" s="6">
        <v>789</v>
      </c>
      <c r="B791" s="7">
        <v>122.07261657714844</v>
      </c>
      <c r="C791" s="3">
        <f t="shared" si="8"/>
        <v>0.49098376431979251</v>
      </c>
    </row>
    <row r="792" spans="1:3" ht="13.2" x14ac:dyDescent="0.25">
      <c r="A792" s="6">
        <v>790</v>
      </c>
      <c r="B792" s="7">
        <v>120.72028350830078</v>
      </c>
      <c r="C792" s="3">
        <f t="shared" si="8"/>
        <v>0.47673478809972369</v>
      </c>
    </row>
    <row r="793" spans="1:3" ht="13.2" x14ac:dyDescent="0.25">
      <c r="A793" s="6">
        <v>791</v>
      </c>
      <c r="B793" s="7">
        <v>119.69132995605469</v>
      </c>
      <c r="C793" s="3">
        <f t="shared" si="8"/>
        <v>0.47050571272927344</v>
      </c>
    </row>
    <row r="794" spans="1:3" ht="13.2" x14ac:dyDescent="0.25">
      <c r="A794" s="6">
        <v>792</v>
      </c>
      <c r="B794" s="7">
        <v>121.47484588623047</v>
      </c>
      <c r="C794" s="3">
        <f t="shared" si="8"/>
        <v>0.48750321675654584</v>
      </c>
    </row>
    <row r="795" spans="1:3" ht="13.2" x14ac:dyDescent="0.25">
      <c r="A795" s="6">
        <v>793</v>
      </c>
      <c r="B795" s="7">
        <v>122.21961212158203</v>
      </c>
      <c r="C795" s="3">
        <f t="shared" si="8"/>
        <v>0.48520509909000081</v>
      </c>
    </row>
    <row r="796" spans="1:3" ht="13.2" x14ac:dyDescent="0.25">
      <c r="A796" s="6">
        <v>794</v>
      </c>
      <c r="B796" s="7">
        <v>124.84587860107422</v>
      </c>
      <c r="C796" s="3">
        <f t="shared" si="8"/>
        <v>0.52769161808914211</v>
      </c>
    </row>
    <row r="797" spans="1:3" ht="13.2" x14ac:dyDescent="0.25">
      <c r="A797" s="6">
        <v>795</v>
      </c>
      <c r="B797" s="7">
        <v>123.37595367431641</v>
      </c>
      <c r="C797" s="3">
        <f t="shared" si="8"/>
        <v>0.50238265697976148</v>
      </c>
    </row>
    <row r="798" spans="1:3" ht="13.2" x14ac:dyDescent="0.25">
      <c r="A798" s="6">
        <v>796</v>
      </c>
      <c r="B798" s="7">
        <v>123.90512847900391</v>
      </c>
      <c r="C798" s="3">
        <f t="shared" si="8"/>
        <v>0.500449214896589</v>
      </c>
    </row>
    <row r="799" spans="1:3" ht="13.2" x14ac:dyDescent="0.25">
      <c r="A799" s="6">
        <v>797</v>
      </c>
      <c r="B799" s="7">
        <v>126.88417053222656</v>
      </c>
      <c r="C799" s="3">
        <f t="shared" si="8"/>
        <v>0.5264037695975381</v>
      </c>
    </row>
    <row r="800" spans="1:3" ht="13.2" x14ac:dyDescent="0.25">
      <c r="A800" s="6">
        <v>798</v>
      </c>
      <c r="B800" s="7">
        <v>126.21781921386719</v>
      </c>
      <c r="C800" s="3">
        <f t="shared" si="8"/>
        <v>0.51765242183581817</v>
      </c>
    </row>
    <row r="801" spans="1:3" ht="13.2" x14ac:dyDescent="0.25">
      <c r="A801" s="6">
        <v>799</v>
      </c>
      <c r="B801" s="7">
        <v>125.58084106445313</v>
      </c>
      <c r="C801" s="3">
        <f t="shared" si="8"/>
        <v>0.51478646351171486</v>
      </c>
    </row>
    <row r="802" spans="1:3" ht="13.2" x14ac:dyDescent="0.25">
      <c r="A802" s="6">
        <v>800</v>
      </c>
      <c r="B802" s="7">
        <v>125.54164886474609</v>
      </c>
      <c r="C802" s="3">
        <f t="shared" si="8"/>
        <v>0.52186404391874563</v>
      </c>
    </row>
    <row r="803" spans="1:3" ht="13.2" x14ac:dyDescent="0.25">
      <c r="A803" s="6">
        <v>801</v>
      </c>
      <c r="B803" s="7">
        <v>127.36436462402344</v>
      </c>
      <c r="C803" s="3">
        <f t="shared" si="8"/>
        <v>0.53121644711524929</v>
      </c>
    </row>
    <row r="804" spans="1:3" ht="13.2" x14ac:dyDescent="0.25">
      <c r="A804" s="6">
        <v>802</v>
      </c>
      <c r="B804" s="7">
        <v>128.07972717285156</v>
      </c>
      <c r="C804" s="3">
        <f t="shared" si="8"/>
        <v>0.54005929072268088</v>
      </c>
    </row>
    <row r="805" spans="1:3" ht="13.2" x14ac:dyDescent="0.25">
      <c r="A805" s="6">
        <v>803</v>
      </c>
      <c r="B805" s="7">
        <v>129.35366821289063</v>
      </c>
      <c r="C805" s="3">
        <f t="shared" si="8"/>
        <v>0.55008645259350419</v>
      </c>
    </row>
    <row r="806" spans="1:3" ht="13.2" x14ac:dyDescent="0.25">
      <c r="A806" s="6">
        <v>804</v>
      </c>
      <c r="B806" s="7">
        <v>129.44184875488281</v>
      </c>
      <c r="C806" s="3">
        <f t="shared" si="8"/>
        <v>0.53811764320261712</v>
      </c>
    </row>
    <row r="807" spans="1:3" ht="13.2" x14ac:dyDescent="0.25">
      <c r="A807" s="6">
        <v>805</v>
      </c>
      <c r="B807" s="7">
        <v>130.3336181640625</v>
      </c>
      <c r="C807" s="3">
        <f t="shared" si="8"/>
        <v>0.51977787949700294</v>
      </c>
    </row>
    <row r="808" spans="1:3" ht="13.2" x14ac:dyDescent="0.25">
      <c r="A808" s="6">
        <v>806</v>
      </c>
      <c r="B808" s="7">
        <v>130.51979064941406</v>
      </c>
      <c r="C808" s="3">
        <f t="shared" si="8"/>
        <v>0.52672376081279249</v>
      </c>
    </row>
    <row r="809" spans="1:3" ht="13.2" x14ac:dyDescent="0.25">
      <c r="A809" s="6">
        <v>807</v>
      </c>
      <c r="B809" s="7">
        <v>126.83517456054688</v>
      </c>
      <c r="C809" s="3">
        <f t="shared" si="8"/>
        <v>0.47631623335482598</v>
      </c>
    </row>
    <row r="810" spans="1:3" ht="13.2" x14ac:dyDescent="0.25">
      <c r="A810" s="6">
        <v>808</v>
      </c>
      <c r="B810" s="7">
        <v>123.37595367431641</v>
      </c>
      <c r="C810" s="3">
        <f t="shared" si="8"/>
        <v>0.4555795656235212</v>
      </c>
    </row>
    <row r="811" spans="1:3" ht="13.2" x14ac:dyDescent="0.25">
      <c r="A811" s="6">
        <v>809</v>
      </c>
      <c r="B811" s="7">
        <v>126.43341064453125</v>
      </c>
      <c r="C811" s="3">
        <f t="shared" si="8"/>
        <v>0.50008479905047587</v>
      </c>
    </row>
    <row r="812" spans="1:3" ht="13.2" x14ac:dyDescent="0.25">
      <c r="A812" s="6">
        <v>810</v>
      </c>
      <c r="B812" s="7">
        <v>129.83384704589844</v>
      </c>
      <c r="C812" s="3">
        <f t="shared" si="8"/>
        <v>0.50734267728769566</v>
      </c>
    </row>
    <row r="813" spans="1:3" ht="13.2" x14ac:dyDescent="0.25">
      <c r="A813" s="6">
        <v>811</v>
      </c>
      <c r="B813" s="7">
        <v>125.94342803955078</v>
      </c>
      <c r="C813" s="3">
        <f t="shared" si="8"/>
        <v>0.49078032650179859</v>
      </c>
    </row>
    <row r="814" spans="1:3" ht="13.2" x14ac:dyDescent="0.25">
      <c r="A814" s="6">
        <v>812</v>
      </c>
      <c r="B814" s="7">
        <v>125.32605743408203</v>
      </c>
      <c r="C814" s="3">
        <f t="shared" si="8"/>
        <v>0.48838423246974449</v>
      </c>
    </row>
    <row r="815" spans="1:3" ht="13.2" x14ac:dyDescent="0.25">
      <c r="A815" s="6">
        <v>813</v>
      </c>
      <c r="B815" s="7">
        <v>126.44320678710938</v>
      </c>
      <c r="C815" s="3">
        <f t="shared" si="8"/>
        <v>0.49662860444263202</v>
      </c>
    </row>
    <row r="816" spans="1:3" ht="13.2" x14ac:dyDescent="0.25">
      <c r="A816" s="6">
        <v>814</v>
      </c>
      <c r="B816" s="7">
        <v>127.06056976318359</v>
      </c>
      <c r="C816" s="3">
        <f t="shared" si="8"/>
        <v>0.51404932434908113</v>
      </c>
    </row>
    <row r="817" spans="1:3" ht="13.2" x14ac:dyDescent="0.25">
      <c r="A817" s="6">
        <v>815</v>
      </c>
      <c r="B817" s="7">
        <v>125.36524963378906</v>
      </c>
      <c r="C817" s="3">
        <f t="shared" si="8"/>
        <v>0.48278972225457567</v>
      </c>
    </row>
    <row r="818" spans="1:3" ht="13.2" x14ac:dyDescent="0.25">
      <c r="A818" s="6">
        <v>816</v>
      </c>
      <c r="B818" s="7">
        <v>125.86502838134766</v>
      </c>
      <c r="C818" s="3">
        <f t="shared" si="8"/>
        <v>0.49028351814947901</v>
      </c>
    </row>
    <row r="819" spans="1:3" ht="13.2" x14ac:dyDescent="0.25">
      <c r="A819" s="6">
        <v>817</v>
      </c>
      <c r="B819" s="7">
        <v>129.44184875488281</v>
      </c>
      <c r="C819" s="3">
        <f t="shared" si="8"/>
        <v>0.50048198596069682</v>
      </c>
    </row>
    <row r="820" spans="1:3" ht="13.2" x14ac:dyDescent="0.25">
      <c r="A820" s="6">
        <v>818</v>
      </c>
      <c r="B820" s="7">
        <v>131.8917236328125</v>
      </c>
      <c r="C820" s="3">
        <f t="shared" si="8"/>
        <v>0.53466796925902527</v>
      </c>
    </row>
    <row r="821" spans="1:3" ht="13.2" x14ac:dyDescent="0.25">
      <c r="A821" s="6">
        <v>819</v>
      </c>
      <c r="B821" s="7">
        <v>130.235595703125</v>
      </c>
      <c r="C821" s="3">
        <f t="shared" si="8"/>
        <v>0.51241825736034874</v>
      </c>
    </row>
    <row r="822" spans="1:3" ht="13.2" x14ac:dyDescent="0.25">
      <c r="A822" s="6">
        <v>820</v>
      </c>
      <c r="B822" s="7">
        <v>131.2547607421875</v>
      </c>
      <c r="C822" s="3">
        <f t="shared" si="8"/>
        <v>0.52832263353363507</v>
      </c>
    </row>
    <row r="823" spans="1:3" ht="13.2" x14ac:dyDescent="0.25">
      <c r="A823" s="6">
        <v>821</v>
      </c>
      <c r="B823" s="7">
        <v>127.12916564941406</v>
      </c>
      <c r="C823" s="3">
        <f t="shared" si="8"/>
        <v>0.51919206094660886</v>
      </c>
    </row>
    <row r="824" spans="1:3" ht="13.2" x14ac:dyDescent="0.25">
      <c r="A824" s="6">
        <v>822</v>
      </c>
      <c r="B824" s="7">
        <v>127.39374542236328</v>
      </c>
      <c r="C824" s="3">
        <f t="shared" si="8"/>
        <v>0.532612833110929</v>
      </c>
    </row>
    <row r="825" spans="1:3" ht="13.2" x14ac:dyDescent="0.25">
      <c r="A825" s="6">
        <v>823</v>
      </c>
      <c r="B825" s="7">
        <v>132.78349304199219</v>
      </c>
      <c r="C825" s="3">
        <f t="shared" si="8"/>
        <v>0.58709674762059672</v>
      </c>
    </row>
    <row r="826" spans="1:3" ht="13.2" x14ac:dyDescent="0.25">
      <c r="A826" s="6">
        <v>824</v>
      </c>
      <c r="B826" s="7">
        <v>130.225830078125</v>
      </c>
      <c r="C826" s="3">
        <f t="shared" si="8"/>
        <v>0.57595444813297991</v>
      </c>
    </row>
    <row r="827" spans="1:3" ht="13.2" x14ac:dyDescent="0.25">
      <c r="A827" s="6">
        <v>825</v>
      </c>
      <c r="B827" s="7">
        <v>134.63558959960938</v>
      </c>
      <c r="C827" s="3">
        <f t="shared" si="8"/>
        <v>0.59584007278193762</v>
      </c>
    </row>
    <row r="828" spans="1:3" ht="13.2" x14ac:dyDescent="0.25">
      <c r="A828" s="6">
        <v>826</v>
      </c>
      <c r="B828" s="7">
        <v>134.73359680175781</v>
      </c>
      <c r="C828" s="3">
        <f t="shared" si="8"/>
        <v>0.60351630318164273</v>
      </c>
    </row>
    <row r="829" spans="1:3" ht="13.2" x14ac:dyDescent="0.25">
      <c r="A829" s="6">
        <v>827</v>
      </c>
      <c r="B829" s="7">
        <v>135.32156372070313</v>
      </c>
      <c r="C829" s="3">
        <f t="shared" si="8"/>
        <v>0.63183691110558593</v>
      </c>
    </row>
    <row r="830" spans="1:3" ht="13.2" x14ac:dyDescent="0.25">
      <c r="A830" s="6">
        <v>828</v>
      </c>
      <c r="B830" s="7">
        <v>137.34027099609375</v>
      </c>
      <c r="C830" s="3">
        <f t="shared" si="8"/>
        <v>0.66720215368169589</v>
      </c>
    </row>
    <row r="831" spans="1:3" ht="13.2" x14ac:dyDescent="0.25">
      <c r="A831" s="6">
        <v>829</v>
      </c>
      <c r="B831" s="7">
        <v>132.07794189453125</v>
      </c>
      <c r="C831" s="3">
        <f t="shared" ref="C831:C894" si="9">LN(B831/B579)</f>
        <v>0.67559640735194537</v>
      </c>
    </row>
    <row r="832" spans="1:3" ht="13.2" x14ac:dyDescent="0.25">
      <c r="A832" s="6">
        <v>830</v>
      </c>
      <c r="B832" s="7">
        <v>129.36344909667969</v>
      </c>
      <c r="C832" s="3">
        <f t="shared" si="9"/>
        <v>0.67214334228099704</v>
      </c>
    </row>
    <row r="833" spans="1:3" ht="13.2" x14ac:dyDescent="0.25">
      <c r="A833" s="6">
        <v>831</v>
      </c>
      <c r="B833" s="7">
        <v>133.195068359375</v>
      </c>
      <c r="C833" s="3">
        <f t="shared" si="9"/>
        <v>0.7092885363801763</v>
      </c>
    </row>
    <row r="834" spans="1:3" ht="13.2" x14ac:dyDescent="0.25">
      <c r="A834" s="6">
        <v>832</v>
      </c>
      <c r="B834" s="7">
        <v>133.77323913574219</v>
      </c>
      <c r="C834" s="3">
        <f t="shared" si="9"/>
        <v>0.68647685126810742</v>
      </c>
    </row>
    <row r="835" spans="1:3" ht="13.2" x14ac:dyDescent="0.25">
      <c r="A835" s="6">
        <v>833</v>
      </c>
      <c r="B835" s="7">
        <v>131.03916931152344</v>
      </c>
      <c r="C835" s="3">
        <f t="shared" si="9"/>
        <v>0.67073408839292636</v>
      </c>
    </row>
    <row r="836" spans="1:3" ht="13.2" x14ac:dyDescent="0.25">
      <c r="A836" s="6">
        <v>834</v>
      </c>
      <c r="B836" s="7">
        <v>134.63558959960938</v>
      </c>
      <c r="C836" s="3">
        <f t="shared" si="9"/>
        <v>0.71532320207519695</v>
      </c>
    </row>
    <row r="837" spans="1:3" ht="13.2" x14ac:dyDescent="0.25">
      <c r="A837" s="6">
        <v>835</v>
      </c>
      <c r="B837" s="7">
        <v>133.98883056640625</v>
      </c>
      <c r="C837" s="3">
        <f t="shared" si="9"/>
        <v>0.69821598235057303</v>
      </c>
    </row>
    <row r="838" spans="1:3" ht="13.2" x14ac:dyDescent="0.25">
      <c r="A838" s="6">
        <v>836</v>
      </c>
      <c r="B838" s="7">
        <v>134.11622619628906</v>
      </c>
      <c r="C838" s="3">
        <f t="shared" si="9"/>
        <v>0.68515785118521777</v>
      </c>
    </row>
    <row r="839" spans="1:3" ht="13.2" x14ac:dyDescent="0.25">
      <c r="A839" s="6">
        <v>837</v>
      </c>
      <c r="B839" s="7">
        <v>136.11531066894531</v>
      </c>
      <c r="C839" s="3">
        <f t="shared" si="9"/>
        <v>0.63297996667744627</v>
      </c>
    </row>
    <row r="840" spans="1:3" ht="13.2" x14ac:dyDescent="0.25">
      <c r="A840" s="6">
        <v>838</v>
      </c>
      <c r="B840" s="7">
        <v>134.13581848144531</v>
      </c>
      <c r="C840" s="3">
        <f t="shared" si="9"/>
        <v>0.61859878428973691</v>
      </c>
    </row>
    <row r="841" spans="1:3" ht="13.2" x14ac:dyDescent="0.25">
      <c r="A841" s="6">
        <v>839</v>
      </c>
      <c r="B841" s="7">
        <v>134.99818420410156</v>
      </c>
      <c r="C841" s="3">
        <f t="shared" si="9"/>
        <v>0.62018924309649603</v>
      </c>
    </row>
    <row r="842" spans="1:3" ht="13.2" x14ac:dyDescent="0.25">
      <c r="A842" s="6">
        <v>840</v>
      </c>
      <c r="B842" s="7">
        <v>142.09304809570313</v>
      </c>
      <c r="C842" s="3">
        <f t="shared" si="9"/>
        <v>0.66754563218449114</v>
      </c>
    </row>
    <row r="843" spans="1:3" ht="13.2" x14ac:dyDescent="0.25">
      <c r="A843" s="6">
        <v>841</v>
      </c>
      <c r="B843" s="7">
        <v>135.41957092285156</v>
      </c>
      <c r="C843" s="3">
        <f t="shared" si="9"/>
        <v>0.60465587065329107</v>
      </c>
    </row>
    <row r="844" spans="1:3" ht="13.2" x14ac:dyDescent="0.25">
      <c r="A844" s="6">
        <v>842</v>
      </c>
      <c r="B844" s="7">
        <v>137.85963439941406</v>
      </c>
      <c r="C844" s="3">
        <f t="shared" si="9"/>
        <v>0.62185879442367187</v>
      </c>
    </row>
    <row r="845" spans="1:3" ht="13.2" x14ac:dyDescent="0.25">
      <c r="A845" s="6">
        <v>843</v>
      </c>
      <c r="B845" s="7">
        <v>140.62310791015625</v>
      </c>
      <c r="C845" s="3">
        <f t="shared" si="9"/>
        <v>0.64183719771904946</v>
      </c>
    </row>
    <row r="846" spans="1:3" ht="13.2" x14ac:dyDescent="0.25">
      <c r="A846" s="6">
        <v>844</v>
      </c>
      <c r="B846" s="7">
        <v>135.39015197753906</v>
      </c>
      <c r="C846" s="3">
        <f t="shared" si="9"/>
        <v>0.62804065297416112</v>
      </c>
    </row>
    <row r="847" spans="1:3" ht="13.2" x14ac:dyDescent="0.25">
      <c r="A847" s="6">
        <v>845</v>
      </c>
      <c r="B847" s="7">
        <v>134.30242919921875</v>
      </c>
      <c r="C847" s="3">
        <f t="shared" si="9"/>
        <v>0.64814129762025463</v>
      </c>
    </row>
    <row r="848" spans="1:3" ht="13.2" x14ac:dyDescent="0.25">
      <c r="A848" s="6">
        <v>846</v>
      </c>
      <c r="B848" s="7">
        <v>127.42315673828125</v>
      </c>
      <c r="C848" s="3">
        <f t="shared" si="9"/>
        <v>0.61436731331589378</v>
      </c>
    </row>
    <row r="849" spans="1:3" ht="13.2" x14ac:dyDescent="0.25">
      <c r="A849" s="6">
        <v>847</v>
      </c>
      <c r="B849" s="7">
        <v>127.12916564941406</v>
      </c>
      <c r="C849" s="3">
        <f t="shared" si="9"/>
        <v>0.61346458763999712</v>
      </c>
    </row>
    <row r="850" spans="1:3" ht="13.2" x14ac:dyDescent="0.25">
      <c r="A850" s="6">
        <v>848</v>
      </c>
      <c r="B850" s="7">
        <v>127.20756530761719</v>
      </c>
      <c r="C850" s="3">
        <f t="shared" si="9"/>
        <v>0.58657959802661186</v>
      </c>
    </row>
    <row r="851" spans="1:3" ht="13.2" x14ac:dyDescent="0.25">
      <c r="A851" s="6">
        <v>849</v>
      </c>
      <c r="B851" s="7">
        <v>126.57059478759766</v>
      </c>
      <c r="C851" s="3">
        <f t="shared" si="9"/>
        <v>0.56135143984498959</v>
      </c>
    </row>
    <row r="852" spans="1:3" ht="13.2" x14ac:dyDescent="0.25">
      <c r="A852" s="6">
        <v>850</v>
      </c>
      <c r="B852" s="7">
        <v>123.99331665039063</v>
      </c>
      <c r="C852" s="3">
        <f t="shared" si="9"/>
        <v>0.54494968244497288</v>
      </c>
    </row>
    <row r="853" spans="1:3" ht="13.2" x14ac:dyDescent="0.25">
      <c r="A853" s="6">
        <v>851</v>
      </c>
      <c r="B853" s="7">
        <v>123.05255889892578</v>
      </c>
      <c r="C853" s="3">
        <f t="shared" si="9"/>
        <v>0.51691538021243066</v>
      </c>
    </row>
    <row r="854" spans="1:3" ht="13.2" x14ac:dyDescent="0.25">
      <c r="A854" s="6">
        <v>852</v>
      </c>
      <c r="B854" s="7">
        <v>123.60134124755859</v>
      </c>
      <c r="C854" s="3">
        <f t="shared" si="9"/>
        <v>0.53627088787014243</v>
      </c>
    </row>
    <row r="855" spans="1:3" ht="13.2" x14ac:dyDescent="0.25">
      <c r="A855" s="6">
        <v>853</v>
      </c>
      <c r="B855" s="7">
        <v>121.19065856933594</v>
      </c>
      <c r="C855" s="3">
        <f t="shared" si="9"/>
        <v>0.51122527044259847</v>
      </c>
    </row>
    <row r="856" spans="1:3" ht="13.2" x14ac:dyDescent="0.25">
      <c r="A856" s="6">
        <v>854</v>
      </c>
      <c r="B856" s="7">
        <v>126.12962341308594</v>
      </c>
      <c r="C856" s="3">
        <f t="shared" si="9"/>
        <v>0.53897522628159533</v>
      </c>
    </row>
    <row r="857" spans="1:3" ht="13.2" x14ac:dyDescent="0.25">
      <c r="A857" s="6">
        <v>855</v>
      </c>
      <c r="B857" s="7">
        <v>126.58039093017578</v>
      </c>
      <c r="C857" s="3">
        <f t="shared" si="9"/>
        <v>0.55407136847066418</v>
      </c>
    </row>
    <row r="858" spans="1:3" ht="13.2" x14ac:dyDescent="0.25">
      <c r="A858" s="6">
        <v>856</v>
      </c>
      <c r="B858" s="7">
        <v>127.30557250976563</v>
      </c>
      <c r="C858" s="3">
        <f t="shared" si="9"/>
        <v>0.57861962980438131</v>
      </c>
    </row>
    <row r="859" spans="1:3" ht="13.2" x14ac:dyDescent="0.25">
      <c r="A859" s="6">
        <v>857</v>
      </c>
      <c r="B859" s="7">
        <v>130.66679382324219</v>
      </c>
      <c r="C859" s="3">
        <f t="shared" si="9"/>
        <v>0.6030513545262407</v>
      </c>
    </row>
    <row r="860" spans="1:3" ht="13.2" x14ac:dyDescent="0.25">
      <c r="A860" s="6">
        <v>858</v>
      </c>
      <c r="B860" s="7">
        <v>130.87258911132813</v>
      </c>
      <c r="C860" s="3">
        <f t="shared" si="9"/>
        <v>0.59854195668117494</v>
      </c>
    </row>
    <row r="861" spans="1:3" ht="13.2" x14ac:dyDescent="0.25">
      <c r="A861" s="6">
        <v>859</v>
      </c>
      <c r="B861" s="7">
        <v>130.36299133300781</v>
      </c>
      <c r="C861" s="3">
        <f t="shared" si="9"/>
        <v>0.58765681975649309</v>
      </c>
    </row>
    <row r="862" spans="1:3" ht="13.2" x14ac:dyDescent="0.25">
      <c r="A862" s="6">
        <v>860</v>
      </c>
      <c r="B862" s="7">
        <v>124.51268768310547</v>
      </c>
      <c r="C862" s="3">
        <f t="shared" si="9"/>
        <v>0.56243064624179084</v>
      </c>
    </row>
    <row r="863" spans="1:3" ht="13.2" x14ac:dyDescent="0.25">
      <c r="A863" s="6">
        <v>861</v>
      </c>
      <c r="B863" s="7">
        <v>127.20756530761719</v>
      </c>
      <c r="C863" s="3">
        <f t="shared" si="9"/>
        <v>0.53517667168704264</v>
      </c>
    </row>
    <row r="864" spans="1:3" ht="13.2" x14ac:dyDescent="0.25">
      <c r="A864" s="6">
        <v>862</v>
      </c>
      <c r="B864" s="7">
        <v>125.6396484375</v>
      </c>
      <c r="C864" s="3">
        <f t="shared" si="9"/>
        <v>0.55088567381645936</v>
      </c>
    </row>
    <row r="865" spans="1:3" ht="13.2" x14ac:dyDescent="0.25">
      <c r="A865" s="6">
        <v>863</v>
      </c>
      <c r="B865" s="7">
        <v>128.77549743652344</v>
      </c>
      <c r="C865" s="3">
        <f t="shared" si="9"/>
        <v>0.57420085442822444</v>
      </c>
    </row>
    <row r="866" spans="1:3" ht="13.2" x14ac:dyDescent="0.25">
      <c r="A866" s="6">
        <v>864</v>
      </c>
      <c r="B866" s="7">
        <v>125.82582092285156</v>
      </c>
      <c r="C866" s="3">
        <f t="shared" si="9"/>
        <v>0.54942601942165215</v>
      </c>
    </row>
    <row r="867" spans="1:3" ht="13.2" x14ac:dyDescent="0.25">
      <c r="A867" s="6">
        <v>865</v>
      </c>
      <c r="B867" s="7">
        <v>126.61959075927734</v>
      </c>
      <c r="C867" s="3">
        <f t="shared" si="9"/>
        <v>0.53510919227161102</v>
      </c>
    </row>
    <row r="868" spans="1:3" ht="13.2" x14ac:dyDescent="0.25">
      <c r="A868" s="6">
        <v>866</v>
      </c>
      <c r="B868" s="7">
        <v>122.06281280517578</v>
      </c>
      <c r="C868" s="3">
        <f t="shared" si="9"/>
        <v>0.5210671826199651</v>
      </c>
    </row>
    <row r="869" spans="1:3" ht="13.2" x14ac:dyDescent="0.25">
      <c r="A869" s="6">
        <v>867</v>
      </c>
      <c r="B869" s="7">
        <v>117.89802551269531</v>
      </c>
      <c r="C869" s="3">
        <f t="shared" si="9"/>
        <v>0.45191506179718466</v>
      </c>
    </row>
    <row r="870" spans="1:3" ht="13.2" x14ac:dyDescent="0.25">
      <c r="A870" s="6">
        <v>868</v>
      </c>
      <c r="B870" s="7">
        <v>117.57463836669922</v>
      </c>
      <c r="C870" s="3">
        <f t="shared" si="9"/>
        <v>0.45721108395940391</v>
      </c>
    </row>
    <row r="871" spans="1:3" ht="13.2" x14ac:dyDescent="0.25">
      <c r="A871" s="6">
        <v>869</v>
      </c>
      <c r="B871" s="7">
        <v>118.15280914306641</v>
      </c>
      <c r="C871" s="3">
        <f t="shared" si="9"/>
        <v>0.43158942596569128</v>
      </c>
    </row>
    <row r="872" spans="1:3" ht="13.2" x14ac:dyDescent="0.25">
      <c r="A872" s="6">
        <v>870</v>
      </c>
      <c r="B872" s="7">
        <v>117.33945465087891</v>
      </c>
      <c r="C872" s="3">
        <f t="shared" si="9"/>
        <v>0.42860562744911335</v>
      </c>
    </row>
    <row r="873" spans="1:3" ht="13.2" x14ac:dyDescent="0.25">
      <c r="A873" s="6">
        <v>871</v>
      </c>
      <c r="B873" s="7">
        <v>114.43878936767578</v>
      </c>
      <c r="C873" s="3">
        <f t="shared" si="9"/>
        <v>0.39034609521258523</v>
      </c>
    </row>
    <row r="874" spans="1:3" ht="13.2" x14ac:dyDescent="0.25">
      <c r="A874" s="6">
        <v>872</v>
      </c>
      <c r="B874" s="7">
        <v>113.24324798583984</v>
      </c>
      <c r="C874" s="3">
        <f t="shared" si="9"/>
        <v>0.35768837212838317</v>
      </c>
    </row>
    <row r="875" spans="1:3" ht="13.2" x14ac:dyDescent="0.25">
      <c r="A875" s="6">
        <v>873</v>
      </c>
      <c r="B875" s="7">
        <v>114.64457702636719</v>
      </c>
      <c r="C875" s="3">
        <f t="shared" si="9"/>
        <v>0.36607728709740195</v>
      </c>
    </row>
    <row r="876" spans="1:3" ht="13.2" x14ac:dyDescent="0.25">
      <c r="A876" s="6">
        <v>874</v>
      </c>
      <c r="B876" s="7">
        <v>125.32605743408203</v>
      </c>
      <c r="C876" s="3">
        <f t="shared" si="9"/>
        <v>0.41934936336858192</v>
      </c>
    </row>
    <row r="877" spans="1:3" ht="13.2" x14ac:dyDescent="0.25">
      <c r="A877" s="6">
        <v>875</v>
      </c>
      <c r="B877" s="7">
        <v>130.80398559570313</v>
      </c>
      <c r="C877" s="3">
        <f t="shared" si="9"/>
        <v>0.48594117666514047</v>
      </c>
    </row>
    <row r="878" spans="1:3" ht="13.2" x14ac:dyDescent="0.25">
      <c r="A878" s="6">
        <v>876</v>
      </c>
      <c r="B878" s="7">
        <v>125.42404937744141</v>
      </c>
      <c r="C878" s="3">
        <f t="shared" si="9"/>
        <v>0.44273747616668446</v>
      </c>
    </row>
    <row r="879" spans="1:3" ht="13.2" x14ac:dyDescent="0.25">
      <c r="A879" s="6">
        <v>877</v>
      </c>
      <c r="B879" s="7">
        <v>125.40444946289063</v>
      </c>
      <c r="C879" s="3">
        <f t="shared" si="9"/>
        <v>0.45822638071299837</v>
      </c>
    </row>
    <row r="880" spans="1:3" ht="13.2" x14ac:dyDescent="0.25">
      <c r="A880" s="6">
        <v>878</v>
      </c>
      <c r="B880" s="7">
        <v>122.99376678466797</v>
      </c>
      <c r="C880" s="3">
        <f t="shared" si="9"/>
        <v>0.42437494473201265</v>
      </c>
    </row>
    <row r="881" spans="1:3" ht="13.2" x14ac:dyDescent="0.25">
      <c r="A881" s="6">
        <v>879</v>
      </c>
      <c r="B881" s="7">
        <v>122.10201263427734</v>
      </c>
      <c r="C881" s="3">
        <f t="shared" si="9"/>
        <v>0.38159136051232478</v>
      </c>
    </row>
    <row r="882" spans="1:3" ht="13.2" x14ac:dyDescent="0.25">
      <c r="A882" s="6">
        <v>880</v>
      </c>
      <c r="B882" s="7">
        <v>124.60089874267578</v>
      </c>
      <c r="C882" s="3">
        <f t="shared" si="9"/>
        <v>0.3858168768202358</v>
      </c>
    </row>
    <row r="883" spans="1:3" ht="13.2" x14ac:dyDescent="0.25">
      <c r="A883" s="6">
        <v>881</v>
      </c>
      <c r="B883" s="7">
        <v>130.31401062011719</v>
      </c>
      <c r="C883" s="3">
        <f t="shared" si="9"/>
        <v>0.45087643797954025</v>
      </c>
    </row>
    <row r="884" spans="1:3" ht="13.2" x14ac:dyDescent="0.25">
      <c r="A884" s="6">
        <v>882</v>
      </c>
      <c r="B884" s="7">
        <v>131.80354309082031</v>
      </c>
      <c r="C884" s="3">
        <f t="shared" si="9"/>
        <v>0.46833223151495063</v>
      </c>
    </row>
    <row r="885" spans="1:3" ht="13.2" x14ac:dyDescent="0.25">
      <c r="A885" s="6">
        <v>883</v>
      </c>
      <c r="B885" s="7">
        <v>135.05699157714844</v>
      </c>
      <c r="C885" s="3">
        <f t="shared" si="9"/>
        <v>0.4837112632037473</v>
      </c>
    </row>
    <row r="886" spans="1:3" ht="13.2" x14ac:dyDescent="0.25">
      <c r="A886" s="6">
        <v>884</v>
      </c>
      <c r="B886" s="7">
        <v>134.1064453125</v>
      </c>
      <c r="C886" s="3">
        <f t="shared" si="9"/>
        <v>0.46518782714556323</v>
      </c>
    </row>
    <row r="887" spans="1:3" ht="13.2" x14ac:dyDescent="0.25">
      <c r="A887" s="6">
        <v>885</v>
      </c>
      <c r="B887" s="7">
        <v>134.65518188476563</v>
      </c>
      <c r="C887" s="3">
        <f t="shared" si="9"/>
        <v>0.46616830630631018</v>
      </c>
    </row>
    <row r="888" spans="1:3" ht="13.2" x14ac:dyDescent="0.25">
      <c r="A888" s="6">
        <v>886</v>
      </c>
      <c r="B888" s="7">
        <v>133.48905944824219</v>
      </c>
      <c r="C888" s="3">
        <f t="shared" si="9"/>
        <v>0.47834100774613647</v>
      </c>
    </row>
    <row r="889" spans="1:3" ht="13.2" x14ac:dyDescent="0.25">
      <c r="A889" s="6">
        <v>887</v>
      </c>
      <c r="B889" s="7">
        <v>135.595947265625</v>
      </c>
      <c r="C889" s="3">
        <f t="shared" si="9"/>
        <v>0.51759267619378069</v>
      </c>
    </row>
    <row r="890" spans="1:3" ht="13.2" x14ac:dyDescent="0.25">
      <c r="A890" s="6">
        <v>888</v>
      </c>
      <c r="B890" s="7">
        <v>134.94918823242188</v>
      </c>
      <c r="C890" s="3">
        <f t="shared" si="9"/>
        <v>0.52560894902321398</v>
      </c>
    </row>
    <row r="891" spans="1:3" ht="13.2" x14ac:dyDescent="0.25">
      <c r="A891" s="6">
        <v>889</v>
      </c>
      <c r="B891" s="7">
        <v>137.30107116699219</v>
      </c>
      <c r="C891" s="3">
        <f t="shared" si="9"/>
        <v>0.53658832329132622</v>
      </c>
    </row>
    <row r="892" spans="1:3" ht="13.2" x14ac:dyDescent="0.25">
      <c r="A892" s="6">
        <v>890</v>
      </c>
      <c r="B892" s="7">
        <v>138.28103637695313</v>
      </c>
      <c r="C892" s="3">
        <f t="shared" si="9"/>
        <v>0.54648129248368693</v>
      </c>
    </row>
    <row r="893" spans="1:3" ht="13.2" x14ac:dyDescent="0.25">
      <c r="A893" s="6">
        <v>891</v>
      </c>
      <c r="B893" s="7">
        <v>146.03244018554688</v>
      </c>
      <c r="C893" s="3">
        <f t="shared" si="9"/>
        <v>0.58302311994772205</v>
      </c>
    </row>
    <row r="894" spans="1:3" ht="13.2" x14ac:dyDescent="0.25">
      <c r="A894" s="6">
        <v>892</v>
      </c>
      <c r="B894" s="7">
        <v>154.38163757324219</v>
      </c>
      <c r="C894" s="3">
        <f t="shared" si="9"/>
        <v>0.6065573463386249</v>
      </c>
    </row>
    <row r="895" spans="1:3" ht="13.2" x14ac:dyDescent="0.25">
      <c r="A895" s="6">
        <v>893</v>
      </c>
      <c r="B895" s="7">
        <v>153.87205505371094</v>
      </c>
      <c r="C895" s="3">
        <f t="shared" ref="C895:C958" si="10">LN(B895/B643)</f>
        <v>0.6132048562278094</v>
      </c>
    </row>
    <row r="896" spans="1:3" ht="13.2" x14ac:dyDescent="0.25">
      <c r="A896" s="6">
        <v>894</v>
      </c>
      <c r="B896" s="7">
        <v>154.32284545898438</v>
      </c>
      <c r="C896" s="3">
        <f t="shared" si="10"/>
        <v>0.65128807431081903</v>
      </c>
    </row>
    <row r="897" spans="1:3" ht="13.2" x14ac:dyDescent="0.25">
      <c r="A897" s="6">
        <v>895</v>
      </c>
      <c r="B897" s="7">
        <v>159.90855407714844</v>
      </c>
      <c r="C897" s="3">
        <f t="shared" si="10"/>
        <v>0.697745913066801</v>
      </c>
    </row>
    <row r="898" spans="1:3" ht="13.2" x14ac:dyDescent="0.25">
      <c r="A898" s="6">
        <v>896</v>
      </c>
      <c r="B898" s="7">
        <v>157.59588623046875</v>
      </c>
      <c r="C898" s="3">
        <f t="shared" si="10"/>
        <v>0.66041821393748823</v>
      </c>
    </row>
    <row r="899" spans="1:3" ht="13.2" x14ac:dyDescent="0.25">
      <c r="A899" s="6">
        <v>897</v>
      </c>
      <c r="B899" s="7">
        <v>161.43730163574219</v>
      </c>
      <c r="C899" s="3">
        <f t="shared" si="10"/>
        <v>0.67561093623435076</v>
      </c>
    </row>
    <row r="900" spans="1:3" ht="13.2" x14ac:dyDescent="0.25">
      <c r="A900" s="6">
        <v>898</v>
      </c>
      <c r="B900" s="7">
        <v>157.34109497070313</v>
      </c>
      <c r="C900" s="3">
        <f t="shared" si="10"/>
        <v>0.65357518895352595</v>
      </c>
    </row>
    <row r="901" spans="1:3" ht="13.2" x14ac:dyDescent="0.25">
      <c r="A901" s="6">
        <v>899</v>
      </c>
      <c r="B901" s="7">
        <v>160.02615356445313</v>
      </c>
      <c r="C901" s="3">
        <f t="shared" si="10"/>
        <v>0.63044681838576</v>
      </c>
    </row>
    <row r="902" spans="1:3" ht="13.2" x14ac:dyDescent="0.25">
      <c r="A902" s="6">
        <v>900</v>
      </c>
      <c r="B902" s="7">
        <v>163.57356262207031</v>
      </c>
      <c r="C902" s="3">
        <f t="shared" si="10"/>
        <v>0.66958853565443988</v>
      </c>
    </row>
    <row r="903" spans="1:3" ht="13.2" x14ac:dyDescent="0.25">
      <c r="A903" s="6">
        <v>901</v>
      </c>
      <c r="B903" s="7">
        <v>166.76821899414063</v>
      </c>
      <c r="C903" s="3">
        <f t="shared" si="10"/>
        <v>0.71437308228880358</v>
      </c>
    </row>
    <row r="904" spans="1:3" ht="13.2" x14ac:dyDescent="0.25">
      <c r="A904" s="6">
        <v>902</v>
      </c>
      <c r="B904" s="7">
        <v>177.30270385742188</v>
      </c>
      <c r="C904" s="3">
        <f t="shared" si="10"/>
        <v>0.77183382501130571</v>
      </c>
    </row>
    <row r="905" spans="1:3" ht="13.2" x14ac:dyDescent="0.25">
      <c r="A905" s="6">
        <v>903</v>
      </c>
      <c r="B905" s="7">
        <v>175.95571899414063</v>
      </c>
      <c r="C905" s="3">
        <f t="shared" si="10"/>
        <v>0.74267380789870263</v>
      </c>
    </row>
    <row r="906" spans="1:3" ht="13.2" x14ac:dyDescent="0.25">
      <c r="A906" s="6">
        <v>904</v>
      </c>
      <c r="B906" s="7">
        <v>175.98521423339844</v>
      </c>
      <c r="C906" s="3">
        <f t="shared" si="10"/>
        <v>0.74655316289015561</v>
      </c>
    </row>
    <row r="907" spans="1:3" ht="13.2" x14ac:dyDescent="0.25">
      <c r="A907" s="6">
        <v>905</v>
      </c>
      <c r="B907" s="7">
        <v>173.20272827148438</v>
      </c>
      <c r="C907" s="3">
        <f t="shared" si="10"/>
        <v>0.71711088392500955</v>
      </c>
    </row>
    <row r="908" spans="1:3" ht="13.2" x14ac:dyDescent="0.25">
      <c r="A908" s="6">
        <v>906</v>
      </c>
      <c r="B908" s="7">
        <v>177.47967529296875</v>
      </c>
      <c r="C908" s="3">
        <f t="shared" si="10"/>
        <v>0.76705132049803371</v>
      </c>
    </row>
    <row r="909" spans="1:3" ht="13.2" x14ac:dyDescent="0.25">
      <c r="A909" s="6">
        <v>907</v>
      </c>
      <c r="B909" s="7">
        <v>178.07943725585938</v>
      </c>
      <c r="C909" s="3">
        <f t="shared" si="10"/>
        <v>0.73394752549675846</v>
      </c>
    </row>
    <row r="910" spans="1:3" ht="13.2" x14ac:dyDescent="0.25">
      <c r="A910" s="6">
        <v>908</v>
      </c>
      <c r="B910" s="7">
        <v>180.38017272949219</v>
      </c>
      <c r="C910" s="3">
        <f t="shared" si="10"/>
        <v>0.76427623540375855</v>
      </c>
    </row>
    <row r="911" spans="1:3" ht="13.2" x14ac:dyDescent="0.25">
      <c r="A911" s="6">
        <v>909</v>
      </c>
      <c r="B911" s="7">
        <v>180.63581848144531</v>
      </c>
      <c r="C911" s="3">
        <f t="shared" si="10"/>
        <v>0.75575840155821472</v>
      </c>
    </row>
    <row r="912" spans="1:3" ht="13.2" x14ac:dyDescent="0.25">
      <c r="A912" s="6">
        <v>910</v>
      </c>
      <c r="B912" s="7">
        <v>185.10942077636719</v>
      </c>
      <c r="C912" s="3">
        <f t="shared" si="10"/>
        <v>0.8110373618900012</v>
      </c>
    </row>
    <row r="913" spans="1:3" ht="13.2" x14ac:dyDescent="0.25">
      <c r="A913" s="6">
        <v>911</v>
      </c>
      <c r="B913" s="7">
        <v>186.04347229003906</v>
      </c>
      <c r="C913" s="3">
        <f t="shared" si="10"/>
        <v>0.81844408632332588</v>
      </c>
    </row>
    <row r="914" spans="1:3" ht="13.2" x14ac:dyDescent="0.25">
      <c r="A914" s="6">
        <v>912</v>
      </c>
      <c r="B914" s="7">
        <v>183.37895202636719</v>
      </c>
      <c r="C914" s="3">
        <f t="shared" si="10"/>
        <v>0.8297751853242763</v>
      </c>
    </row>
    <row r="915" spans="1:3" ht="13.2" x14ac:dyDescent="0.25">
      <c r="A915" s="6">
        <v>913</v>
      </c>
      <c r="B915" s="7">
        <v>176.85043334960938</v>
      </c>
      <c r="C915" s="3">
        <f t="shared" si="10"/>
        <v>0.75983860563699279</v>
      </c>
    </row>
    <row r="916" spans="1:3" ht="13.2" x14ac:dyDescent="0.25">
      <c r="A916" s="6">
        <v>914</v>
      </c>
      <c r="B916" s="7">
        <v>175.19863891601563</v>
      </c>
      <c r="C916" s="3">
        <f t="shared" si="10"/>
        <v>0.75529964899172175</v>
      </c>
    </row>
    <row r="917" spans="1:3" ht="13.2" x14ac:dyDescent="0.25">
      <c r="A917" s="6">
        <v>915</v>
      </c>
      <c r="B917" s="7">
        <v>179.73124694824219</v>
      </c>
      <c r="C917" s="3">
        <f t="shared" si="10"/>
        <v>0.79108134065970337</v>
      </c>
    </row>
    <row r="918" spans="1:3" ht="13.2" x14ac:dyDescent="0.25">
      <c r="A918" s="6">
        <v>916</v>
      </c>
      <c r="B918" s="7">
        <v>180.47848510742188</v>
      </c>
      <c r="C918" s="3">
        <f t="shared" si="10"/>
        <v>0.76261786488302385</v>
      </c>
    </row>
    <row r="919" spans="1:3" ht="13.2" x14ac:dyDescent="0.25">
      <c r="A919" s="6">
        <v>917</v>
      </c>
      <c r="B919" s="7">
        <v>171.59025573730469</v>
      </c>
      <c r="C919" s="3">
        <f t="shared" si="10"/>
        <v>0.67070544326981474</v>
      </c>
    </row>
    <row r="920" spans="1:3" ht="13.2" x14ac:dyDescent="0.25">
      <c r="A920" s="6">
        <v>918</v>
      </c>
      <c r="B920" s="7">
        <v>173.22238159179688</v>
      </c>
      <c r="C920" s="3">
        <f t="shared" si="10"/>
        <v>0.68843029472912054</v>
      </c>
    </row>
    <row r="921" spans="1:3" ht="13.2" x14ac:dyDescent="0.25">
      <c r="A921" s="6">
        <v>919</v>
      </c>
      <c r="B921" s="7">
        <v>173.18305969238281</v>
      </c>
      <c r="C921" s="3">
        <f t="shared" si="10"/>
        <v>0.70949519058783816</v>
      </c>
    </row>
    <row r="922" spans="1:3" ht="13.2" x14ac:dyDescent="0.25">
      <c r="A922" s="6">
        <v>920</v>
      </c>
      <c r="B922" s="7">
        <v>170.69552612304688</v>
      </c>
      <c r="C922" s="3">
        <f t="shared" si="10"/>
        <v>0.67496895096097376</v>
      </c>
    </row>
    <row r="923" spans="1:3" ht="13.2" x14ac:dyDescent="0.25">
      <c r="A923" s="6">
        <v>921</v>
      </c>
      <c r="B923" s="7">
        <v>166.55619812011719</v>
      </c>
      <c r="C923" s="3">
        <f t="shared" si="10"/>
        <v>0.64438008143489711</v>
      </c>
    </row>
    <row r="924" spans="1:3" ht="13.2" x14ac:dyDescent="0.25">
      <c r="A924" s="6">
        <v>922</v>
      </c>
      <c r="B924" s="7">
        <v>165.04205322265625</v>
      </c>
      <c r="C924" s="3">
        <f t="shared" si="10"/>
        <v>0.61613834530015599</v>
      </c>
    </row>
    <row r="925" spans="1:3" ht="13.2" x14ac:dyDescent="0.25">
      <c r="A925" s="6">
        <v>923</v>
      </c>
      <c r="B925" s="7">
        <v>159.5458984375</v>
      </c>
      <c r="C925" s="3">
        <f t="shared" si="10"/>
        <v>0.56706846155431856</v>
      </c>
    </row>
    <row r="926" spans="1:3" ht="13.2" x14ac:dyDescent="0.25">
      <c r="A926" s="6">
        <v>924</v>
      </c>
      <c r="B926" s="7">
        <v>150.71662902832031</v>
      </c>
      <c r="C926" s="3">
        <f t="shared" si="10"/>
        <v>0.53689394367852061</v>
      </c>
    </row>
    <row r="927" spans="1:3" ht="13.2" x14ac:dyDescent="0.25">
      <c r="A927" s="6">
        <v>925</v>
      </c>
      <c r="B927" s="7">
        <v>156.07516479492188</v>
      </c>
      <c r="C927" s="3">
        <f t="shared" si="10"/>
        <v>0.55210357014890554</v>
      </c>
    </row>
    <row r="928" spans="1:3" ht="13.2" x14ac:dyDescent="0.25">
      <c r="A928" s="6">
        <v>926</v>
      </c>
      <c r="B928" s="7">
        <v>150.7952880859375</v>
      </c>
      <c r="C928" s="3">
        <f t="shared" si="10"/>
        <v>0.51877473368091354</v>
      </c>
    </row>
    <row r="929" spans="1:3" ht="13.2" x14ac:dyDescent="0.25">
      <c r="A929" s="6">
        <v>927</v>
      </c>
      <c r="B929" s="7">
        <v>156.26194763183594</v>
      </c>
      <c r="C929" s="3">
        <f t="shared" si="10"/>
        <v>0.54713300839780599</v>
      </c>
    </row>
    <row r="930" spans="1:3" ht="13.2" x14ac:dyDescent="0.25">
      <c r="A930" s="6">
        <v>928</v>
      </c>
      <c r="B930" s="7">
        <v>160.29313659667969</v>
      </c>
      <c r="C930" s="3">
        <f t="shared" si="10"/>
        <v>0.5486266336534803</v>
      </c>
    </row>
    <row r="931" spans="1:3" ht="13.2" x14ac:dyDescent="0.25">
      <c r="A931" s="6">
        <v>929</v>
      </c>
      <c r="B931" s="7">
        <v>158.75933837890625</v>
      </c>
      <c r="C931" s="3">
        <f t="shared" si="10"/>
        <v>0.53985466098652934</v>
      </c>
    </row>
    <row r="932" spans="1:3" ht="13.2" x14ac:dyDescent="0.25">
      <c r="A932" s="6">
        <v>930</v>
      </c>
      <c r="B932" s="7">
        <v>162.77084350585938</v>
      </c>
      <c r="C932" s="3">
        <f t="shared" si="10"/>
        <v>0.54674098023412354</v>
      </c>
    </row>
    <row r="933" spans="1:3" ht="13.2" x14ac:dyDescent="0.25">
      <c r="A933" s="6">
        <v>931</v>
      </c>
      <c r="B933" s="7">
        <v>165.24853515625</v>
      </c>
      <c r="C933" s="3">
        <f t="shared" si="10"/>
        <v>0.5579230883218409</v>
      </c>
    </row>
    <row r="934" spans="1:3" ht="13.2" x14ac:dyDescent="0.25">
      <c r="A934" s="6">
        <v>932</v>
      </c>
      <c r="B934" s="7">
        <v>163.20344543457031</v>
      </c>
      <c r="C934" s="3">
        <f t="shared" si="10"/>
        <v>0.54547002807791212</v>
      </c>
    </row>
    <row r="935" spans="1:3" ht="13.2" x14ac:dyDescent="0.25">
      <c r="A935" s="6">
        <v>933</v>
      </c>
      <c r="B935" s="7">
        <v>158.47418212890625</v>
      </c>
      <c r="C935" s="3">
        <f t="shared" si="10"/>
        <v>0.53164893264679658</v>
      </c>
    </row>
    <row r="936" spans="1:3" ht="13.2" x14ac:dyDescent="0.25">
      <c r="A936" s="6">
        <v>934</v>
      </c>
      <c r="B936" s="7">
        <v>152.41761779785156</v>
      </c>
      <c r="C936" s="3">
        <f t="shared" si="10"/>
        <v>0.50320786293699737</v>
      </c>
    </row>
    <row r="937" spans="1:3" ht="13.2" x14ac:dyDescent="0.25">
      <c r="A937" s="6">
        <v>935</v>
      </c>
      <c r="B937" s="7">
        <v>152.62406921386719</v>
      </c>
      <c r="C937" s="3">
        <f t="shared" si="10"/>
        <v>0.49403507526932755</v>
      </c>
    </row>
    <row r="938" spans="1:3" ht="13.2" x14ac:dyDescent="0.25">
      <c r="A938" s="6">
        <v>936</v>
      </c>
      <c r="B938" s="7">
        <v>158.59217834472656</v>
      </c>
      <c r="C938" s="3">
        <f t="shared" si="10"/>
        <v>0.5358547072385923</v>
      </c>
    </row>
    <row r="939" spans="1:3" ht="13.2" x14ac:dyDescent="0.25">
      <c r="A939" s="6">
        <v>937</v>
      </c>
      <c r="B939" s="7">
        <v>150.83462524414063</v>
      </c>
      <c r="C939" s="3">
        <f t="shared" si="10"/>
        <v>0.46717214122663814</v>
      </c>
    </row>
    <row r="940" spans="1:3" ht="13.2" x14ac:dyDescent="0.25">
      <c r="A940" s="6">
        <v>938</v>
      </c>
      <c r="B940" s="7">
        <v>151.21807861328125</v>
      </c>
      <c r="C940" s="3">
        <f t="shared" si="10"/>
        <v>0.48635219286027231</v>
      </c>
    </row>
    <row r="941" spans="1:3" ht="13.2" x14ac:dyDescent="0.25">
      <c r="A941" s="6">
        <v>939</v>
      </c>
      <c r="B941" s="7">
        <v>148.54374694824219</v>
      </c>
      <c r="C941" s="3">
        <f t="shared" si="10"/>
        <v>0.49260366367312181</v>
      </c>
    </row>
    <row r="942" spans="1:3" ht="13.2" x14ac:dyDescent="0.25">
      <c r="A942" s="6">
        <v>940</v>
      </c>
      <c r="B942" s="7">
        <v>149.4384765625</v>
      </c>
      <c r="C942" s="3">
        <f t="shared" si="10"/>
        <v>0.4937860819047743</v>
      </c>
    </row>
    <row r="943" spans="1:3" ht="13.2" x14ac:dyDescent="0.25">
      <c r="A943" s="6">
        <v>941</v>
      </c>
      <c r="B943" s="7">
        <v>147.01976013183594</v>
      </c>
      <c r="C943" s="3">
        <f t="shared" si="10"/>
        <v>0.47971604555912034</v>
      </c>
    </row>
    <row r="944" spans="1:3" ht="13.2" x14ac:dyDescent="0.25">
      <c r="A944" s="6">
        <v>942</v>
      </c>
      <c r="B944" s="7">
        <v>151.32624816894531</v>
      </c>
      <c r="C944" s="3">
        <f t="shared" si="10"/>
        <v>0.51223714884542182</v>
      </c>
    </row>
    <row r="945" spans="1:3" ht="13.2" x14ac:dyDescent="0.25">
      <c r="A945" s="6">
        <v>943</v>
      </c>
      <c r="B945" s="7">
        <v>147.19676208496094</v>
      </c>
      <c r="C945" s="3">
        <f t="shared" si="10"/>
        <v>0.52193331395749643</v>
      </c>
    </row>
    <row r="946" spans="1:3" ht="13.2" x14ac:dyDescent="0.25">
      <c r="A946" s="6">
        <v>944</v>
      </c>
      <c r="B946" s="7">
        <v>147.15742492675781</v>
      </c>
      <c r="C946" s="3">
        <f t="shared" si="10"/>
        <v>0.5090188817983986</v>
      </c>
    </row>
    <row r="947" spans="1:3" ht="13.2" x14ac:dyDescent="0.25">
      <c r="A947" s="6">
        <v>945</v>
      </c>
      <c r="B947" s="7">
        <v>150.05789184570313</v>
      </c>
      <c r="C947" s="3">
        <f t="shared" si="10"/>
        <v>0.52600467208311141</v>
      </c>
    </row>
    <row r="948" spans="1:3" ht="13.2" x14ac:dyDescent="0.25">
      <c r="A948" s="6">
        <v>946</v>
      </c>
      <c r="B948" s="7">
        <v>151.73919677734375</v>
      </c>
      <c r="C948" s="3">
        <f t="shared" si="10"/>
        <v>0.54864884893204457</v>
      </c>
    </row>
    <row r="949" spans="1:3" ht="13.2" x14ac:dyDescent="0.25">
      <c r="A949" s="6">
        <v>947</v>
      </c>
      <c r="B949" s="7">
        <v>145.22048950195313</v>
      </c>
      <c r="C949" s="3">
        <f t="shared" si="10"/>
        <v>0.50040994403767647</v>
      </c>
    </row>
    <row r="950" spans="1:3" ht="13.2" x14ac:dyDescent="0.25">
      <c r="A950" s="6">
        <v>948</v>
      </c>
      <c r="B950" s="7">
        <v>145.49578857421875</v>
      </c>
      <c r="C950" s="3">
        <f t="shared" si="10"/>
        <v>0.53061091022419526</v>
      </c>
    </row>
    <row r="951" spans="1:3" ht="13.2" x14ac:dyDescent="0.25">
      <c r="A951" s="6">
        <v>949</v>
      </c>
      <c r="B951" s="7">
        <v>145.12217712402344</v>
      </c>
      <c r="C951" s="3">
        <f t="shared" si="10"/>
        <v>0.51907929289092358</v>
      </c>
    </row>
    <row r="952" spans="1:3" ht="13.2" x14ac:dyDescent="0.25">
      <c r="A952" s="6">
        <v>950</v>
      </c>
      <c r="B952" s="7">
        <v>144.79771423339844</v>
      </c>
      <c r="C952" s="3">
        <f t="shared" si="10"/>
        <v>0.52762607458437849</v>
      </c>
    </row>
    <row r="953" spans="1:3" ht="13.2" x14ac:dyDescent="0.25">
      <c r="A953" s="6">
        <v>951</v>
      </c>
      <c r="B953" s="7">
        <v>148.47491455078125</v>
      </c>
      <c r="C953" s="3">
        <f t="shared" si="10"/>
        <v>0.56730649201511629</v>
      </c>
    </row>
    <row r="954" spans="1:3" ht="13.2" x14ac:dyDescent="0.25">
      <c r="A954" s="6">
        <v>952</v>
      </c>
      <c r="B954" s="7">
        <v>144.75837707519531</v>
      </c>
      <c r="C954" s="3">
        <f t="shared" si="10"/>
        <v>0.53089897718861023</v>
      </c>
    </row>
    <row r="955" spans="1:3" ht="13.2" x14ac:dyDescent="0.25">
      <c r="A955" s="6">
        <v>953</v>
      </c>
      <c r="B955" s="7">
        <v>145.15165710449219</v>
      </c>
      <c r="C955" s="3">
        <f t="shared" si="10"/>
        <v>0.52892673712156901</v>
      </c>
    </row>
    <row r="956" spans="1:3" ht="13.2" x14ac:dyDescent="0.25">
      <c r="A956" s="6">
        <v>954</v>
      </c>
      <c r="B956" s="7">
        <v>144.63056945800781</v>
      </c>
      <c r="C956" s="3">
        <f t="shared" si="10"/>
        <v>0.51591174972304266</v>
      </c>
    </row>
    <row r="957" spans="1:3" ht="13.2" x14ac:dyDescent="0.25">
      <c r="A957" s="6">
        <v>955</v>
      </c>
      <c r="B957" s="7">
        <v>143.57852172851563</v>
      </c>
      <c r="C957" s="3">
        <f t="shared" si="10"/>
        <v>0.50399106203521848</v>
      </c>
    </row>
    <row r="958" spans="1:3" ht="13.2" x14ac:dyDescent="0.25">
      <c r="A958" s="6">
        <v>956</v>
      </c>
      <c r="B958" s="7">
        <v>145.42697143554688</v>
      </c>
      <c r="C958" s="3">
        <f t="shared" si="10"/>
        <v>0.49542759911558193</v>
      </c>
    </row>
    <row r="959" spans="1:3" ht="13.2" x14ac:dyDescent="0.25">
      <c r="A959" s="6">
        <v>957</v>
      </c>
      <c r="B959" s="7">
        <v>145.50563049316406</v>
      </c>
      <c r="C959" s="3">
        <f t="shared" ref="C959:C1022" si="11">LN(B959/B707)</f>
        <v>0.50203934736807021</v>
      </c>
    </row>
    <row r="960" spans="1:3" ht="13.2" x14ac:dyDescent="0.25">
      <c r="A960" s="6">
        <v>958</v>
      </c>
      <c r="B960" s="7">
        <v>141.07133483886719</v>
      </c>
      <c r="C960" s="3">
        <f t="shared" si="11"/>
        <v>0.50258186166826113</v>
      </c>
    </row>
    <row r="961" spans="1:3" ht="13.2" x14ac:dyDescent="0.25">
      <c r="A961" s="6">
        <v>959</v>
      </c>
      <c r="B961" s="7">
        <v>137.1483154296875</v>
      </c>
      <c r="C961" s="3">
        <f t="shared" si="11"/>
        <v>0.47552243059417038</v>
      </c>
    </row>
    <row r="962" spans="1:3" ht="13.2" x14ac:dyDescent="0.25">
      <c r="A962" s="6">
        <v>960</v>
      </c>
      <c r="B962" s="7">
        <v>140.11761474609375</v>
      </c>
      <c r="C962" s="3">
        <f t="shared" si="11"/>
        <v>0.49717045587406988</v>
      </c>
    </row>
    <row r="963" spans="1:3" ht="13.2" x14ac:dyDescent="0.25">
      <c r="A963" s="6">
        <v>961</v>
      </c>
      <c r="B963" s="7">
        <v>140.93368530273438</v>
      </c>
      <c r="C963" s="3">
        <f t="shared" si="11"/>
        <v>0.49454649064631784</v>
      </c>
    </row>
    <row r="964" spans="1:3" ht="13.2" x14ac:dyDescent="0.25">
      <c r="A964" s="6">
        <v>962</v>
      </c>
      <c r="B964" s="7">
        <v>144.05046081542969</v>
      </c>
      <c r="C964" s="3">
        <f t="shared" si="11"/>
        <v>0.53093442607419772</v>
      </c>
    </row>
    <row r="965" spans="1:3" ht="13.2" x14ac:dyDescent="0.25">
      <c r="A965" s="6">
        <v>963</v>
      </c>
      <c r="B965" s="7">
        <v>147.54086303710938</v>
      </c>
      <c r="C965" s="3">
        <f t="shared" si="11"/>
        <v>0.55292091481562478</v>
      </c>
    </row>
    <row r="966" spans="1:3" ht="13.2" x14ac:dyDescent="0.25">
      <c r="A966" s="6">
        <v>964</v>
      </c>
      <c r="B966" s="7">
        <v>140.59939575195313</v>
      </c>
      <c r="C966" s="3">
        <f t="shared" si="11"/>
        <v>0.50576495376819441</v>
      </c>
    </row>
    <row r="967" spans="1:3" ht="13.2" x14ac:dyDescent="0.25">
      <c r="A967" s="6">
        <v>965</v>
      </c>
      <c r="B967" s="7">
        <v>141.23846435546875</v>
      </c>
      <c r="C967" s="3">
        <f t="shared" si="11"/>
        <v>0.53982893767545814</v>
      </c>
    </row>
    <row r="968" spans="1:3" ht="13.2" x14ac:dyDescent="0.25">
      <c r="A968" s="6">
        <v>966</v>
      </c>
      <c r="B968" s="7">
        <v>148.140625</v>
      </c>
      <c r="C968" s="3">
        <f t="shared" si="11"/>
        <v>0.58352176399171862</v>
      </c>
    </row>
    <row r="969" spans="1:3" ht="13.2" x14ac:dyDescent="0.25">
      <c r="A969" s="6">
        <v>967</v>
      </c>
      <c r="B969" s="7">
        <v>144.76821899414063</v>
      </c>
      <c r="C969" s="3">
        <f t="shared" si="11"/>
        <v>0.56013990252226653</v>
      </c>
    </row>
    <row r="970" spans="1:3" ht="13.2" x14ac:dyDescent="0.25">
      <c r="A970" s="6">
        <v>968</v>
      </c>
      <c r="B970" s="7">
        <v>142.33967590332031</v>
      </c>
      <c r="C970" s="3">
        <f t="shared" si="11"/>
        <v>0.54169024408115141</v>
      </c>
    </row>
    <row r="971" spans="1:3" ht="13.2" x14ac:dyDescent="0.25">
      <c r="A971" s="6">
        <v>969</v>
      </c>
      <c r="B971" s="7">
        <v>142.08403015136719</v>
      </c>
      <c r="C971" s="3">
        <f t="shared" si="11"/>
        <v>0.54852599626317144</v>
      </c>
    </row>
    <row r="972" spans="1:3" ht="13.2" x14ac:dyDescent="0.25">
      <c r="A972" s="6">
        <v>970</v>
      </c>
      <c r="B972" s="7">
        <v>142.37899780273438</v>
      </c>
      <c r="C972" s="3">
        <f t="shared" si="11"/>
        <v>0.52700590195610097</v>
      </c>
    </row>
    <row r="973" spans="1:3" ht="13.2" x14ac:dyDescent="0.25">
      <c r="A973" s="6">
        <v>971</v>
      </c>
      <c r="B973" s="7">
        <v>146.67564392089844</v>
      </c>
      <c r="C973" s="3">
        <f t="shared" si="11"/>
        <v>0.56360500719047968</v>
      </c>
    </row>
    <row r="974" spans="1:3" ht="13.2" x14ac:dyDescent="0.25">
      <c r="A974" s="6">
        <v>972</v>
      </c>
      <c r="B974" s="7">
        <v>145.42697143554688</v>
      </c>
      <c r="C974" s="3">
        <f t="shared" si="11"/>
        <v>0.56727801832396307</v>
      </c>
    </row>
    <row r="975" spans="1:3" ht="13.2" x14ac:dyDescent="0.25">
      <c r="A975" s="6">
        <v>973</v>
      </c>
      <c r="B975" s="7">
        <v>144.59123229980469</v>
      </c>
      <c r="C975" s="3">
        <f t="shared" si="11"/>
        <v>0.5086616186514733</v>
      </c>
    </row>
    <row r="976" spans="1:3" ht="13.2" x14ac:dyDescent="0.25">
      <c r="A976" s="6">
        <v>974</v>
      </c>
      <c r="B976" s="7">
        <v>142.07420349121094</v>
      </c>
      <c r="C976" s="3">
        <f t="shared" si="11"/>
        <v>0.46650633792264096</v>
      </c>
    </row>
    <row r="977" spans="1:3" ht="13.2" x14ac:dyDescent="0.25">
      <c r="A977" s="6">
        <v>975</v>
      </c>
      <c r="B977" s="7">
        <v>142.07420349121094</v>
      </c>
      <c r="C977" s="3">
        <f t="shared" si="11"/>
        <v>0.48595439799592549</v>
      </c>
    </row>
    <row r="978" spans="1:3" ht="13.2" x14ac:dyDescent="0.25">
      <c r="A978" s="6">
        <v>976</v>
      </c>
      <c r="B978" s="7">
        <v>145.34831237792969</v>
      </c>
      <c r="C978" s="3">
        <f t="shared" si="11"/>
        <v>0.50751131281673623</v>
      </c>
    </row>
    <row r="979" spans="1:3" ht="13.2" x14ac:dyDescent="0.25">
      <c r="A979" s="6">
        <v>977</v>
      </c>
      <c r="B979" s="7">
        <v>143.99147033691406</v>
      </c>
      <c r="C979" s="3">
        <f t="shared" si="11"/>
        <v>0.48308956398848513</v>
      </c>
    </row>
    <row r="980" spans="1:3" ht="13.2" x14ac:dyDescent="0.25">
      <c r="A980" s="6">
        <v>978</v>
      </c>
      <c r="B980" s="7">
        <v>142.58549499511719</v>
      </c>
      <c r="C980" s="3">
        <f t="shared" si="11"/>
        <v>0.50234875232195053</v>
      </c>
    </row>
    <row r="981" spans="1:3" ht="13.2" x14ac:dyDescent="0.25">
      <c r="A981" s="6">
        <v>979</v>
      </c>
      <c r="B981" s="7">
        <v>136.01760864257813</v>
      </c>
      <c r="C981" s="3">
        <f t="shared" si="11"/>
        <v>0.40935482118480654</v>
      </c>
    </row>
    <row r="982" spans="1:3" ht="13.2" x14ac:dyDescent="0.25">
      <c r="A982" s="6">
        <v>980</v>
      </c>
      <c r="B982" s="7">
        <v>138.76078796386719</v>
      </c>
      <c r="C982" s="3">
        <f t="shared" si="11"/>
        <v>0.41209038739541726</v>
      </c>
    </row>
    <row r="983" spans="1:3" ht="13.2" x14ac:dyDescent="0.25">
      <c r="A983" s="6">
        <v>981</v>
      </c>
      <c r="B983" s="7">
        <v>141.23846435546875</v>
      </c>
      <c r="C983" s="3">
        <f t="shared" si="11"/>
        <v>0.40453699954590538</v>
      </c>
    </row>
    <row r="984" spans="1:3" ht="13.2" x14ac:dyDescent="0.25">
      <c r="A984" s="6">
        <v>982</v>
      </c>
      <c r="B984" s="7">
        <v>135.53584289550781</v>
      </c>
      <c r="C984" s="3">
        <f t="shared" si="11"/>
        <v>0.34578542935192547</v>
      </c>
    </row>
    <row r="985" spans="1:3" ht="13.2" x14ac:dyDescent="0.25">
      <c r="A985" s="6">
        <v>983</v>
      </c>
      <c r="B985" s="7">
        <v>134.70994567871094</v>
      </c>
      <c r="C985" s="3">
        <f t="shared" si="11"/>
        <v>0.36583597038143612</v>
      </c>
    </row>
    <row r="986" spans="1:3" ht="13.2" x14ac:dyDescent="0.25">
      <c r="A986" s="6">
        <v>984</v>
      </c>
      <c r="B986" s="7">
        <v>134.46412658691406</v>
      </c>
      <c r="C986" s="3">
        <f t="shared" si="11"/>
        <v>0.33988204701276659</v>
      </c>
    </row>
    <row r="987" spans="1:3" ht="13.2" x14ac:dyDescent="0.25">
      <c r="A987" s="6">
        <v>985</v>
      </c>
      <c r="B987" s="7">
        <v>136.90252685546875</v>
      </c>
      <c r="C987" s="3">
        <f t="shared" si="11"/>
        <v>0.37067000117249937</v>
      </c>
    </row>
    <row r="988" spans="1:3" ht="13.2" x14ac:dyDescent="0.25">
      <c r="A988" s="6">
        <v>986</v>
      </c>
      <c r="B988" s="7">
        <v>136.56820678710938</v>
      </c>
      <c r="C988" s="3">
        <f t="shared" si="11"/>
        <v>0.36739981607239303</v>
      </c>
    </row>
    <row r="989" spans="1:3" ht="13.2" x14ac:dyDescent="0.25">
      <c r="A989" s="6">
        <v>987</v>
      </c>
      <c r="B989" s="7">
        <v>138.56413269042969</v>
      </c>
      <c r="C989" s="3">
        <f t="shared" si="11"/>
        <v>0.35314822836187137</v>
      </c>
    </row>
    <row r="990" spans="1:3" ht="13.2" x14ac:dyDescent="0.25">
      <c r="A990" s="6">
        <v>988</v>
      </c>
      <c r="B990" s="7">
        <v>138.8099365234375</v>
      </c>
      <c r="C990" s="3">
        <f t="shared" si="11"/>
        <v>0.32181408541848411</v>
      </c>
    </row>
    <row r="991" spans="1:3" ht="13.2" x14ac:dyDescent="0.25">
      <c r="A991" s="6">
        <v>989</v>
      </c>
      <c r="B991" s="7">
        <v>132.18309020996094</v>
      </c>
      <c r="C991" s="3">
        <f t="shared" si="11"/>
        <v>0.29425105927145773</v>
      </c>
    </row>
    <row r="992" spans="1:3" ht="13.2" x14ac:dyDescent="0.25">
      <c r="A992" s="6">
        <v>990</v>
      </c>
      <c r="B992" s="7">
        <v>129.45957946777344</v>
      </c>
      <c r="C992" s="3">
        <f t="shared" si="11"/>
        <v>0.28258229919917999</v>
      </c>
    </row>
    <row r="993" spans="1:3" ht="13.2" x14ac:dyDescent="0.25">
      <c r="A993" s="6">
        <v>991</v>
      </c>
      <c r="B993" s="7">
        <v>136.65670776367188</v>
      </c>
      <c r="C993" s="3">
        <f t="shared" si="11"/>
        <v>0.33518790264013359</v>
      </c>
    </row>
    <row r="994" spans="1:3" ht="13.2" x14ac:dyDescent="0.25">
      <c r="A994" s="6">
        <v>992</v>
      </c>
      <c r="B994" s="7">
        <v>137.63993835449219</v>
      </c>
      <c r="C994" s="3">
        <f t="shared" si="11"/>
        <v>0.3528882809827158</v>
      </c>
    </row>
    <row r="995" spans="1:3" ht="13.2" x14ac:dyDescent="0.25">
      <c r="A995" s="6">
        <v>993</v>
      </c>
      <c r="B995" s="7">
        <v>131.75047302246094</v>
      </c>
      <c r="C995" s="3">
        <f t="shared" si="11"/>
        <v>0.28053247712392754</v>
      </c>
    </row>
    <row r="996" spans="1:3" ht="13.2" x14ac:dyDescent="0.25">
      <c r="A996" s="6">
        <v>994</v>
      </c>
      <c r="B996" s="7">
        <v>138.65263366699219</v>
      </c>
      <c r="C996" s="3">
        <f t="shared" si="11"/>
        <v>0.35750023852964063</v>
      </c>
    </row>
    <row r="997" spans="1:3" ht="13.2" x14ac:dyDescent="0.25">
      <c r="A997" s="6">
        <v>995</v>
      </c>
      <c r="B997" s="7">
        <v>139.62600708007813</v>
      </c>
      <c r="C997" s="3">
        <f t="shared" si="11"/>
        <v>0.34873356392228594</v>
      </c>
    </row>
    <row r="998" spans="1:3" ht="13.2" x14ac:dyDescent="0.25">
      <c r="A998" s="6">
        <v>996</v>
      </c>
      <c r="B998" s="7">
        <v>143.27372741699219</v>
      </c>
      <c r="C998" s="3">
        <f t="shared" si="11"/>
        <v>0.38477033196428961</v>
      </c>
    </row>
    <row r="999" spans="1:3" ht="13.2" x14ac:dyDescent="0.25">
      <c r="A999" s="6">
        <v>997</v>
      </c>
      <c r="B999" s="7">
        <v>143.70634460449219</v>
      </c>
      <c r="C999" s="3">
        <f t="shared" si="11"/>
        <v>0.38938665900079933</v>
      </c>
    </row>
    <row r="1000" spans="1:3" ht="13.2" x14ac:dyDescent="0.25">
      <c r="A1000" s="6">
        <v>998</v>
      </c>
      <c r="B1000" s="7">
        <v>143.96197509765625</v>
      </c>
      <c r="C1000" s="3">
        <f t="shared" si="11"/>
        <v>0.3833815935291196</v>
      </c>
    </row>
    <row r="1001" spans="1:3" ht="13.2" x14ac:dyDescent="0.25">
      <c r="A1001" s="6">
        <v>999</v>
      </c>
      <c r="B1001" s="7">
        <v>147.06892395019531</v>
      </c>
      <c r="C1001" s="3">
        <f t="shared" si="11"/>
        <v>0.40076641694533693</v>
      </c>
    </row>
    <row r="1002" spans="1:3" ht="13.2" x14ac:dyDescent="0.25">
      <c r="A1002" s="6">
        <v>1000</v>
      </c>
      <c r="B1002" s="7">
        <v>146.84278869628906</v>
      </c>
      <c r="C1002" s="3">
        <f t="shared" si="11"/>
        <v>0.37497449644618713</v>
      </c>
    </row>
    <row r="1003" spans="1:3" ht="13.2" x14ac:dyDescent="0.25">
      <c r="A1003" s="6">
        <v>1001</v>
      </c>
      <c r="B1003" s="7">
        <v>145.61376953125</v>
      </c>
      <c r="C1003" s="3">
        <f t="shared" si="11"/>
        <v>0.37141218378872515</v>
      </c>
    </row>
    <row r="1004" spans="1:3" ht="13.2" x14ac:dyDescent="0.25">
      <c r="A1004" s="6">
        <v>1002</v>
      </c>
      <c r="B1004" s="7">
        <v>141.19914245605469</v>
      </c>
      <c r="C1004" s="3">
        <f t="shared" si="11"/>
        <v>0.33897669206737668</v>
      </c>
    </row>
    <row r="1005" spans="1:3" ht="13.2" x14ac:dyDescent="0.25">
      <c r="A1005" s="6">
        <v>1003</v>
      </c>
      <c r="B1005" s="7">
        <v>148.09146118164063</v>
      </c>
      <c r="C1005" s="3">
        <f t="shared" si="11"/>
        <v>0.39217568113876738</v>
      </c>
    </row>
    <row r="1006" spans="1:3" ht="13.2" x14ac:dyDescent="0.25">
      <c r="A1006" s="6">
        <v>1004</v>
      </c>
      <c r="B1006" s="7">
        <v>146.38069152832031</v>
      </c>
      <c r="C1006" s="3">
        <f t="shared" si="11"/>
        <v>0.3699885358978231</v>
      </c>
    </row>
    <row r="1007" spans="1:3" ht="13.2" x14ac:dyDescent="0.25">
      <c r="A1007" s="6">
        <v>1005</v>
      </c>
      <c r="B1007" s="7">
        <v>147.19676208496094</v>
      </c>
      <c r="C1007" s="3">
        <f t="shared" si="11"/>
        <v>0.37883241790662342</v>
      </c>
    </row>
    <row r="1008" spans="1:3" ht="13.2" x14ac:dyDescent="0.25">
      <c r="A1008" s="6">
        <v>1006</v>
      </c>
      <c r="B1008" s="7">
        <v>141.21881103515625</v>
      </c>
      <c r="C1008" s="3">
        <f t="shared" si="11"/>
        <v>0.3309108665968219</v>
      </c>
    </row>
    <row r="1009" spans="1:3" ht="13.2" x14ac:dyDescent="0.25">
      <c r="A1009" s="6">
        <v>1007</v>
      </c>
      <c r="B1009" s="7">
        <v>135.69316101074219</v>
      </c>
      <c r="C1009" s="3">
        <f t="shared" si="11"/>
        <v>0.28725428910329809</v>
      </c>
    </row>
    <row r="1010" spans="1:3" ht="13.2" x14ac:dyDescent="0.25">
      <c r="A1010" s="6">
        <v>1008</v>
      </c>
      <c r="B1010" s="7">
        <v>139.21305847167969</v>
      </c>
      <c r="C1010" s="3">
        <f t="shared" si="11"/>
        <v>0.32607179934262054</v>
      </c>
    </row>
    <row r="1011" spans="1:3" ht="13.2" x14ac:dyDescent="0.25">
      <c r="A1011" s="6">
        <v>1009</v>
      </c>
      <c r="B1011" s="7">
        <v>139.95045471191406</v>
      </c>
      <c r="C1011" s="3">
        <f t="shared" si="11"/>
        <v>0.33866003503970821</v>
      </c>
    </row>
    <row r="1012" spans="1:3" ht="13.2" x14ac:dyDescent="0.25">
      <c r="A1012" s="6">
        <v>1010</v>
      </c>
      <c r="B1012" s="7">
        <v>135.2015380859375</v>
      </c>
      <c r="C1012" s="3">
        <f t="shared" si="11"/>
        <v>0.31583992228301833</v>
      </c>
    </row>
    <row r="1013" spans="1:3" ht="13.2" x14ac:dyDescent="0.25">
      <c r="A1013" s="6">
        <v>1011</v>
      </c>
      <c r="B1013" s="7">
        <v>132.73368835449219</v>
      </c>
      <c r="C1013" s="3">
        <f t="shared" si="11"/>
        <v>0.292287952928801</v>
      </c>
    </row>
    <row r="1014" spans="1:3" ht="13.2" x14ac:dyDescent="0.25">
      <c r="A1014" s="6">
        <v>1012</v>
      </c>
      <c r="B1014" s="7">
        <v>134.58212280273438</v>
      </c>
      <c r="C1014" s="3">
        <f t="shared" si="11"/>
        <v>0.27377882841301104</v>
      </c>
    </row>
    <row r="1015" spans="1:3" ht="13.2" x14ac:dyDescent="0.25">
      <c r="A1015" s="6">
        <v>1013</v>
      </c>
      <c r="B1015" s="7">
        <v>132.73368835449219</v>
      </c>
      <c r="C1015" s="3">
        <f t="shared" si="11"/>
        <v>0.20760822935178649</v>
      </c>
    </row>
    <row r="1016" spans="1:3" ht="13.2" x14ac:dyDescent="0.25">
      <c r="A1016" s="6">
        <v>1014</v>
      </c>
      <c r="B1016" s="7">
        <v>136.23391723632813</v>
      </c>
      <c r="C1016" s="3">
        <f t="shared" si="11"/>
        <v>0.22696835625537048</v>
      </c>
    </row>
    <row r="1017" spans="1:3" ht="13.2" x14ac:dyDescent="0.25">
      <c r="A1017" s="6">
        <v>1015</v>
      </c>
      <c r="B1017" s="7">
        <v>128.68284606933594</v>
      </c>
      <c r="C1017" s="3">
        <f t="shared" si="11"/>
        <v>0.2476111639650905</v>
      </c>
    </row>
    <row r="1018" spans="1:3" ht="13.2" x14ac:dyDescent="0.25">
      <c r="A1018" s="6">
        <v>1016</v>
      </c>
      <c r="B1018" s="7">
        <v>124.06175994873047</v>
      </c>
      <c r="C1018" s="3">
        <f t="shared" si="11"/>
        <v>0.17052080499619529</v>
      </c>
    </row>
    <row r="1019" spans="1:3" ht="13.2" x14ac:dyDescent="0.25">
      <c r="A1019" s="6">
        <v>1017</v>
      </c>
      <c r="B1019" s="7">
        <v>130.69844055175781</v>
      </c>
      <c r="C1019" s="3">
        <f t="shared" si="11"/>
        <v>0.16998067296379657</v>
      </c>
    </row>
    <row r="1020" spans="1:3" ht="13.2" x14ac:dyDescent="0.25">
      <c r="A1020" s="6">
        <v>1018</v>
      </c>
      <c r="B1020" s="7">
        <v>137.45310974121094</v>
      </c>
      <c r="C1020" s="3">
        <f t="shared" si="11"/>
        <v>0.22898589379972253</v>
      </c>
    </row>
    <row r="1021" spans="1:3" ht="13.2" x14ac:dyDescent="0.25">
      <c r="A1021" s="6">
        <v>1019</v>
      </c>
      <c r="B1021" s="7">
        <v>137.51210021972656</v>
      </c>
      <c r="C1021" s="3">
        <f t="shared" si="11"/>
        <v>0.20474619271236719</v>
      </c>
    </row>
    <row r="1022" spans="1:3" ht="13.2" x14ac:dyDescent="0.25">
      <c r="A1022" s="6">
        <v>1020</v>
      </c>
      <c r="B1022" s="7">
        <v>131.26869201660156</v>
      </c>
      <c r="C1022" s="3">
        <f t="shared" si="11"/>
        <v>0.16754806662364061</v>
      </c>
    </row>
    <row r="1023" spans="1:3" ht="13.2" x14ac:dyDescent="0.25">
      <c r="A1023" s="6">
        <v>1021</v>
      </c>
      <c r="B1023" s="7">
        <v>137.26629638671875</v>
      </c>
      <c r="C1023" s="3">
        <f t="shared" ref="C1023:C1086" si="12">LN(B1023/B771)</f>
        <v>0.19697037936253253</v>
      </c>
    </row>
    <row r="1024" spans="1:3" ht="13.2" x14ac:dyDescent="0.25">
      <c r="A1024" s="6">
        <v>1022</v>
      </c>
      <c r="B1024" s="7">
        <v>143.01809692382813</v>
      </c>
      <c r="C1024" s="3">
        <f t="shared" si="12"/>
        <v>0.23568578363468035</v>
      </c>
    </row>
    <row r="1025" spans="1:3" ht="13.2" x14ac:dyDescent="0.25">
      <c r="A1025" s="6">
        <v>1023</v>
      </c>
      <c r="B1025" s="7">
        <v>139.07540893554688</v>
      </c>
      <c r="C1025" s="3">
        <f t="shared" si="12"/>
        <v>0.20359695204255585</v>
      </c>
    </row>
    <row r="1026" spans="1:3" ht="13.2" x14ac:dyDescent="0.25">
      <c r="A1026" s="6">
        <v>1024</v>
      </c>
      <c r="B1026" s="7">
        <v>133.42193603515625</v>
      </c>
      <c r="C1026" s="3">
        <f t="shared" si="12"/>
        <v>0.15115598649125755</v>
      </c>
    </row>
    <row r="1027" spans="1:3" ht="13.2" x14ac:dyDescent="0.25">
      <c r="A1027" s="6">
        <v>1025</v>
      </c>
      <c r="B1027" s="7">
        <v>131.26869201660156</v>
      </c>
      <c r="C1027" s="3">
        <f t="shared" si="12"/>
        <v>0.1212077119900095</v>
      </c>
    </row>
    <row r="1028" spans="1:3" ht="13.2" x14ac:dyDescent="0.25">
      <c r="A1028" s="6">
        <v>1026</v>
      </c>
      <c r="B1028" s="7">
        <v>127.21786499023438</v>
      </c>
      <c r="C1028" s="3">
        <f t="shared" si="12"/>
        <v>8.5344458468058826E-2</v>
      </c>
    </row>
    <row r="1029" spans="1:3" ht="13.2" x14ac:dyDescent="0.25">
      <c r="A1029" s="6">
        <v>1027</v>
      </c>
      <c r="B1029" s="7">
        <v>132.50755310058594</v>
      </c>
      <c r="C1029" s="3">
        <f t="shared" si="12"/>
        <v>0.13438173943823237</v>
      </c>
    </row>
    <row r="1030" spans="1:3" ht="13.2" x14ac:dyDescent="0.25">
      <c r="A1030" s="6">
        <v>1028</v>
      </c>
      <c r="B1030" s="7">
        <v>133.61857604980469</v>
      </c>
      <c r="C1030" s="3">
        <f t="shared" si="12"/>
        <v>0.14180584521085257</v>
      </c>
    </row>
    <row r="1031" spans="1:3" ht="13.2" x14ac:dyDescent="0.25">
      <c r="A1031" s="6">
        <v>1029</v>
      </c>
      <c r="B1031" s="7">
        <v>135.67349243164063</v>
      </c>
      <c r="C1031" s="3">
        <f t="shared" si="12"/>
        <v>0.14071909229651397</v>
      </c>
    </row>
    <row r="1032" spans="1:3" ht="13.2" x14ac:dyDescent="0.25">
      <c r="A1032" s="6">
        <v>1030</v>
      </c>
      <c r="B1032" s="7">
        <v>131.11138916015625</v>
      </c>
      <c r="C1032" s="3">
        <f t="shared" si="12"/>
        <v>0.10958100730241679</v>
      </c>
    </row>
    <row r="1033" spans="1:3" ht="13.2" x14ac:dyDescent="0.25">
      <c r="A1033" s="6">
        <v>1031</v>
      </c>
      <c r="B1033" s="7">
        <v>131.06224060058594</v>
      </c>
      <c r="C1033" s="3">
        <f t="shared" si="12"/>
        <v>0.11428120297620421</v>
      </c>
    </row>
    <row r="1034" spans="1:3" ht="13.2" x14ac:dyDescent="0.25">
      <c r="A1034" s="6">
        <v>1032</v>
      </c>
      <c r="B1034" s="7">
        <v>130.62960815429688</v>
      </c>
      <c r="C1034" s="3">
        <f t="shared" si="12"/>
        <v>0.10656376789654727</v>
      </c>
    </row>
    <row r="1035" spans="1:3" ht="13.2" x14ac:dyDescent="0.25">
      <c r="A1035" s="6">
        <v>1033</v>
      </c>
      <c r="B1035" s="7">
        <v>128.75167846679688</v>
      </c>
      <c r="C1035" s="3">
        <f t="shared" si="12"/>
        <v>9.3080486785069194E-2</v>
      </c>
    </row>
    <row r="1036" spans="1:3" ht="13.2" x14ac:dyDescent="0.25">
      <c r="A1036" s="6">
        <v>1034</v>
      </c>
      <c r="B1036" s="7">
        <v>128.26432800292969</v>
      </c>
      <c r="C1036" s="3">
        <f t="shared" si="12"/>
        <v>7.5583641969773019E-2</v>
      </c>
    </row>
    <row r="1037" spans="1:3" ht="13.2" x14ac:dyDescent="0.25">
      <c r="A1037" s="6">
        <v>1035</v>
      </c>
      <c r="B1037" s="7">
        <v>125.13130950927734</v>
      </c>
      <c r="C1037" s="3">
        <f t="shared" si="12"/>
        <v>6.0707991849125433E-2</v>
      </c>
    </row>
    <row r="1038" spans="1:3" ht="13.2" x14ac:dyDescent="0.25">
      <c r="A1038" s="6">
        <v>1036</v>
      </c>
      <c r="B1038" s="7">
        <v>130.31321716308594</v>
      </c>
      <c r="C1038" s="3">
        <f t="shared" si="12"/>
        <v>9.0278380963181762E-2</v>
      </c>
    </row>
    <row r="1039" spans="1:3" ht="13.2" x14ac:dyDescent="0.25">
      <c r="A1039" s="6">
        <v>1037</v>
      </c>
      <c r="B1039" s="7">
        <v>125.4495849609375</v>
      </c>
      <c r="C1039" s="3">
        <f t="shared" si="12"/>
        <v>3.4296437242625773E-2</v>
      </c>
    </row>
    <row r="1040" spans="1:3" ht="13.2" x14ac:dyDescent="0.25">
      <c r="A1040" s="6">
        <v>1038</v>
      </c>
      <c r="B1040" s="7">
        <v>129.59709167480469</v>
      </c>
      <c r="C1040" s="3">
        <f t="shared" si="12"/>
        <v>5.2217021044483287E-2</v>
      </c>
    </row>
    <row r="1041" spans="1:3" ht="13.2" x14ac:dyDescent="0.25">
      <c r="A1041" s="6">
        <v>1039</v>
      </c>
      <c r="B1041" s="7">
        <v>130.45245361328125</v>
      </c>
      <c r="C1041" s="3">
        <f t="shared" si="12"/>
        <v>7.2189330995140744E-2</v>
      </c>
    </row>
    <row r="1042" spans="1:3" ht="13.2" x14ac:dyDescent="0.25">
      <c r="A1042" s="6">
        <v>1040</v>
      </c>
      <c r="B1042" s="7">
        <v>127.18020629882813</v>
      </c>
      <c r="C1042" s="3">
        <f t="shared" si="12"/>
        <v>4.4930249945020123E-2</v>
      </c>
    </row>
    <row r="1043" spans="1:3" ht="13.2" x14ac:dyDescent="0.25">
      <c r="A1043" s="6">
        <v>1041</v>
      </c>
      <c r="B1043" s="7">
        <v>130.90997314453125</v>
      </c>
      <c r="C1043" s="3">
        <f t="shared" si="12"/>
        <v>6.9893773540614851E-2</v>
      </c>
    </row>
    <row r="1044" spans="1:3" ht="13.2" x14ac:dyDescent="0.25">
      <c r="A1044" s="6">
        <v>1042</v>
      </c>
      <c r="B1044" s="7">
        <v>131.04920959472656</v>
      </c>
      <c r="C1044" s="3">
        <f t="shared" si="12"/>
        <v>8.2096735490078981E-2</v>
      </c>
    </row>
    <row r="1045" spans="1:3" ht="13.2" x14ac:dyDescent="0.25">
      <c r="A1045" s="6">
        <v>1043</v>
      </c>
      <c r="B1045" s="7">
        <v>134.46072387695313</v>
      </c>
      <c r="C1045" s="3">
        <f t="shared" si="12"/>
        <v>0.11635596211642656</v>
      </c>
    </row>
    <row r="1046" spans="1:3" ht="13.2" x14ac:dyDescent="0.25">
      <c r="A1046" s="6">
        <v>1044</v>
      </c>
      <c r="B1046" s="7">
        <v>127.51837921142578</v>
      </c>
      <c r="C1046" s="3">
        <f t="shared" si="12"/>
        <v>4.8553293283590905E-2</v>
      </c>
    </row>
    <row r="1047" spans="1:3" ht="13.2" x14ac:dyDescent="0.25">
      <c r="A1047" s="6">
        <v>1045</v>
      </c>
      <c r="B1047" s="7">
        <v>133.35670471191406</v>
      </c>
      <c r="C1047" s="3">
        <f t="shared" si="12"/>
        <v>8.7208002565208581E-2</v>
      </c>
    </row>
    <row r="1048" spans="1:3" ht="13.2" x14ac:dyDescent="0.25">
      <c r="A1048" s="6">
        <v>1046</v>
      </c>
      <c r="B1048" s="7">
        <v>130.54197692871094</v>
      </c>
      <c r="C1048" s="3">
        <f t="shared" si="12"/>
        <v>4.461483195295575E-2</v>
      </c>
    </row>
    <row r="1049" spans="1:3" ht="13.2" x14ac:dyDescent="0.25">
      <c r="A1049" s="6">
        <v>1047</v>
      </c>
      <c r="B1049" s="7">
        <v>131.03927612304688</v>
      </c>
      <c r="C1049" s="3">
        <f t="shared" si="12"/>
        <v>6.0260868391198125E-2</v>
      </c>
    </row>
    <row r="1050" spans="1:3" ht="13.2" x14ac:dyDescent="0.25">
      <c r="A1050" s="6">
        <v>1048</v>
      </c>
      <c r="B1050" s="7">
        <v>126.31489562988281</v>
      </c>
      <c r="C1050" s="3">
        <f t="shared" si="12"/>
        <v>1.9261781020307889E-2</v>
      </c>
    </row>
    <row r="1051" spans="1:3" ht="13.2" x14ac:dyDescent="0.25">
      <c r="A1051" s="6">
        <v>1049</v>
      </c>
      <c r="B1051" s="7">
        <v>125.38991546630859</v>
      </c>
      <c r="C1051" s="3">
        <f t="shared" si="12"/>
        <v>-1.1846421204846112E-2</v>
      </c>
    </row>
    <row r="1052" spans="1:3" ht="13.2" x14ac:dyDescent="0.25">
      <c r="A1052" s="6">
        <v>1050</v>
      </c>
      <c r="B1052" s="7">
        <v>127.58798980712891</v>
      </c>
      <c r="C1052" s="3">
        <f t="shared" si="12"/>
        <v>1.0797104364463904E-2</v>
      </c>
    </row>
    <row r="1053" spans="1:3" ht="13.2" x14ac:dyDescent="0.25">
      <c r="A1053" s="6">
        <v>1051</v>
      </c>
      <c r="B1053" s="7">
        <v>129.30865478515625</v>
      </c>
      <c r="C1053" s="3">
        <f t="shared" si="12"/>
        <v>2.9252516128074023E-2</v>
      </c>
    </row>
    <row r="1054" spans="1:3" ht="13.2" x14ac:dyDescent="0.25">
      <c r="A1054" s="6">
        <v>1052</v>
      </c>
      <c r="B1054" s="7">
        <v>125.86732482910156</v>
      </c>
      <c r="C1054" s="3">
        <f t="shared" si="12"/>
        <v>2.5908076528817193E-3</v>
      </c>
    </row>
    <row r="1055" spans="1:3" ht="13.2" x14ac:dyDescent="0.25">
      <c r="A1055" s="6">
        <v>1053</v>
      </c>
      <c r="B1055" s="7">
        <v>125.61867523193359</v>
      </c>
      <c r="C1055" s="3">
        <f t="shared" si="12"/>
        <v>-1.3801060350481009E-2</v>
      </c>
    </row>
    <row r="1056" spans="1:3" ht="13.2" x14ac:dyDescent="0.25">
      <c r="A1056" s="6">
        <v>1054</v>
      </c>
      <c r="B1056" s="7">
        <v>121.35181427001953</v>
      </c>
      <c r="C1056" s="3">
        <f t="shared" si="12"/>
        <v>-5.3959055773359826E-2</v>
      </c>
    </row>
    <row r="1057" spans="1:3" ht="13.2" x14ac:dyDescent="0.25">
      <c r="A1057" s="6">
        <v>1055</v>
      </c>
      <c r="B1057" s="7">
        <v>119.88974761962891</v>
      </c>
      <c r="C1057" s="3">
        <f t="shared" si="12"/>
        <v>-7.5977716428338768E-2</v>
      </c>
    </row>
    <row r="1058" spans="1:3" ht="13.2" x14ac:dyDescent="0.25">
      <c r="A1058" s="6">
        <v>1056</v>
      </c>
      <c r="B1058" s="7">
        <v>117.59220886230469</v>
      </c>
      <c r="C1058" s="3">
        <f t="shared" si="12"/>
        <v>-9.6008953826198465E-2</v>
      </c>
    </row>
    <row r="1059" spans="1:3" ht="13.2" x14ac:dyDescent="0.25">
      <c r="A1059" s="6">
        <v>1057</v>
      </c>
      <c r="B1059" s="7">
        <v>117.44301605224609</v>
      </c>
      <c r="C1059" s="3">
        <f t="shared" si="12"/>
        <v>-0.10414421053665965</v>
      </c>
    </row>
    <row r="1060" spans="1:3" ht="13.2" x14ac:dyDescent="0.25">
      <c r="A1060" s="6">
        <v>1058</v>
      </c>
      <c r="B1060" s="7">
        <v>120.04888153076172</v>
      </c>
      <c r="C1060" s="3">
        <f t="shared" si="12"/>
        <v>-8.3625861821771702E-2</v>
      </c>
    </row>
    <row r="1061" spans="1:3" ht="13.2" x14ac:dyDescent="0.25">
      <c r="A1061" s="6">
        <v>1059</v>
      </c>
      <c r="B1061" s="7">
        <v>118.73600006103516</v>
      </c>
      <c r="C1061" s="3">
        <f t="shared" si="12"/>
        <v>-6.5985863689572155E-2</v>
      </c>
    </row>
    <row r="1062" spans="1:3" ht="13.2" x14ac:dyDescent="0.25">
      <c r="A1062" s="6">
        <v>1060</v>
      </c>
      <c r="B1062" s="7">
        <v>119.11395263671875</v>
      </c>
      <c r="C1062" s="3">
        <f t="shared" si="12"/>
        <v>-3.5155607504949553E-2</v>
      </c>
    </row>
    <row r="1063" spans="1:3" ht="13.2" x14ac:dyDescent="0.25">
      <c r="A1063" s="6">
        <v>1061</v>
      </c>
      <c r="B1063" s="7">
        <v>115.42396545410156</v>
      </c>
      <c r="C1063" s="3">
        <f t="shared" si="12"/>
        <v>-9.110376607906906E-2</v>
      </c>
    </row>
    <row r="1064" spans="1:3" ht="13.2" x14ac:dyDescent="0.25">
      <c r="A1064" s="6">
        <v>1062</v>
      </c>
      <c r="B1064" s="7">
        <v>117.68171691894531</v>
      </c>
      <c r="C1064" s="3">
        <f t="shared" si="12"/>
        <v>-9.8271867430019033E-2</v>
      </c>
    </row>
    <row r="1065" spans="1:3" ht="13.2" x14ac:dyDescent="0.25">
      <c r="A1065" s="6">
        <v>1063</v>
      </c>
      <c r="B1065" s="7">
        <v>115.07585144042969</v>
      </c>
      <c r="C1065" s="3">
        <f t="shared" si="12"/>
        <v>-9.0241333634658596E-2</v>
      </c>
    </row>
    <row r="1066" spans="1:3" ht="13.2" x14ac:dyDescent="0.25">
      <c r="A1066" s="6">
        <v>1064</v>
      </c>
      <c r="B1066" s="7">
        <v>117.91048431396484</v>
      </c>
      <c r="C1066" s="3">
        <f t="shared" si="12"/>
        <v>-6.0993071580425648E-2</v>
      </c>
    </row>
    <row r="1067" spans="1:3" ht="13.2" x14ac:dyDescent="0.25">
      <c r="A1067" s="6">
        <v>1065</v>
      </c>
      <c r="B1067" s="7">
        <v>118.39783477783203</v>
      </c>
      <c r="C1067" s="3">
        <f t="shared" si="12"/>
        <v>-6.5742814217698453E-2</v>
      </c>
    </row>
    <row r="1068" spans="1:3" ht="13.2" x14ac:dyDescent="0.25">
      <c r="A1068" s="6">
        <v>1066</v>
      </c>
      <c r="B1068" s="7">
        <v>118.05966949462891</v>
      </c>
      <c r="C1068" s="3">
        <f t="shared" si="12"/>
        <v>-7.3473729694982504E-2</v>
      </c>
    </row>
    <row r="1069" spans="1:3" ht="13.2" x14ac:dyDescent="0.25">
      <c r="A1069" s="6">
        <v>1067</v>
      </c>
      <c r="B1069" s="7">
        <v>120.18812561035156</v>
      </c>
      <c r="C1069" s="3">
        <f t="shared" si="12"/>
        <v>-4.2173245015273364E-2</v>
      </c>
    </row>
    <row r="1070" spans="1:3" ht="13.2" x14ac:dyDescent="0.25">
      <c r="A1070" s="6">
        <v>1068</v>
      </c>
      <c r="B1070" s="7">
        <v>116.86614227294922</v>
      </c>
      <c r="C1070" s="3">
        <f t="shared" si="12"/>
        <v>-7.4180932782649409E-2</v>
      </c>
    </row>
    <row r="1071" spans="1:3" ht="13.2" x14ac:dyDescent="0.25">
      <c r="A1071" s="6">
        <v>1069</v>
      </c>
      <c r="B1071" s="7">
        <v>120.13839721679688</v>
      </c>
      <c r="C1071" s="3">
        <f t="shared" si="12"/>
        <v>-7.4587347554353603E-2</v>
      </c>
    </row>
    <row r="1072" spans="1:3" ht="13.2" x14ac:dyDescent="0.25">
      <c r="A1072" s="6">
        <v>1070</v>
      </c>
      <c r="B1072" s="7">
        <v>119.55157470703125</v>
      </c>
      <c r="C1072" s="3">
        <f t="shared" si="12"/>
        <v>-9.8233444696327957E-2</v>
      </c>
    </row>
    <row r="1073" spans="1:3" ht="13.2" x14ac:dyDescent="0.25">
      <c r="A1073" s="6">
        <v>1071</v>
      </c>
      <c r="B1073" s="7">
        <v>120.09860992431641</v>
      </c>
      <c r="C1073" s="3">
        <f t="shared" si="12"/>
        <v>-8.1031930206479419E-2</v>
      </c>
    </row>
    <row r="1074" spans="1:3" ht="13.2" x14ac:dyDescent="0.25">
      <c r="A1074" s="6">
        <v>1072</v>
      </c>
      <c r="B1074" s="7">
        <v>120.34725952148438</v>
      </c>
      <c r="C1074" s="3">
        <f t="shared" si="12"/>
        <v>-8.6758780071338581E-2</v>
      </c>
    </row>
    <row r="1075" spans="1:3" ht="13.2" x14ac:dyDescent="0.25">
      <c r="A1075" s="6">
        <v>1073</v>
      </c>
      <c r="B1075" s="7">
        <v>118.49729919433594</v>
      </c>
      <c r="C1075" s="3">
        <f t="shared" si="12"/>
        <v>-7.031345326237036E-2</v>
      </c>
    </row>
    <row r="1076" spans="1:3" ht="13.2" x14ac:dyDescent="0.25">
      <c r="A1076" s="6">
        <v>1074</v>
      </c>
      <c r="B1076" s="7">
        <v>118.09944915771484</v>
      </c>
      <c r="C1076" s="3">
        <f t="shared" si="12"/>
        <v>-7.5755588926731482E-2</v>
      </c>
    </row>
    <row r="1077" spans="1:3" ht="13.2" x14ac:dyDescent="0.25">
      <c r="A1077" s="6">
        <v>1075</v>
      </c>
      <c r="B1077" s="7">
        <v>121.01364898681641</v>
      </c>
      <c r="C1077" s="3">
        <f t="shared" si="12"/>
        <v>-9.2816589154873536E-2</v>
      </c>
    </row>
    <row r="1078" spans="1:3" ht="13.2" x14ac:dyDescent="0.25">
      <c r="A1078" s="6">
        <v>1076</v>
      </c>
      <c r="B1078" s="7">
        <v>119.54163360595703</v>
      </c>
      <c r="C1078" s="3">
        <f t="shared" si="12"/>
        <v>-8.5605388723891396E-2</v>
      </c>
    </row>
    <row r="1079" spans="1:3" ht="13.2" x14ac:dyDescent="0.25">
      <c r="A1079" s="6">
        <v>1077</v>
      </c>
      <c r="B1079" s="7">
        <v>115.89142608642578</v>
      </c>
      <c r="C1079" s="3">
        <f t="shared" si="12"/>
        <v>-0.14991802157343637</v>
      </c>
    </row>
    <row r="1080" spans="1:3" ht="13.2" x14ac:dyDescent="0.25">
      <c r="A1080" s="6">
        <v>1078</v>
      </c>
      <c r="B1080" s="7">
        <v>115.67262268066406</v>
      </c>
      <c r="C1080" s="3">
        <f t="shared" si="12"/>
        <v>-0.15253548891069713</v>
      </c>
    </row>
    <row r="1081" spans="1:3" ht="13.2" x14ac:dyDescent="0.25">
      <c r="A1081" s="6">
        <v>1079</v>
      </c>
      <c r="B1081" s="7">
        <v>116.52798461914063</v>
      </c>
      <c r="C1081" s="3">
        <f t="shared" si="12"/>
        <v>-0.14952244408798204</v>
      </c>
    </row>
    <row r="1082" spans="1:3" ht="13.2" x14ac:dyDescent="0.25">
      <c r="A1082" s="6">
        <v>1080</v>
      </c>
      <c r="B1082" s="7">
        <v>120.00910186767578</v>
      </c>
      <c r="C1082" s="3">
        <f t="shared" si="12"/>
        <v>-0.13489398756436369</v>
      </c>
    </row>
    <row r="1083" spans="1:3" ht="13.2" x14ac:dyDescent="0.25">
      <c r="A1083" s="6">
        <v>1081</v>
      </c>
      <c r="B1083" s="7">
        <v>117.34355926513672</v>
      </c>
      <c r="C1083" s="3">
        <f t="shared" si="12"/>
        <v>-0.11828618126589774</v>
      </c>
    </row>
    <row r="1084" spans="1:3" ht="13.2" x14ac:dyDescent="0.25">
      <c r="A1084" s="6">
        <v>1082</v>
      </c>
      <c r="B1084" s="7">
        <v>115.37423706054688</v>
      </c>
      <c r="C1084" s="3">
        <f t="shared" si="12"/>
        <v>-0.11444479758105543</v>
      </c>
    </row>
    <row r="1085" spans="1:3" ht="13.2" x14ac:dyDescent="0.25">
      <c r="A1085" s="6">
        <v>1083</v>
      </c>
      <c r="B1085" s="7">
        <v>116.93576812744141</v>
      </c>
      <c r="C1085" s="3">
        <f t="shared" si="12"/>
        <v>-0.1301899394082334</v>
      </c>
    </row>
    <row r="1086" spans="1:3" ht="13.2" x14ac:dyDescent="0.25">
      <c r="A1086" s="6">
        <v>1084</v>
      </c>
      <c r="B1086" s="7">
        <v>115.85164642333984</v>
      </c>
      <c r="C1086" s="3">
        <f t="shared" si="12"/>
        <v>-0.14383565877161406</v>
      </c>
    </row>
    <row r="1087" spans="1:3" ht="13.2" x14ac:dyDescent="0.25">
      <c r="A1087" s="6">
        <v>1085</v>
      </c>
      <c r="B1087" s="7">
        <v>114.87693023681641</v>
      </c>
      <c r="C1087" s="3">
        <f t="shared" ref="C1087:C1150" si="13">LN(B1087/B835)</f>
        <v>-0.13163489742018178</v>
      </c>
    </row>
    <row r="1088" spans="1:3" ht="13.2" x14ac:dyDescent="0.25">
      <c r="A1088" s="6">
        <v>1086</v>
      </c>
      <c r="B1088" s="7">
        <v>114.32989501953125</v>
      </c>
      <c r="C1088" s="3">
        <f t="shared" si="13"/>
        <v>-0.16348370703138013</v>
      </c>
    </row>
    <row r="1089" spans="1:3" ht="13.2" x14ac:dyDescent="0.25">
      <c r="A1089" s="6">
        <v>1087</v>
      </c>
      <c r="B1089" s="7">
        <v>115.32450103759766</v>
      </c>
      <c r="C1089" s="3">
        <f t="shared" si="13"/>
        <v>-0.15000653963642571</v>
      </c>
    </row>
    <row r="1090" spans="1:3" ht="13.2" x14ac:dyDescent="0.25">
      <c r="A1090" s="6">
        <v>1088</v>
      </c>
      <c r="B1090" s="7">
        <v>114.65811920166016</v>
      </c>
      <c r="C1090" s="3">
        <f t="shared" si="13"/>
        <v>-0.15675195960475555</v>
      </c>
    </row>
    <row r="1091" spans="1:3" ht="13.2" x14ac:dyDescent="0.25">
      <c r="A1091" s="6">
        <v>1089</v>
      </c>
      <c r="B1091" s="7">
        <v>117.21425628662109</v>
      </c>
      <c r="C1091" s="3">
        <f t="shared" si="13"/>
        <v>-0.14949888864481431</v>
      </c>
    </row>
    <row r="1092" spans="1:3" ht="13.2" x14ac:dyDescent="0.25">
      <c r="A1092" s="6">
        <v>1090</v>
      </c>
      <c r="B1092" s="7">
        <v>116.18981170654297</v>
      </c>
      <c r="C1092" s="3">
        <f t="shared" si="13"/>
        <v>-0.14362769576357759</v>
      </c>
    </row>
    <row r="1093" spans="1:3" ht="13.2" x14ac:dyDescent="0.25">
      <c r="A1093" s="6">
        <v>1091</v>
      </c>
      <c r="B1093" s="7">
        <v>118.36800384521484</v>
      </c>
      <c r="C1093" s="3">
        <f t="shared" si="13"/>
        <v>-0.1314628798726849</v>
      </c>
    </row>
    <row r="1094" spans="1:3" ht="13.2" x14ac:dyDescent="0.25">
      <c r="A1094" s="6">
        <v>1092</v>
      </c>
      <c r="B1094" s="7">
        <v>118.24864196777344</v>
      </c>
      <c r="C1094" s="3">
        <f t="shared" si="13"/>
        <v>-0.18369256839653703</v>
      </c>
    </row>
    <row r="1095" spans="1:3" ht="13.2" x14ac:dyDescent="0.25">
      <c r="A1095" s="6">
        <v>1093</v>
      </c>
      <c r="B1095" s="7">
        <v>121.09321594238281</v>
      </c>
      <c r="C1095" s="3">
        <f t="shared" si="13"/>
        <v>-0.11181726286502432</v>
      </c>
    </row>
    <row r="1096" spans="1:3" ht="13.2" x14ac:dyDescent="0.25">
      <c r="A1096" s="6">
        <v>1094</v>
      </c>
      <c r="B1096" s="7">
        <v>117.85079956054688</v>
      </c>
      <c r="C1096" s="3">
        <f t="shared" si="13"/>
        <v>-0.15681661156357135</v>
      </c>
    </row>
    <row r="1097" spans="1:3" ht="13.2" x14ac:dyDescent="0.25">
      <c r="A1097" s="6">
        <v>1095</v>
      </c>
      <c r="B1097" s="7">
        <v>116.06051635742188</v>
      </c>
      <c r="C1097" s="3">
        <f t="shared" si="13"/>
        <v>-0.1919715701986415</v>
      </c>
    </row>
    <row r="1098" spans="1:3" ht="13.2" x14ac:dyDescent="0.25">
      <c r="A1098" s="6">
        <v>1096</v>
      </c>
      <c r="B1098" s="7">
        <v>122.41604614257813</v>
      </c>
      <c r="C1098" s="3">
        <f t="shared" si="13"/>
        <v>-0.10073516760111184</v>
      </c>
    </row>
    <row r="1099" spans="1:3" ht="13.2" x14ac:dyDescent="0.25">
      <c r="A1099" s="6">
        <v>1097</v>
      </c>
      <c r="B1099" s="7">
        <v>121.40154266357422</v>
      </c>
      <c r="C1099" s="3">
        <f t="shared" si="13"/>
        <v>-0.10099060539991742</v>
      </c>
    </row>
    <row r="1100" spans="1:3" ht="13.2" x14ac:dyDescent="0.25">
      <c r="A1100" s="6">
        <v>1098</v>
      </c>
      <c r="B1100" s="7">
        <v>124.8031005859375</v>
      </c>
      <c r="C1100" s="3">
        <f t="shared" si="13"/>
        <v>-2.0776190592415259E-2</v>
      </c>
    </row>
    <row r="1101" spans="1:3" ht="13.2" x14ac:dyDescent="0.25">
      <c r="A1101" s="6">
        <v>1099</v>
      </c>
      <c r="B1101" s="7">
        <v>121.28219604492188</v>
      </c>
      <c r="C1101" s="3">
        <f t="shared" si="13"/>
        <v>-4.7083593008160125E-2</v>
      </c>
    </row>
    <row r="1102" spans="1:3" ht="13.2" x14ac:dyDescent="0.25">
      <c r="A1102" s="6">
        <v>1100</v>
      </c>
      <c r="B1102" s="7">
        <v>120.88435363769531</v>
      </c>
      <c r="C1102" s="3">
        <f t="shared" si="13"/>
        <v>-5.0985791314949291E-2</v>
      </c>
    </row>
    <row r="1103" spans="1:3" ht="13.2" x14ac:dyDescent="0.25">
      <c r="A1103" s="6">
        <v>1101</v>
      </c>
      <c r="B1103" s="7">
        <v>121.88890838623047</v>
      </c>
      <c r="C1103" s="3">
        <f t="shared" si="13"/>
        <v>-3.7690171172210483E-2</v>
      </c>
    </row>
    <row r="1104" spans="1:3" ht="13.2" x14ac:dyDescent="0.25">
      <c r="A1104" s="6">
        <v>1102</v>
      </c>
      <c r="B1104" s="7">
        <v>118.07956695556641</v>
      </c>
      <c r="C1104" s="3">
        <f t="shared" si="13"/>
        <v>-4.8868972708051087E-2</v>
      </c>
    </row>
    <row r="1105" spans="1:3" ht="13.2" x14ac:dyDescent="0.25">
      <c r="A1105" s="6">
        <v>1103</v>
      </c>
      <c r="B1105" s="7">
        <v>122.91334533691406</v>
      </c>
      <c r="C1105" s="3">
        <f t="shared" si="13"/>
        <v>-1.1319745906207793E-3</v>
      </c>
    </row>
    <row r="1106" spans="1:3" ht="13.2" x14ac:dyDescent="0.25">
      <c r="A1106" s="6">
        <v>1104</v>
      </c>
      <c r="B1106" s="7">
        <v>122.43593597412109</v>
      </c>
      <c r="C1106" s="3">
        <f t="shared" si="13"/>
        <v>-9.4734749345878298E-3</v>
      </c>
    </row>
    <row r="1107" spans="1:3" ht="13.2" x14ac:dyDescent="0.25">
      <c r="A1107" s="6">
        <v>1105</v>
      </c>
      <c r="B1107" s="7">
        <v>120.93407440185547</v>
      </c>
      <c r="C1107" s="3">
        <f t="shared" si="13"/>
        <v>-2.1194386907960275E-3</v>
      </c>
    </row>
    <row r="1108" spans="1:3" ht="13.2" x14ac:dyDescent="0.25">
      <c r="A1108" s="6">
        <v>1106</v>
      </c>
      <c r="B1108" s="7">
        <v>121.50100708007813</v>
      </c>
      <c r="C1108" s="3">
        <f t="shared" si="13"/>
        <v>-3.7387583918926479E-2</v>
      </c>
    </row>
    <row r="1109" spans="1:3" ht="13.2" x14ac:dyDescent="0.25">
      <c r="A1109" s="6">
        <v>1107</v>
      </c>
      <c r="B1109" s="7">
        <v>123.52999877929688</v>
      </c>
      <c r="C1109" s="3">
        <f t="shared" si="13"/>
        <v>-2.4393576079483212E-2</v>
      </c>
    </row>
    <row r="1110" spans="1:3" ht="13.2" x14ac:dyDescent="0.25">
      <c r="A1110" s="6">
        <v>1108</v>
      </c>
      <c r="B1110" s="7">
        <v>124.096923828125</v>
      </c>
      <c r="C1110" s="3">
        <f t="shared" si="13"/>
        <v>-2.5527375174468677E-2</v>
      </c>
    </row>
    <row r="1111" spans="1:3" ht="13.2" x14ac:dyDescent="0.25">
      <c r="A1111" s="6">
        <v>1109</v>
      </c>
      <c r="B1111" s="7">
        <v>123.21172332763672</v>
      </c>
      <c r="C1111" s="3">
        <f t="shared" si="13"/>
        <v>-5.8746320806478028E-2</v>
      </c>
    </row>
    <row r="1112" spans="1:3" ht="13.2" x14ac:dyDescent="0.25">
      <c r="A1112" s="6">
        <v>1110</v>
      </c>
      <c r="B1112" s="7">
        <v>122.24696350097656</v>
      </c>
      <c r="C1112" s="3">
        <f t="shared" si="13"/>
        <v>-6.8180958104440206E-2</v>
      </c>
    </row>
    <row r="1113" spans="1:3" ht="13.2" x14ac:dyDescent="0.25">
      <c r="A1113" s="6">
        <v>1111</v>
      </c>
      <c r="B1113" s="7">
        <v>121.23246002197266</v>
      </c>
      <c r="C1113" s="3">
        <f t="shared" si="13"/>
        <v>-7.2612940674477294E-2</v>
      </c>
    </row>
    <row r="1114" spans="1:3" ht="13.2" x14ac:dyDescent="0.25">
      <c r="A1114" s="6">
        <v>1112</v>
      </c>
      <c r="B1114" s="7">
        <v>120.44672393798828</v>
      </c>
      <c r="C1114" s="3">
        <f t="shared" si="13"/>
        <v>-3.3200089644943233E-2</v>
      </c>
    </row>
    <row r="1115" spans="1:3" ht="13.2" x14ac:dyDescent="0.25">
      <c r="A1115" s="6">
        <v>1113</v>
      </c>
      <c r="B1115" s="7">
        <v>121.12305450439453</v>
      </c>
      <c r="C1115" s="3">
        <f t="shared" si="13"/>
        <v>-4.9013116627514293E-2</v>
      </c>
    </row>
    <row r="1116" spans="1:3" ht="13.2" x14ac:dyDescent="0.25">
      <c r="A1116" s="6">
        <v>1114</v>
      </c>
      <c r="B1116" s="7">
        <v>120.42683410644531</v>
      </c>
      <c r="C1116" s="3">
        <f t="shared" si="13"/>
        <v>-4.2375493813070181E-2</v>
      </c>
    </row>
    <row r="1117" spans="1:3" ht="13.2" x14ac:dyDescent="0.25">
      <c r="A1117" s="6">
        <v>1115</v>
      </c>
      <c r="B1117" s="7">
        <v>118.15913391113281</v>
      </c>
      <c r="C1117" s="3">
        <f t="shared" si="13"/>
        <v>-8.6038249879964224E-2</v>
      </c>
    </row>
    <row r="1118" spans="1:3" ht="13.2" x14ac:dyDescent="0.25">
      <c r="A1118" s="6">
        <v>1116</v>
      </c>
      <c r="B1118" s="7">
        <v>119.34271240234375</v>
      </c>
      <c r="C1118" s="3">
        <f t="shared" si="13"/>
        <v>-5.2899286768936973E-2</v>
      </c>
    </row>
    <row r="1119" spans="1:3" ht="13.2" x14ac:dyDescent="0.25">
      <c r="A1119" s="6">
        <v>1117</v>
      </c>
      <c r="B1119" s="7">
        <v>119.52173614501953</v>
      </c>
      <c r="C1119" s="3">
        <f t="shared" si="13"/>
        <v>-5.7688995814110709E-2</v>
      </c>
    </row>
    <row r="1120" spans="1:3" ht="13.2" x14ac:dyDescent="0.25">
      <c r="A1120" s="6">
        <v>1118</v>
      </c>
      <c r="B1120" s="7">
        <v>118.98464965820313</v>
      </c>
      <c r="C1120" s="3">
        <f t="shared" si="13"/>
        <v>-2.5541280975478545E-2</v>
      </c>
    </row>
    <row r="1121" spans="1:3" ht="13.2" x14ac:dyDescent="0.25">
      <c r="A1121" s="6">
        <v>1119</v>
      </c>
      <c r="B1121" s="7">
        <v>119.21341705322266</v>
      </c>
      <c r="C1121" s="3">
        <f t="shared" si="13"/>
        <v>1.1095247200929761E-2</v>
      </c>
    </row>
    <row r="1122" spans="1:3" ht="13.2" x14ac:dyDescent="0.25">
      <c r="A1122" s="6">
        <v>1120</v>
      </c>
      <c r="B1122" s="7">
        <v>117.23415374755859</v>
      </c>
      <c r="C1122" s="3">
        <f t="shared" si="13"/>
        <v>-2.9001031410685421E-3</v>
      </c>
    </row>
    <row r="1123" spans="1:3" ht="13.2" x14ac:dyDescent="0.25">
      <c r="A1123" s="6">
        <v>1121</v>
      </c>
      <c r="B1123" s="7">
        <v>118.19891357421875</v>
      </c>
      <c r="C1123" s="3">
        <f t="shared" si="13"/>
        <v>3.901340866659698E-4</v>
      </c>
    </row>
    <row r="1124" spans="1:3" ht="13.2" x14ac:dyDescent="0.25">
      <c r="A1124" s="6">
        <v>1122</v>
      </c>
      <c r="B1124" s="7">
        <v>119.93946838378906</v>
      </c>
      <c r="C1124" s="3">
        <f t="shared" si="13"/>
        <v>2.191612949011976E-2</v>
      </c>
    </row>
    <row r="1125" spans="1:3" ht="13.2" x14ac:dyDescent="0.25">
      <c r="A1125" s="6">
        <v>1123</v>
      </c>
      <c r="B1125" s="7">
        <v>122.21711730957031</v>
      </c>
      <c r="C1125" s="3">
        <f t="shared" si="13"/>
        <v>6.5759023736373753E-2</v>
      </c>
    </row>
    <row r="1126" spans="1:3" ht="13.2" x14ac:dyDescent="0.25">
      <c r="A1126" s="6">
        <v>1124</v>
      </c>
      <c r="B1126" s="7">
        <v>118.19891357421875</v>
      </c>
      <c r="C1126" s="3">
        <f t="shared" si="13"/>
        <v>4.2830771358597912E-2</v>
      </c>
    </row>
    <row r="1127" spans="1:3" ht="13.2" x14ac:dyDescent="0.25">
      <c r="A1127" s="6">
        <v>1125</v>
      </c>
      <c r="B1127" s="7">
        <v>117.960205078125</v>
      </c>
      <c r="C1127" s="3">
        <f t="shared" si="13"/>
        <v>2.8510614549631153E-2</v>
      </c>
    </row>
    <row r="1128" spans="1:3" ht="13.2" x14ac:dyDescent="0.25">
      <c r="A1128" s="6">
        <v>1126</v>
      </c>
      <c r="B1128" s="7">
        <v>116.34895324707031</v>
      </c>
      <c r="C1128" s="3">
        <f t="shared" si="13"/>
        <v>-7.4324907528482267E-2</v>
      </c>
    </row>
    <row r="1129" spans="1:3" ht="13.2" x14ac:dyDescent="0.25">
      <c r="A1129" s="6">
        <v>1127</v>
      </c>
      <c r="B1129" s="7">
        <v>123.33107757568359</v>
      </c>
      <c r="C1129" s="3">
        <f t="shared" si="13"/>
        <v>-5.8827482598023041E-2</v>
      </c>
    </row>
    <row r="1130" spans="1:3" ht="13.2" x14ac:dyDescent="0.25">
      <c r="A1130" s="6">
        <v>1128</v>
      </c>
      <c r="B1130" s="7">
        <v>119.18357849121094</v>
      </c>
      <c r="C1130" s="3">
        <f t="shared" si="13"/>
        <v>-5.1035410325050545E-2</v>
      </c>
    </row>
    <row r="1131" spans="1:3" ht="13.2" x14ac:dyDescent="0.25">
      <c r="A1131" s="6">
        <v>1129</v>
      </c>
      <c r="B1131" s="7">
        <v>118.69621276855469</v>
      </c>
      <c r="C1131" s="3">
        <f t="shared" si="13"/>
        <v>-5.4976714532333694E-2</v>
      </c>
    </row>
    <row r="1132" spans="1:3" ht="13.2" x14ac:dyDescent="0.25">
      <c r="A1132" s="6">
        <v>1130</v>
      </c>
      <c r="B1132" s="7">
        <v>117.72150421142578</v>
      </c>
      <c r="C1132" s="3">
        <f t="shared" si="13"/>
        <v>-4.3811976382430617E-2</v>
      </c>
    </row>
    <row r="1133" spans="1:3" ht="13.2" x14ac:dyDescent="0.25">
      <c r="A1133" s="6">
        <v>1131</v>
      </c>
      <c r="B1133" s="7">
        <v>117.41317749023438</v>
      </c>
      <c r="C1133" s="3">
        <f t="shared" si="13"/>
        <v>-3.9157718996765088E-2</v>
      </c>
    </row>
    <row r="1134" spans="1:3" ht="13.2" x14ac:dyDescent="0.25">
      <c r="A1134" s="6">
        <v>1132</v>
      </c>
      <c r="B1134" s="7">
        <v>116.45835113525391</v>
      </c>
      <c r="C1134" s="3">
        <f t="shared" si="13"/>
        <v>-6.7582111248320476E-2</v>
      </c>
    </row>
    <row r="1135" spans="1:3" ht="13.2" x14ac:dyDescent="0.25">
      <c r="A1135" s="6">
        <v>1133</v>
      </c>
      <c r="B1135" s="7">
        <v>117.11479187011719</v>
      </c>
      <c r="C1135" s="3">
        <f t="shared" si="13"/>
        <v>-0.1067924233124302</v>
      </c>
    </row>
    <row r="1136" spans="1:3" ht="13.2" x14ac:dyDescent="0.25">
      <c r="A1136" s="6">
        <v>1134</v>
      </c>
      <c r="B1136" s="7">
        <v>116.29921722412109</v>
      </c>
      <c r="C1136" s="3">
        <f t="shared" si="13"/>
        <v>-0.12514617519407886</v>
      </c>
    </row>
    <row r="1137" spans="1:3" ht="13.2" x14ac:dyDescent="0.25">
      <c r="A1137" s="6">
        <v>1135</v>
      </c>
      <c r="B1137" s="7">
        <v>114.75757598876953</v>
      </c>
      <c r="C1137" s="3">
        <f t="shared" si="13"/>
        <v>-0.16287498073482612</v>
      </c>
    </row>
    <row r="1138" spans="1:3" ht="13.2" x14ac:dyDescent="0.25">
      <c r="A1138" s="6">
        <v>1136</v>
      </c>
      <c r="B1138" s="7">
        <v>117.02528381347656</v>
      </c>
      <c r="C1138" s="3">
        <f t="shared" si="13"/>
        <v>-0.13624384019017796</v>
      </c>
    </row>
    <row r="1139" spans="1:3" ht="13.2" x14ac:dyDescent="0.25">
      <c r="A1139" s="6">
        <v>1137</v>
      </c>
      <c r="B1139" s="7">
        <v>118.95481109619141</v>
      </c>
      <c r="C1139" s="3">
        <f t="shared" si="13"/>
        <v>-0.12397362031724835</v>
      </c>
    </row>
    <row r="1140" spans="1:3" ht="13.2" x14ac:dyDescent="0.25">
      <c r="A1140" s="6">
        <v>1138</v>
      </c>
      <c r="B1140" s="7">
        <v>116.55781555175781</v>
      </c>
      <c r="C1140" s="3">
        <f t="shared" si="13"/>
        <v>-0.13563210204886789</v>
      </c>
    </row>
    <row r="1141" spans="1:3" ht="13.2" x14ac:dyDescent="0.25">
      <c r="A1141" s="6">
        <v>1139</v>
      </c>
      <c r="B1141" s="7">
        <v>115.60299682617188</v>
      </c>
      <c r="C1141" s="3">
        <f t="shared" si="13"/>
        <v>-0.15951760763392653</v>
      </c>
    </row>
    <row r="1142" spans="1:3" ht="13.2" x14ac:dyDescent="0.25">
      <c r="A1142" s="6">
        <v>1140</v>
      </c>
      <c r="B1142" s="7">
        <v>121.41149139404297</v>
      </c>
      <c r="C1142" s="3">
        <f t="shared" si="13"/>
        <v>-0.10571279269710625</v>
      </c>
    </row>
    <row r="1143" spans="1:3" ht="13.2" x14ac:dyDescent="0.25">
      <c r="A1143" s="6">
        <v>1141</v>
      </c>
      <c r="B1143" s="7">
        <v>121.44132995605469</v>
      </c>
      <c r="C1143" s="3">
        <f t="shared" si="13"/>
        <v>-0.1227448492608577</v>
      </c>
    </row>
    <row r="1144" spans="1:3" ht="13.2" x14ac:dyDescent="0.25">
      <c r="A1144" s="6">
        <v>1142</v>
      </c>
      <c r="B1144" s="7">
        <v>120.90424346923828</v>
      </c>
      <c r="C1144" s="3">
        <f t="shared" si="13"/>
        <v>-0.13428925379054207</v>
      </c>
    </row>
    <row r="1145" spans="1:3" ht="13.2" x14ac:dyDescent="0.25">
      <c r="A1145" s="6">
        <v>1143</v>
      </c>
      <c r="B1145" s="7">
        <v>125.81759643554688</v>
      </c>
      <c r="C1145" s="3">
        <f t="shared" si="13"/>
        <v>-0.14899557931803398</v>
      </c>
    </row>
    <row r="1146" spans="1:3" ht="13.2" x14ac:dyDescent="0.25">
      <c r="A1146" s="6">
        <v>1144</v>
      </c>
      <c r="B1146" s="7">
        <v>126.07619476318359</v>
      </c>
      <c r="C1146" s="3">
        <f t="shared" si="13"/>
        <v>-0.20254125835924439</v>
      </c>
    </row>
    <row r="1147" spans="1:3" ht="13.2" x14ac:dyDescent="0.25">
      <c r="A1147" s="6">
        <v>1145</v>
      </c>
      <c r="B1147" s="7">
        <v>121.11310577392578</v>
      </c>
      <c r="C1147" s="3">
        <f t="shared" si="13"/>
        <v>-0.23939657831476327</v>
      </c>
    </row>
    <row r="1148" spans="1:3" ht="13.2" x14ac:dyDescent="0.25">
      <c r="A1148" s="6">
        <v>1146</v>
      </c>
      <c r="B1148" s="7">
        <v>121.77949523925781</v>
      </c>
      <c r="C1148" s="3">
        <f t="shared" si="13"/>
        <v>-0.23683481380533711</v>
      </c>
    </row>
    <row r="1149" spans="1:3" ht="13.2" x14ac:dyDescent="0.25">
      <c r="A1149" s="6">
        <v>1147</v>
      </c>
      <c r="B1149" s="7">
        <v>121.50100708007813</v>
      </c>
      <c r="C1149" s="3">
        <f t="shared" si="13"/>
        <v>-0.2746795633552902</v>
      </c>
    </row>
    <row r="1150" spans="1:3" ht="13.2" x14ac:dyDescent="0.25">
      <c r="A1150" s="6">
        <v>1148</v>
      </c>
      <c r="B1150" s="7">
        <v>120.44672393798828</v>
      </c>
      <c r="C1150" s="3">
        <f t="shared" si="13"/>
        <v>-0.26882654431586323</v>
      </c>
    </row>
    <row r="1151" spans="1:3" ht="13.2" x14ac:dyDescent="0.25">
      <c r="A1151" s="6">
        <v>1149</v>
      </c>
      <c r="B1151" s="7">
        <v>116.96560668945313</v>
      </c>
      <c r="C1151" s="3">
        <f t="shared" ref="C1151:C1214" si="14">LN(B1151/B899)</f>
        <v>-0.32223691045426267</v>
      </c>
    </row>
    <row r="1152" spans="1:3" ht="13.2" x14ac:dyDescent="0.25">
      <c r="A1152" s="6">
        <v>1150</v>
      </c>
      <c r="B1152" s="7">
        <v>115.64277648925781</v>
      </c>
      <c r="C1152" s="3">
        <f t="shared" si="14"/>
        <v>-0.30791010151634773</v>
      </c>
    </row>
    <row r="1153" spans="1:3" ht="13.2" x14ac:dyDescent="0.25">
      <c r="A1153" s="6">
        <v>1151</v>
      </c>
      <c r="B1153" s="7">
        <v>116.70700073242188</v>
      </c>
      <c r="C1153" s="3">
        <f t="shared" si="14"/>
        <v>-0.31567073502218312</v>
      </c>
    </row>
    <row r="1154" spans="1:3" ht="13.2" x14ac:dyDescent="0.25">
      <c r="A1154" s="6">
        <v>1152</v>
      </c>
      <c r="B1154" s="7">
        <v>117.64193725585938</v>
      </c>
      <c r="C1154" s="3">
        <f t="shared" si="14"/>
        <v>-0.32961723223266209</v>
      </c>
    </row>
    <row r="1155" spans="1:3" ht="13.2" x14ac:dyDescent="0.25">
      <c r="A1155" s="6">
        <v>1153</v>
      </c>
      <c r="B1155" s="7">
        <v>119.02443695068359</v>
      </c>
      <c r="C1155" s="3">
        <f t="shared" si="14"/>
        <v>-0.33727611360620463</v>
      </c>
    </row>
    <row r="1156" spans="1:3" ht="13.2" x14ac:dyDescent="0.25">
      <c r="A1156" s="6">
        <v>1154</v>
      </c>
      <c r="B1156" s="7">
        <v>116.97554779052734</v>
      </c>
      <c r="C1156" s="3">
        <f t="shared" si="14"/>
        <v>-0.41589354343447488</v>
      </c>
    </row>
    <row r="1157" spans="1:3" ht="13.2" x14ac:dyDescent="0.25">
      <c r="A1157" s="6">
        <v>1155</v>
      </c>
      <c r="B1157" s="7">
        <v>114.30005645751953</v>
      </c>
      <c r="C1157" s="3">
        <f t="shared" si="14"/>
        <v>-0.43140530201601418</v>
      </c>
    </row>
    <row r="1158" spans="1:3" ht="13.2" x14ac:dyDescent="0.25">
      <c r="A1158" s="6">
        <v>1156</v>
      </c>
      <c r="B1158" s="7">
        <v>110.79904937744141</v>
      </c>
      <c r="C1158" s="3">
        <f t="shared" si="14"/>
        <v>-0.46268178682120387</v>
      </c>
    </row>
    <row r="1159" spans="1:3" ht="13.2" x14ac:dyDescent="0.25">
      <c r="A1159" s="6">
        <v>1157</v>
      </c>
      <c r="B1159" s="7">
        <v>111.40576171875</v>
      </c>
      <c r="C1159" s="3">
        <f t="shared" si="14"/>
        <v>-0.44128370099923564</v>
      </c>
    </row>
    <row r="1160" spans="1:3" ht="13.2" x14ac:dyDescent="0.25">
      <c r="A1160" s="6">
        <v>1158</v>
      </c>
      <c r="B1160" s="7">
        <v>111.71408843994141</v>
      </c>
      <c r="C1160" s="3">
        <f t="shared" si="14"/>
        <v>-0.46291327136194116</v>
      </c>
    </row>
    <row r="1161" spans="1:3" ht="13.2" x14ac:dyDescent="0.25">
      <c r="A1161" s="6">
        <v>1159</v>
      </c>
      <c r="B1161" s="7">
        <v>111.92295074462891</v>
      </c>
      <c r="C1161" s="3">
        <f t="shared" si="14"/>
        <v>-0.46441903268271506</v>
      </c>
    </row>
    <row r="1162" spans="1:3" ht="13.2" x14ac:dyDescent="0.25">
      <c r="A1162" s="6">
        <v>1160</v>
      </c>
      <c r="B1162" s="7">
        <v>112.68880462646484</v>
      </c>
      <c r="C1162" s="3">
        <f t="shared" si="14"/>
        <v>-0.47043661604325554</v>
      </c>
    </row>
    <row r="1163" spans="1:3" ht="13.2" x14ac:dyDescent="0.25">
      <c r="A1163" s="6">
        <v>1161</v>
      </c>
      <c r="B1163" s="7">
        <v>111.3858642578125</v>
      </c>
      <c r="C1163" s="3">
        <f t="shared" si="14"/>
        <v>-0.48348252409940962</v>
      </c>
    </row>
    <row r="1164" spans="1:3" ht="13.2" x14ac:dyDescent="0.25">
      <c r="A1164" s="6">
        <v>1162</v>
      </c>
      <c r="B1164" s="7">
        <v>114.91671752929688</v>
      </c>
      <c r="C1164" s="3">
        <f t="shared" si="14"/>
        <v>-0.47673944327900286</v>
      </c>
    </row>
    <row r="1165" spans="1:3" ht="13.2" x14ac:dyDescent="0.25">
      <c r="A1165" s="6">
        <v>1163</v>
      </c>
      <c r="B1165" s="7">
        <v>115.06591033935547</v>
      </c>
      <c r="C1165" s="3">
        <f t="shared" si="14"/>
        <v>-0.4804752708231908</v>
      </c>
    </row>
    <row r="1166" spans="1:3" ht="13.2" x14ac:dyDescent="0.25">
      <c r="A1166" s="6">
        <v>1164</v>
      </c>
      <c r="B1166" s="7">
        <v>112.00252532958984</v>
      </c>
      <c r="C1166" s="3">
        <f t="shared" si="14"/>
        <v>-0.49303336921375235</v>
      </c>
    </row>
    <row r="1167" spans="1:3" ht="13.2" x14ac:dyDescent="0.25">
      <c r="A1167" s="6">
        <v>1165</v>
      </c>
      <c r="B1167" s="7">
        <v>110.68964385986328</v>
      </c>
      <c r="C1167" s="3">
        <f t="shared" si="14"/>
        <v>-0.46857408209098789</v>
      </c>
    </row>
    <row r="1168" spans="1:3" ht="13.2" x14ac:dyDescent="0.25">
      <c r="A1168" s="6">
        <v>1166</v>
      </c>
      <c r="B1168" s="7">
        <v>112.41030883789063</v>
      </c>
      <c r="C1168" s="3">
        <f t="shared" si="14"/>
        <v>-0.44376476083434629</v>
      </c>
    </row>
    <row r="1169" spans="1:3" ht="13.2" x14ac:dyDescent="0.25">
      <c r="A1169" s="6">
        <v>1167</v>
      </c>
      <c r="B1169" s="7">
        <v>113.23583221435547</v>
      </c>
      <c r="C1169" s="3">
        <f t="shared" si="14"/>
        <v>-0.46199000795969902</v>
      </c>
    </row>
    <row r="1170" spans="1:3" ht="13.2" x14ac:dyDescent="0.25">
      <c r="A1170" s="6">
        <v>1168</v>
      </c>
      <c r="B1170" s="7">
        <v>115.49359130859375</v>
      </c>
      <c r="C1170" s="3">
        <f t="shared" si="14"/>
        <v>-0.4463965326710197</v>
      </c>
    </row>
    <row r="1171" spans="1:3" ht="13.2" x14ac:dyDescent="0.25">
      <c r="A1171" s="6">
        <v>1169</v>
      </c>
      <c r="B1171" s="7">
        <v>112.63906860351563</v>
      </c>
      <c r="C1171" s="3">
        <f t="shared" si="14"/>
        <v>-0.42092077710817138</v>
      </c>
    </row>
    <row r="1172" spans="1:3" ht="13.2" x14ac:dyDescent="0.25">
      <c r="A1172" s="6">
        <v>1170</v>
      </c>
      <c r="B1172" s="7">
        <v>113.94200134277344</v>
      </c>
      <c r="C1172" s="3">
        <f t="shared" si="14"/>
        <v>-0.41888665296972272</v>
      </c>
    </row>
    <row r="1173" spans="1:3" ht="13.2" x14ac:dyDescent="0.25">
      <c r="A1173" s="6">
        <v>1171</v>
      </c>
      <c r="B1173" s="7">
        <v>117.81101989746094</v>
      </c>
      <c r="C1173" s="3">
        <f t="shared" si="14"/>
        <v>-0.38526736920530552</v>
      </c>
    </row>
    <row r="1174" spans="1:3" ht="13.2" x14ac:dyDescent="0.25">
      <c r="A1174" s="6">
        <v>1172</v>
      </c>
      <c r="B1174" s="7">
        <v>119.68087768554688</v>
      </c>
      <c r="C1174" s="3">
        <f t="shared" si="14"/>
        <v>-0.35505257265133316</v>
      </c>
    </row>
    <row r="1175" spans="1:3" ht="13.2" x14ac:dyDescent="0.25">
      <c r="A1175" s="6">
        <v>1173</v>
      </c>
      <c r="B1175" s="7">
        <v>116.56775665283203</v>
      </c>
      <c r="C1175" s="3">
        <f t="shared" si="14"/>
        <v>-0.35686007260728481</v>
      </c>
    </row>
    <row r="1176" spans="1:3" ht="13.2" x14ac:dyDescent="0.25">
      <c r="A1176" s="6">
        <v>1174</v>
      </c>
      <c r="B1176" s="7">
        <v>115.93121337890625</v>
      </c>
      <c r="C1176" s="3">
        <f t="shared" si="14"/>
        <v>-0.35320328233684334</v>
      </c>
    </row>
    <row r="1177" spans="1:3" ht="13.2" x14ac:dyDescent="0.25">
      <c r="A1177" s="6">
        <v>1175</v>
      </c>
      <c r="B1177" s="7">
        <v>116.36884307861328</v>
      </c>
      <c r="C1177" s="3">
        <f t="shared" si="14"/>
        <v>-0.3155668170059816</v>
      </c>
    </row>
    <row r="1178" spans="1:3" ht="13.2" x14ac:dyDescent="0.25">
      <c r="A1178" s="6">
        <v>1176</v>
      </c>
      <c r="B1178" s="7">
        <v>116.18981170654297</v>
      </c>
      <c r="C1178" s="3">
        <f t="shared" si="14"/>
        <v>-0.26017628316081554</v>
      </c>
    </row>
    <row r="1179" spans="1:3" ht="13.2" x14ac:dyDescent="0.25">
      <c r="A1179" s="6">
        <v>1177</v>
      </c>
      <c r="B1179" s="7">
        <v>117.9801025390625</v>
      </c>
      <c r="C1179" s="3">
        <f t="shared" si="14"/>
        <v>-0.27982172912035852</v>
      </c>
    </row>
    <row r="1180" spans="1:3" ht="13.2" x14ac:dyDescent="0.25">
      <c r="A1180" s="6">
        <v>1178</v>
      </c>
      <c r="B1180" s="7">
        <v>119.57147216796875</v>
      </c>
      <c r="C1180" s="3">
        <f t="shared" si="14"/>
        <v>-0.2320089229304492</v>
      </c>
    </row>
    <row r="1181" spans="1:3" ht="13.2" x14ac:dyDescent="0.25">
      <c r="A1181" s="6">
        <v>1179</v>
      </c>
      <c r="B1181" s="7">
        <v>121.03354644775391</v>
      </c>
      <c r="C1181" s="3">
        <f t="shared" si="14"/>
        <v>-0.25546599999520692</v>
      </c>
    </row>
    <row r="1182" spans="1:3" ht="13.2" x14ac:dyDescent="0.25">
      <c r="A1182" s="6">
        <v>1180</v>
      </c>
      <c r="B1182" s="7">
        <v>118.47740936279297</v>
      </c>
      <c r="C1182" s="3">
        <f t="shared" si="14"/>
        <v>-0.30228193859537666</v>
      </c>
    </row>
    <row r="1183" spans="1:3" ht="13.2" x14ac:dyDescent="0.25">
      <c r="A1183" s="6">
        <v>1181</v>
      </c>
      <c r="B1183" s="7">
        <v>119.34271240234375</v>
      </c>
      <c r="C1183" s="3">
        <f t="shared" si="14"/>
        <v>-0.28539017028227814</v>
      </c>
    </row>
    <row r="1184" spans="1:3" ht="13.2" x14ac:dyDescent="0.25">
      <c r="A1184" s="6">
        <v>1182</v>
      </c>
      <c r="B1184" s="7">
        <v>119.14379119873047</v>
      </c>
      <c r="C1184" s="3">
        <f t="shared" si="14"/>
        <v>-0.31201225051465137</v>
      </c>
    </row>
    <row r="1185" spans="1:3" ht="13.2" x14ac:dyDescent="0.25">
      <c r="A1185" s="6">
        <v>1183</v>
      </c>
      <c r="B1185" s="7">
        <v>120.18812561035156</v>
      </c>
      <c r="C1185" s="3">
        <f t="shared" si="14"/>
        <v>-0.31839238566073419</v>
      </c>
    </row>
    <row r="1186" spans="1:3" ht="13.2" x14ac:dyDescent="0.25">
      <c r="A1186" s="6">
        <v>1184</v>
      </c>
      <c r="B1186" s="7">
        <v>117.04517364501953</v>
      </c>
      <c r="C1186" s="3">
        <f t="shared" si="14"/>
        <v>-0.33243759422799884</v>
      </c>
    </row>
    <row r="1187" spans="1:3" ht="13.2" x14ac:dyDescent="0.25">
      <c r="A1187" s="6">
        <v>1185</v>
      </c>
      <c r="B1187" s="7">
        <v>115.99089050292969</v>
      </c>
      <c r="C1187" s="3">
        <f t="shared" si="14"/>
        <v>-0.31208003339734774</v>
      </c>
    </row>
    <row r="1188" spans="1:3" ht="13.2" x14ac:dyDescent="0.25">
      <c r="A1188" s="6">
        <v>1186</v>
      </c>
      <c r="B1188" s="7">
        <v>115.67262268066406</v>
      </c>
      <c r="C1188" s="3">
        <f t="shared" si="14"/>
        <v>-0.27586025604977793</v>
      </c>
    </row>
    <row r="1189" spans="1:3" ht="13.2" x14ac:dyDescent="0.25">
      <c r="A1189" s="6">
        <v>1187</v>
      </c>
      <c r="B1189" s="7">
        <v>116.52798461914063</v>
      </c>
      <c r="C1189" s="3">
        <f t="shared" si="14"/>
        <v>-0.26984637841270182</v>
      </c>
    </row>
    <row r="1190" spans="1:3" ht="13.2" x14ac:dyDescent="0.25">
      <c r="A1190" s="6">
        <v>1188</v>
      </c>
      <c r="B1190" s="7">
        <v>115.45380401611328</v>
      </c>
      <c r="C1190" s="3">
        <f t="shared" si="14"/>
        <v>-0.31746550639061083</v>
      </c>
    </row>
    <row r="1191" spans="1:3" ht="13.2" x14ac:dyDescent="0.25">
      <c r="A1191" s="6">
        <v>1189</v>
      </c>
      <c r="B1191" s="7">
        <v>118.60670471191406</v>
      </c>
      <c r="C1191" s="3">
        <f t="shared" si="14"/>
        <v>-0.2403710224830421</v>
      </c>
    </row>
    <row r="1192" spans="1:3" ht="13.2" x14ac:dyDescent="0.25">
      <c r="A1192" s="6">
        <v>1190</v>
      </c>
      <c r="B1192" s="7">
        <v>121.34186553955078</v>
      </c>
      <c r="C1192" s="3">
        <f t="shared" si="14"/>
        <v>-0.2201111272687776</v>
      </c>
    </row>
    <row r="1193" spans="1:3" ht="13.2" x14ac:dyDescent="0.25">
      <c r="A1193" s="6">
        <v>1191</v>
      </c>
      <c r="B1193" s="7">
        <v>120.90424346923828</v>
      </c>
      <c r="C1193" s="3">
        <f t="shared" si="14"/>
        <v>-0.2058806510970993</v>
      </c>
    </row>
    <row r="1194" spans="1:3" ht="13.2" x14ac:dyDescent="0.25">
      <c r="A1194" s="6">
        <v>1192</v>
      </c>
      <c r="B1194" s="7">
        <v>121.68997955322266</v>
      </c>
      <c r="C1194" s="3">
        <f t="shared" si="14"/>
        <v>-0.20540812079460347</v>
      </c>
    </row>
    <row r="1195" spans="1:3" ht="13.2" x14ac:dyDescent="0.25">
      <c r="A1195" s="6">
        <v>1193</v>
      </c>
      <c r="B1195" s="7">
        <v>121.78943634033203</v>
      </c>
      <c r="C1195" s="3">
        <f t="shared" si="14"/>
        <v>-0.18827337844972278</v>
      </c>
    </row>
    <row r="1196" spans="1:3" ht="13.2" x14ac:dyDescent="0.25">
      <c r="A1196" s="6">
        <v>1194</v>
      </c>
      <c r="B1196" s="7">
        <v>118.97470855712891</v>
      </c>
      <c r="C1196" s="3">
        <f t="shared" si="14"/>
        <v>-0.24052715262055593</v>
      </c>
    </row>
    <row r="1197" spans="1:3" ht="13.2" x14ac:dyDescent="0.25">
      <c r="A1197" s="6">
        <v>1195</v>
      </c>
      <c r="B1197" s="7">
        <v>123.30123901367188</v>
      </c>
      <c r="C1197" s="3">
        <f t="shared" si="14"/>
        <v>-0.17713975045492281</v>
      </c>
    </row>
    <row r="1198" spans="1:3" ht="13.2" x14ac:dyDescent="0.25">
      <c r="A1198" s="6">
        <v>1196</v>
      </c>
      <c r="B1198" s="7">
        <v>123.55984497070313</v>
      </c>
      <c r="C1198" s="3">
        <f t="shared" si="14"/>
        <v>-0.17477731826315818</v>
      </c>
    </row>
    <row r="1199" spans="1:3" ht="13.2" x14ac:dyDescent="0.25">
      <c r="A1199" s="6">
        <v>1197</v>
      </c>
      <c r="B1199" s="7">
        <v>123.33107757568359</v>
      </c>
      <c r="C1199" s="3">
        <f t="shared" si="14"/>
        <v>-0.19614873840040806</v>
      </c>
    </row>
    <row r="1200" spans="1:3" ht="13.2" x14ac:dyDescent="0.25">
      <c r="A1200" s="6">
        <v>1198</v>
      </c>
      <c r="B1200" s="7">
        <v>120.79483032226563</v>
      </c>
      <c r="C1200" s="3">
        <f t="shared" si="14"/>
        <v>-0.22806974724232953</v>
      </c>
    </row>
    <row r="1201" spans="1:3" ht="13.2" x14ac:dyDescent="0.25">
      <c r="A1201" s="6">
        <v>1199</v>
      </c>
      <c r="B1201" s="7">
        <v>121.20262145996094</v>
      </c>
      <c r="C1201" s="3">
        <f t="shared" si="14"/>
        <v>-0.18078950209879535</v>
      </c>
    </row>
    <row r="1202" spans="1:3" ht="13.2" x14ac:dyDescent="0.25">
      <c r="A1202" s="6">
        <v>1200</v>
      </c>
      <c r="B1202" s="7">
        <v>118.05966949462891</v>
      </c>
      <c r="C1202" s="3">
        <f t="shared" si="14"/>
        <v>-0.20895697134645078</v>
      </c>
    </row>
    <row r="1203" spans="1:3" ht="13.2" x14ac:dyDescent="0.25">
      <c r="A1203" s="6">
        <v>1201</v>
      </c>
      <c r="B1203" s="7">
        <v>117.56236267089844</v>
      </c>
      <c r="C1203" s="3">
        <f t="shared" si="14"/>
        <v>-0.21060704956348553</v>
      </c>
    </row>
    <row r="1204" spans="1:3" ht="13.2" x14ac:dyDescent="0.25">
      <c r="A1204" s="6">
        <v>1202</v>
      </c>
      <c r="B1204" s="7">
        <v>115.97100067138672</v>
      </c>
      <c r="C1204" s="3">
        <f t="shared" si="14"/>
        <v>-0.22199752850565166</v>
      </c>
    </row>
    <row r="1205" spans="1:3" ht="13.2" x14ac:dyDescent="0.25">
      <c r="A1205" s="6">
        <v>1203</v>
      </c>
      <c r="B1205" s="7">
        <v>118.71611022949219</v>
      </c>
      <c r="C1205" s="3">
        <f t="shared" si="14"/>
        <v>-0.22368100374639788</v>
      </c>
    </row>
    <row r="1206" spans="1:3" ht="13.2" x14ac:dyDescent="0.25">
      <c r="A1206" s="6">
        <v>1204</v>
      </c>
      <c r="B1206" s="7">
        <v>116.53792572021484</v>
      </c>
      <c r="C1206" s="3">
        <f t="shared" si="14"/>
        <v>-0.21684922480043645</v>
      </c>
    </row>
    <row r="1207" spans="1:3" ht="13.2" x14ac:dyDescent="0.25">
      <c r="A1207" s="6">
        <v>1205</v>
      </c>
      <c r="B1207" s="7">
        <v>119.18357849121094</v>
      </c>
      <c r="C1207" s="3">
        <f t="shared" si="14"/>
        <v>-0.19711412609675186</v>
      </c>
    </row>
    <row r="1208" spans="1:3" ht="13.2" x14ac:dyDescent="0.25">
      <c r="A1208" s="6">
        <v>1206</v>
      </c>
      <c r="B1208" s="7">
        <v>114.72773742675781</v>
      </c>
      <c r="C1208" s="3">
        <f t="shared" si="14"/>
        <v>-0.23162087365597725</v>
      </c>
    </row>
    <row r="1209" spans="1:3" ht="13.2" x14ac:dyDescent="0.25">
      <c r="A1209" s="6">
        <v>1207</v>
      </c>
      <c r="B1209" s="7">
        <v>115.05596160888672</v>
      </c>
      <c r="C1209" s="3">
        <f t="shared" si="14"/>
        <v>-0.22146344260491121</v>
      </c>
    </row>
    <row r="1210" spans="1:3" ht="13.2" x14ac:dyDescent="0.25">
      <c r="A1210" s="6">
        <v>1208</v>
      </c>
      <c r="B1210" s="7">
        <v>116.17986297607422</v>
      </c>
      <c r="C1210" s="3">
        <f t="shared" si="14"/>
        <v>-0.22453451292489007</v>
      </c>
    </row>
    <row r="1211" spans="1:3" ht="13.2" x14ac:dyDescent="0.25">
      <c r="A1211" s="6">
        <v>1209</v>
      </c>
      <c r="B1211" s="7">
        <v>116.61749267578125</v>
      </c>
      <c r="C1211" s="3">
        <f t="shared" si="14"/>
        <v>-0.22131549779787971</v>
      </c>
    </row>
    <row r="1212" spans="1:3" ht="13.2" x14ac:dyDescent="0.25">
      <c r="A1212" s="6">
        <v>1210</v>
      </c>
      <c r="B1212" s="7">
        <v>113.95195007324219</v>
      </c>
      <c r="C1212" s="3">
        <f t="shared" si="14"/>
        <v>-0.21348881432962041</v>
      </c>
    </row>
    <row r="1213" spans="1:3" ht="13.2" x14ac:dyDescent="0.25">
      <c r="A1213" s="6">
        <v>1211</v>
      </c>
      <c r="B1213" s="7">
        <v>113.85249328613281</v>
      </c>
      <c r="C1213" s="3">
        <f t="shared" si="14"/>
        <v>-0.1861592426063092</v>
      </c>
    </row>
    <row r="1214" spans="1:3" ht="13.2" x14ac:dyDescent="0.25">
      <c r="A1214" s="6">
        <v>1212</v>
      </c>
      <c r="B1214" s="7">
        <v>116.07045745849609</v>
      </c>
      <c r="C1214" s="3">
        <f t="shared" si="14"/>
        <v>-0.18828477664541965</v>
      </c>
    </row>
    <row r="1215" spans="1:3" ht="13.2" x14ac:dyDescent="0.25">
      <c r="A1215" s="6">
        <v>1213</v>
      </c>
      <c r="B1215" s="7">
        <v>118.75589752197266</v>
      </c>
      <c r="C1215" s="3">
        <f t="shared" ref="C1215:C1258" si="15">LN(B1215/B963)</f>
        <v>-0.17121935771805813</v>
      </c>
    </row>
    <row r="1216" spans="1:3" ht="13.2" x14ac:dyDescent="0.25">
      <c r="A1216" s="6">
        <v>1214</v>
      </c>
      <c r="B1216" s="7">
        <v>113.59389495849609</v>
      </c>
      <c r="C1216" s="3">
        <f t="shared" si="15"/>
        <v>-0.23753389724142165</v>
      </c>
    </row>
    <row r="1217" spans="1:3" ht="13.2" x14ac:dyDescent="0.25">
      <c r="A1217" s="6">
        <v>1215</v>
      </c>
      <c r="B1217" s="7">
        <v>115.96105194091797</v>
      </c>
      <c r="C1217" s="3">
        <f t="shared" si="15"/>
        <v>-0.24085079935515591</v>
      </c>
    </row>
    <row r="1218" spans="1:3" ht="13.2" x14ac:dyDescent="0.25">
      <c r="A1218" s="6">
        <v>1216</v>
      </c>
      <c r="B1218" s="7">
        <v>116.23954772949219</v>
      </c>
      <c r="C1218" s="3">
        <f t="shared" si="15"/>
        <v>-0.19026155330753408</v>
      </c>
    </row>
    <row r="1219" spans="1:3" ht="13.2" x14ac:dyDescent="0.25">
      <c r="A1219" s="6">
        <v>1217</v>
      </c>
      <c r="B1219" s="7">
        <v>116.65727996826172</v>
      </c>
      <c r="C1219" s="3">
        <f t="shared" si="15"/>
        <v>-0.19120929324806882</v>
      </c>
    </row>
    <row r="1220" spans="1:3" ht="13.2" x14ac:dyDescent="0.25">
      <c r="A1220" s="6">
        <v>1218</v>
      </c>
      <c r="B1220" s="7">
        <v>115.71239471435547</v>
      </c>
      <c r="C1220" s="3">
        <f t="shared" si="15"/>
        <v>-0.24705423505535351</v>
      </c>
    </row>
    <row r="1221" spans="1:3" ht="13.2" x14ac:dyDescent="0.25">
      <c r="A1221" s="6">
        <v>1219</v>
      </c>
      <c r="B1221" s="7">
        <v>117.34355926513672</v>
      </c>
      <c r="C1221" s="3">
        <f t="shared" si="15"/>
        <v>-0.21002793781696402</v>
      </c>
    </row>
    <row r="1222" spans="1:3" ht="13.2" x14ac:dyDescent="0.25">
      <c r="A1222" s="6">
        <v>1220</v>
      </c>
      <c r="B1222" s="7">
        <v>117.50269317626953</v>
      </c>
      <c r="C1222" s="3">
        <f t="shared" si="15"/>
        <v>-0.19175503097868557</v>
      </c>
    </row>
    <row r="1223" spans="1:3" ht="13.2" x14ac:dyDescent="0.25">
      <c r="A1223" s="6">
        <v>1221</v>
      </c>
      <c r="B1223" s="7">
        <v>119.08411407470703</v>
      </c>
      <c r="C1223" s="3">
        <f t="shared" si="15"/>
        <v>-0.17658855982770241</v>
      </c>
    </row>
    <row r="1224" spans="1:3" ht="13.2" x14ac:dyDescent="0.25">
      <c r="A1224" s="6">
        <v>1222</v>
      </c>
      <c r="B1224" s="7">
        <v>118.71611022949219</v>
      </c>
      <c r="C1224" s="3">
        <f t="shared" si="15"/>
        <v>-0.1817574861173413</v>
      </c>
    </row>
    <row r="1225" spans="1:3" ht="13.2" x14ac:dyDescent="0.25">
      <c r="A1225" s="6">
        <v>1223</v>
      </c>
      <c r="B1225" s="7">
        <v>118.59675598144531</v>
      </c>
      <c r="C1225" s="3">
        <f t="shared" si="15"/>
        <v>-0.21249451133471611</v>
      </c>
    </row>
    <row r="1226" spans="1:3" ht="13.2" x14ac:dyDescent="0.25">
      <c r="A1226" s="6">
        <v>1224</v>
      </c>
      <c r="B1226" s="7">
        <v>118.63654327392578</v>
      </c>
      <c r="C1226" s="3">
        <f t="shared" si="15"/>
        <v>-0.20360948493433692</v>
      </c>
    </row>
    <row r="1227" spans="1:3" ht="13.2" x14ac:dyDescent="0.25">
      <c r="A1227" s="6">
        <v>1225</v>
      </c>
      <c r="B1227" s="7">
        <v>123.08242797851563</v>
      </c>
      <c r="C1227" s="3">
        <f t="shared" si="15"/>
        <v>-0.16105639663024121</v>
      </c>
    </row>
    <row r="1228" spans="1:3" ht="13.2" x14ac:dyDescent="0.25">
      <c r="A1228" s="6">
        <v>1226</v>
      </c>
      <c r="B1228" s="7">
        <v>129.14952087402344</v>
      </c>
      <c r="C1228" s="3">
        <f t="shared" si="15"/>
        <v>-9.5378671217816666E-2</v>
      </c>
    </row>
    <row r="1229" spans="1:3" ht="13.2" x14ac:dyDescent="0.25">
      <c r="A1229" s="6">
        <v>1227</v>
      </c>
      <c r="B1229" s="7">
        <v>120.53623962402344</v>
      </c>
      <c r="C1229" s="3">
        <f t="shared" si="15"/>
        <v>-0.16439902942749907</v>
      </c>
    </row>
    <row r="1230" spans="1:3" ht="13.2" x14ac:dyDescent="0.25">
      <c r="A1230" s="6">
        <v>1228</v>
      </c>
      <c r="B1230" s="7">
        <v>115.52342987060547</v>
      </c>
      <c r="C1230" s="3">
        <f t="shared" si="15"/>
        <v>-0.22965965077861633</v>
      </c>
    </row>
    <row r="1231" spans="1:3" ht="13.2" x14ac:dyDescent="0.25">
      <c r="A1231" s="6">
        <v>1229</v>
      </c>
      <c r="B1231" s="7">
        <v>117.65188598632813</v>
      </c>
      <c r="C1231" s="3">
        <f t="shared" si="15"/>
        <v>-0.20202391852226978</v>
      </c>
    </row>
    <row r="1232" spans="1:3" ht="13.2" x14ac:dyDescent="0.25">
      <c r="A1232" s="6">
        <v>1230</v>
      </c>
      <c r="B1232" s="7">
        <v>128.73178100585938</v>
      </c>
      <c r="C1232" s="3">
        <f t="shared" si="15"/>
        <v>-0.10221076189953421</v>
      </c>
    </row>
    <row r="1233" spans="1:3" ht="13.2" x14ac:dyDescent="0.25">
      <c r="A1233" s="6">
        <v>1231</v>
      </c>
      <c r="B1233" s="7">
        <v>130.06455993652344</v>
      </c>
      <c r="C1233" s="3">
        <f t="shared" si="15"/>
        <v>-4.4753410588371734E-2</v>
      </c>
    </row>
    <row r="1234" spans="1:3" ht="13.2" x14ac:dyDescent="0.25">
      <c r="A1234" s="6">
        <v>1232</v>
      </c>
      <c r="B1234" s="7">
        <v>125.67835235595703</v>
      </c>
      <c r="C1234" s="3">
        <f t="shared" si="15"/>
        <v>-9.9025616668430252E-2</v>
      </c>
    </row>
    <row r="1235" spans="1:3" ht="13.2" x14ac:dyDescent="0.25">
      <c r="A1235" s="6">
        <v>1233</v>
      </c>
      <c r="B1235" s="7">
        <v>129.21914672851563</v>
      </c>
      <c r="C1235" s="3">
        <f t="shared" si="15"/>
        <v>-8.8939923549710226E-2</v>
      </c>
    </row>
    <row r="1236" spans="1:3" ht="13.2" x14ac:dyDescent="0.25">
      <c r="A1236" s="6">
        <v>1234</v>
      </c>
      <c r="B1236" s="7">
        <v>127.21999359130859</v>
      </c>
      <c r="C1236" s="3">
        <f t="shared" si="15"/>
        <v>-6.3318307677955168E-2</v>
      </c>
    </row>
    <row r="1237" spans="1:3" ht="13.2" x14ac:dyDescent="0.25">
      <c r="A1237" s="6">
        <v>1235</v>
      </c>
      <c r="B1237" s="7">
        <v>128.98043823242188</v>
      </c>
      <c r="C1237" s="3">
        <f t="shared" si="15"/>
        <v>-4.3463165210455741E-2</v>
      </c>
    </row>
    <row r="1238" spans="1:3" ht="13.2" x14ac:dyDescent="0.25">
      <c r="A1238" s="6">
        <v>1236</v>
      </c>
      <c r="B1238" s="7">
        <v>128.95059204101563</v>
      </c>
      <c r="C1238" s="3">
        <f t="shared" si="15"/>
        <v>-4.1868123079113896E-2</v>
      </c>
    </row>
    <row r="1239" spans="1:3" ht="13.2" x14ac:dyDescent="0.25">
      <c r="A1239" s="6">
        <v>1237</v>
      </c>
      <c r="B1239" s="7">
        <v>131.93441772460938</v>
      </c>
      <c r="C1239" s="3">
        <f t="shared" si="15"/>
        <v>-3.6964226094186418E-2</v>
      </c>
    </row>
    <row r="1240" spans="1:3" ht="13.2" x14ac:dyDescent="0.25">
      <c r="A1240" s="6">
        <v>1238</v>
      </c>
      <c r="B1240" s="7">
        <v>138.58831787109375</v>
      </c>
      <c r="C1240" s="3">
        <f t="shared" si="15"/>
        <v>1.4683623312266733E-2</v>
      </c>
    </row>
    <row r="1241" spans="1:3" ht="13.2" x14ac:dyDescent="0.25">
      <c r="A1241" s="6">
        <v>1239</v>
      </c>
      <c r="B1241" s="7">
        <v>141.19419860839844</v>
      </c>
      <c r="C1241" s="3">
        <f t="shared" si="15"/>
        <v>1.8802967503889295E-2</v>
      </c>
    </row>
    <row r="1242" spans="1:3" ht="13.2" x14ac:dyDescent="0.25">
      <c r="A1242" s="6">
        <v>1240</v>
      </c>
      <c r="B1242" s="7">
        <v>144.20785522460938</v>
      </c>
      <c r="C1242" s="3">
        <f t="shared" si="15"/>
        <v>3.8150063583098519E-2</v>
      </c>
    </row>
    <row r="1243" spans="1:3" ht="13.2" x14ac:dyDescent="0.25">
      <c r="A1243" s="6">
        <v>1241</v>
      </c>
      <c r="B1243" s="7">
        <v>147.67901611328125</v>
      </c>
      <c r="C1243" s="3">
        <f t="shared" si="15"/>
        <v>0.11085309987380131</v>
      </c>
    </row>
    <row r="1244" spans="1:3" ht="13.2" x14ac:dyDescent="0.25">
      <c r="A1244" s="6">
        <v>1242</v>
      </c>
      <c r="B1244" s="7">
        <v>134.88839721679688</v>
      </c>
      <c r="C1244" s="3">
        <f t="shared" si="15"/>
        <v>4.1079044505437923E-2</v>
      </c>
    </row>
    <row r="1245" spans="1:3" ht="13.2" x14ac:dyDescent="0.25">
      <c r="A1245" s="6">
        <v>1243</v>
      </c>
      <c r="B1245" s="7">
        <v>135.64430236816406</v>
      </c>
      <c r="C1245" s="3">
        <f t="shared" si="15"/>
        <v>-7.4359625766340087E-3</v>
      </c>
    </row>
    <row r="1246" spans="1:3" ht="13.2" x14ac:dyDescent="0.25">
      <c r="A1246" s="6">
        <v>1244</v>
      </c>
      <c r="B1246" s="7">
        <v>134.27174377441406</v>
      </c>
      <c r="C1246" s="3">
        <f t="shared" si="15"/>
        <v>-2.4775447980034858E-2</v>
      </c>
    </row>
    <row r="1247" spans="1:3" ht="13.2" x14ac:dyDescent="0.25">
      <c r="A1247" s="6">
        <v>1245</v>
      </c>
      <c r="B1247" s="7">
        <v>130.36294555664063</v>
      </c>
      <c r="C1247" s="3">
        <f t="shared" si="15"/>
        <v>-1.0587328448553583E-2</v>
      </c>
    </row>
    <row r="1248" spans="1:3" ht="13.2" x14ac:dyDescent="0.25">
      <c r="A1248" s="6">
        <v>1246</v>
      </c>
      <c r="B1248" s="7">
        <v>135.77359008789063</v>
      </c>
      <c r="C1248" s="3">
        <f t="shared" si="15"/>
        <v>-2.0983047268775409E-2</v>
      </c>
    </row>
    <row r="1249" spans="1:3" ht="13.2" x14ac:dyDescent="0.25">
      <c r="A1249" s="6">
        <v>1247</v>
      </c>
      <c r="B1249" s="7">
        <v>137.29533386230469</v>
      </c>
      <c r="C1249" s="3">
        <f t="shared" si="15"/>
        <v>-1.6833142895495559E-2</v>
      </c>
    </row>
    <row r="1250" spans="1:3" ht="13.2" x14ac:dyDescent="0.25">
      <c r="A1250" s="6">
        <v>1248</v>
      </c>
      <c r="B1250" s="7">
        <v>131.47689819335938</v>
      </c>
      <c r="C1250" s="3">
        <f t="shared" si="15"/>
        <v>-8.5925821250965109E-2</v>
      </c>
    </row>
    <row r="1251" spans="1:3" ht="13.2" x14ac:dyDescent="0.25">
      <c r="A1251" s="6">
        <v>1249</v>
      </c>
      <c r="B1251" s="7">
        <v>130.10433959960938</v>
      </c>
      <c r="C1251" s="3">
        <f t="shared" si="15"/>
        <v>-9.9435203007267325E-2</v>
      </c>
    </row>
    <row r="1252" spans="1:3" ht="13.2" x14ac:dyDescent="0.25">
      <c r="A1252" s="6">
        <v>1250</v>
      </c>
      <c r="B1252" s="7">
        <v>126.45413970947266</v>
      </c>
      <c r="C1252" s="3">
        <f t="shared" si="15"/>
        <v>-0.12966949238765088</v>
      </c>
    </row>
    <row r="1253" spans="1:3" ht="13.2" x14ac:dyDescent="0.25">
      <c r="A1253" s="6">
        <v>1251</v>
      </c>
      <c r="B1253" s="7">
        <v>129.43795776367188</v>
      </c>
      <c r="C1253" s="3">
        <f t="shared" si="15"/>
        <v>-0.12769967159185142</v>
      </c>
    </row>
    <row r="1254" spans="1:3" ht="13.2" x14ac:dyDescent="0.25">
      <c r="A1254" s="6">
        <v>1252</v>
      </c>
      <c r="B1254" s="7">
        <v>126.21543884277344</v>
      </c>
      <c r="C1254" s="3">
        <f t="shared" si="15"/>
        <v>-0.15137227090404581</v>
      </c>
    </row>
    <row r="1255" spans="1:3" ht="13.2" x14ac:dyDescent="0.25">
      <c r="A1255" s="6">
        <v>1253</v>
      </c>
      <c r="B1255" s="7">
        <v>126.40440368652344</v>
      </c>
      <c r="C1255" s="3">
        <f t="shared" si="15"/>
        <v>-0.14147138184942321</v>
      </c>
    </row>
    <row r="1256" spans="1:3" ht="13.2" x14ac:dyDescent="0.25">
      <c r="A1256" s="6">
        <v>1254</v>
      </c>
      <c r="B1256" s="7">
        <v>125.60872650146484</v>
      </c>
      <c r="C1256" s="3">
        <f t="shared" si="15"/>
        <v>-0.11699952164787075</v>
      </c>
    </row>
    <row r="1257" spans="1:3" ht="13.2" x14ac:dyDescent="0.25">
      <c r="A1257" s="6">
        <v>1255</v>
      </c>
      <c r="B1257" s="7">
        <v>127.71729278564453</v>
      </c>
      <c r="C1257" s="3">
        <f t="shared" si="15"/>
        <v>-0.14801089270706544</v>
      </c>
    </row>
    <row r="1258" spans="1:3" ht="13.2" x14ac:dyDescent="0.25">
      <c r="A1258" s="6">
        <v>1256</v>
      </c>
      <c r="B1258" s="7">
        <v>124.56439208984375</v>
      </c>
      <c r="C1258" s="3">
        <f t="shared" si="15"/>
        <v>-0.16138791662041488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61"/>
  <sheetViews>
    <sheetView topLeftCell="B1" workbookViewId="0">
      <selection activeCell="F3" sqref="F3"/>
    </sheetView>
  </sheetViews>
  <sheetFormatPr baseColWidth="10" defaultColWidth="12.6640625" defaultRowHeight="15.75" customHeight="1" x14ac:dyDescent="0.25"/>
  <cols>
    <col min="3" max="3" width="15" customWidth="1"/>
    <col min="6" max="6" width="14.21875" bestFit="1" customWidth="1"/>
  </cols>
  <sheetData>
    <row r="1" spans="1:6" ht="15.75" customHeight="1" x14ac:dyDescent="0.3">
      <c r="A1" s="1"/>
      <c r="B1" s="9" t="s">
        <v>7</v>
      </c>
      <c r="C1" s="9" t="s">
        <v>8</v>
      </c>
      <c r="E1" s="4" t="s">
        <v>2</v>
      </c>
      <c r="F1" s="10">
        <f>AVERAGE(C:C)</f>
        <v>0.14147763891713691</v>
      </c>
    </row>
    <row r="2" spans="1:6" ht="13.2" x14ac:dyDescent="0.25">
      <c r="A2" s="6">
        <v>0</v>
      </c>
      <c r="B2" s="7">
        <v>38.177249908447266</v>
      </c>
      <c r="E2" s="4" t="s">
        <v>3</v>
      </c>
      <c r="F2" s="10">
        <f>_xlfn.VAR.S(C:C)</f>
        <v>4.4911725334296167E-2</v>
      </c>
    </row>
    <row r="3" spans="1:6" ht="13.2" x14ac:dyDescent="0.25">
      <c r="A3" s="6">
        <v>1</v>
      </c>
      <c r="B3" s="7">
        <v>37.633049011230469</v>
      </c>
      <c r="C3" s="3"/>
      <c r="E3" s="4" t="s">
        <v>4</v>
      </c>
      <c r="F3" s="10">
        <f>SQRT(F2)</f>
        <v>0.21192386683499376</v>
      </c>
    </row>
    <row r="4" spans="1:6" ht="13.2" x14ac:dyDescent="0.25">
      <c r="A4" s="6">
        <v>2</v>
      </c>
      <c r="B4" s="7">
        <v>37.335884094238281</v>
      </c>
      <c r="C4" s="3"/>
      <c r="F4" s="10"/>
    </row>
    <row r="5" spans="1:6" ht="13.2" x14ac:dyDescent="0.25">
      <c r="A5" s="6">
        <v>3</v>
      </c>
      <c r="B5" s="7">
        <v>37.716861724853516</v>
      </c>
      <c r="C5" s="3"/>
    </row>
    <row r="6" spans="1:6" ht="13.2" x14ac:dyDescent="0.25">
      <c r="A6" s="6">
        <v>4</v>
      </c>
      <c r="B6" s="7">
        <v>37.434947967529297</v>
      </c>
      <c r="C6" s="3"/>
    </row>
    <row r="7" spans="1:6" ht="13.2" x14ac:dyDescent="0.25">
      <c r="A7" s="6">
        <v>5</v>
      </c>
      <c r="B7" s="7">
        <v>36.177715301513672</v>
      </c>
      <c r="C7" s="3"/>
    </row>
    <row r="8" spans="1:6" ht="13.2" x14ac:dyDescent="0.25">
      <c r="A8" s="6">
        <v>6</v>
      </c>
      <c r="B8" s="7">
        <v>37.975933074951172</v>
      </c>
      <c r="C8" s="3"/>
    </row>
    <row r="9" spans="1:6" ht="13.2" x14ac:dyDescent="0.25">
      <c r="A9" s="6">
        <v>7</v>
      </c>
      <c r="B9" s="7">
        <v>39.019821166992188</v>
      </c>
      <c r="C9" s="3"/>
    </row>
    <row r="10" spans="1:6" ht="13.2" x14ac:dyDescent="0.25">
      <c r="A10" s="6">
        <v>8</v>
      </c>
      <c r="B10" s="7">
        <v>38.699794769287109</v>
      </c>
      <c r="C10" s="3"/>
    </row>
    <row r="11" spans="1:6" ht="13.2" x14ac:dyDescent="0.25">
      <c r="A11" s="6">
        <v>9</v>
      </c>
      <c r="B11" s="7">
        <v>38.501682281494141</v>
      </c>
      <c r="C11" s="3"/>
    </row>
    <row r="12" spans="1:6" ht="13.2" x14ac:dyDescent="0.25">
      <c r="A12" s="6">
        <v>10</v>
      </c>
      <c r="B12" s="7">
        <v>40.147514343261719</v>
      </c>
      <c r="C12" s="3"/>
    </row>
    <row r="13" spans="1:6" ht="13.2" x14ac:dyDescent="0.25">
      <c r="A13" s="6">
        <v>11</v>
      </c>
      <c r="B13" s="7">
        <v>40.741836547851563</v>
      </c>
      <c r="C13" s="3"/>
    </row>
    <row r="14" spans="1:6" ht="13.2" x14ac:dyDescent="0.25">
      <c r="A14" s="6">
        <v>12</v>
      </c>
      <c r="B14" s="7">
        <v>40.284656524658203</v>
      </c>
      <c r="C14" s="3"/>
    </row>
    <row r="15" spans="1:6" ht="13.2" x14ac:dyDescent="0.25">
      <c r="A15" s="6">
        <v>13</v>
      </c>
      <c r="B15" s="7">
        <v>40.254188537597656</v>
      </c>
      <c r="C15" s="3"/>
    </row>
    <row r="16" spans="1:6" ht="13.2" x14ac:dyDescent="0.25">
      <c r="A16" s="6">
        <v>14</v>
      </c>
      <c r="B16" s="7">
        <v>39.728431701660156</v>
      </c>
      <c r="C16" s="3"/>
    </row>
    <row r="17" spans="1:3" ht="13.2" x14ac:dyDescent="0.25">
      <c r="A17" s="6">
        <v>15</v>
      </c>
      <c r="B17" s="7">
        <v>40.543731689453125</v>
      </c>
      <c r="C17" s="3"/>
    </row>
    <row r="18" spans="1:3" ht="13.2" x14ac:dyDescent="0.25">
      <c r="A18" s="6">
        <v>16</v>
      </c>
      <c r="B18" s="7">
        <v>38.501682281494141</v>
      </c>
      <c r="C18" s="3"/>
    </row>
    <row r="19" spans="1:3" ht="13.2" x14ac:dyDescent="0.25">
      <c r="A19" s="6">
        <v>17</v>
      </c>
      <c r="B19" s="7">
        <v>39.766529083251953</v>
      </c>
      <c r="C19" s="3"/>
    </row>
    <row r="20" spans="1:3" ht="13.2" x14ac:dyDescent="0.25">
      <c r="A20" s="6">
        <v>18</v>
      </c>
      <c r="B20" s="7">
        <v>39.195060729980469</v>
      </c>
      <c r="C20" s="3"/>
    </row>
    <row r="21" spans="1:3" ht="13.2" x14ac:dyDescent="0.25">
      <c r="A21" s="6">
        <v>19</v>
      </c>
      <c r="B21" s="7">
        <v>38.280712127685547</v>
      </c>
      <c r="C21" s="3"/>
    </row>
    <row r="22" spans="1:3" ht="13.2" x14ac:dyDescent="0.25">
      <c r="A22" s="6">
        <v>20</v>
      </c>
      <c r="B22" s="7">
        <v>40.558967590332031</v>
      </c>
      <c r="C22" s="3"/>
    </row>
    <row r="23" spans="1:3" ht="13.2" x14ac:dyDescent="0.25">
      <c r="A23" s="6">
        <v>21</v>
      </c>
      <c r="B23" s="7">
        <v>40.185604095458984</v>
      </c>
      <c r="C23" s="3"/>
    </row>
    <row r="24" spans="1:3" ht="13.2" x14ac:dyDescent="0.25">
      <c r="A24" s="6">
        <v>22</v>
      </c>
      <c r="B24" s="7">
        <v>40.307525634765625</v>
      </c>
      <c r="C24" s="3"/>
    </row>
    <row r="25" spans="1:3" ht="13.2" x14ac:dyDescent="0.25">
      <c r="A25" s="6">
        <v>23</v>
      </c>
      <c r="B25" s="7">
        <v>40.086559295654297</v>
      </c>
      <c r="C25" s="3"/>
    </row>
    <row r="26" spans="1:3" ht="13.2" x14ac:dyDescent="0.25">
      <c r="A26" s="6">
        <v>24</v>
      </c>
      <c r="B26" s="7">
        <v>40.056083679199219</v>
      </c>
      <c r="C26" s="3"/>
    </row>
    <row r="27" spans="1:3" ht="13.2" x14ac:dyDescent="0.25">
      <c r="A27" s="6">
        <v>25</v>
      </c>
      <c r="B27" s="7">
        <v>39.964641571044922</v>
      </c>
      <c r="C27" s="3"/>
    </row>
    <row r="28" spans="1:3" ht="13.2" x14ac:dyDescent="0.25">
      <c r="A28" s="6">
        <v>26</v>
      </c>
      <c r="B28" s="7">
        <v>40.254188537597656</v>
      </c>
      <c r="C28" s="3"/>
    </row>
    <row r="29" spans="1:3" ht="13.2" x14ac:dyDescent="0.25">
      <c r="A29" s="6">
        <v>27</v>
      </c>
      <c r="B29" s="7">
        <v>40.711357116699219</v>
      </c>
      <c r="C29" s="3"/>
    </row>
    <row r="30" spans="1:3" ht="13.2" x14ac:dyDescent="0.25">
      <c r="A30" s="6">
        <v>28</v>
      </c>
      <c r="B30" s="7">
        <v>40.498016357421875</v>
      </c>
      <c r="C30" s="3"/>
    </row>
    <row r="31" spans="1:3" ht="13.2" x14ac:dyDescent="0.25">
      <c r="A31" s="6">
        <v>29</v>
      </c>
      <c r="B31" s="7">
        <v>41.625705718994141</v>
      </c>
      <c r="C31" s="3"/>
    </row>
    <row r="32" spans="1:3" ht="13.2" x14ac:dyDescent="0.25">
      <c r="A32" s="6">
        <v>30</v>
      </c>
      <c r="B32" s="7">
        <v>41.267589569091797</v>
      </c>
      <c r="C32" s="3"/>
    </row>
    <row r="33" spans="1:3" ht="13.2" x14ac:dyDescent="0.25">
      <c r="A33" s="6">
        <v>31</v>
      </c>
      <c r="B33" s="7">
        <v>41.671424865722656</v>
      </c>
      <c r="C33" s="3"/>
    </row>
    <row r="34" spans="1:3" ht="13.2" x14ac:dyDescent="0.25">
      <c r="A34" s="6">
        <v>32</v>
      </c>
      <c r="B34" s="7">
        <v>41.953350067138672</v>
      </c>
      <c r="C34" s="3"/>
    </row>
    <row r="35" spans="1:3" ht="13.2" x14ac:dyDescent="0.25">
      <c r="A35" s="6">
        <v>33</v>
      </c>
      <c r="B35" s="7">
        <v>42.22003173828125</v>
      </c>
      <c r="C35" s="3"/>
    </row>
    <row r="36" spans="1:3" ht="13.2" x14ac:dyDescent="0.25">
      <c r="A36" s="6">
        <v>34</v>
      </c>
      <c r="B36" s="7">
        <v>42.341941833496094</v>
      </c>
      <c r="C36" s="3"/>
    </row>
    <row r="37" spans="1:3" ht="13.2" x14ac:dyDescent="0.25">
      <c r="A37" s="6">
        <v>35</v>
      </c>
      <c r="B37" s="7">
        <v>41.648571014404297</v>
      </c>
      <c r="C37" s="3"/>
    </row>
    <row r="38" spans="1:3" ht="13.2" x14ac:dyDescent="0.25">
      <c r="A38" s="6">
        <v>36</v>
      </c>
      <c r="B38" s="7">
        <v>43.522983551025391</v>
      </c>
      <c r="C38" s="3"/>
    </row>
    <row r="39" spans="1:3" ht="13.2" x14ac:dyDescent="0.25">
      <c r="A39" s="6">
        <v>37</v>
      </c>
      <c r="B39" s="7">
        <v>42.578151702880859</v>
      </c>
      <c r="C39" s="3"/>
    </row>
    <row r="40" spans="1:3" ht="13.2" x14ac:dyDescent="0.25">
      <c r="A40" s="6">
        <v>38</v>
      </c>
      <c r="B40" s="7">
        <v>42.593391418457031</v>
      </c>
      <c r="C40" s="3"/>
    </row>
    <row r="41" spans="1:3" ht="13.2" x14ac:dyDescent="0.25">
      <c r="A41" s="6">
        <v>39</v>
      </c>
      <c r="B41" s="7">
        <v>41.976211547851563</v>
      </c>
      <c r="C41" s="3"/>
    </row>
    <row r="42" spans="1:3" ht="13.2" x14ac:dyDescent="0.25">
      <c r="A42" s="6">
        <v>40</v>
      </c>
      <c r="B42" s="7">
        <v>41.55712890625</v>
      </c>
      <c r="C42" s="3"/>
    </row>
    <row r="43" spans="1:3" ht="13.2" x14ac:dyDescent="0.25">
      <c r="A43" s="6">
        <v>41</v>
      </c>
      <c r="B43" s="7">
        <v>41.709526062011719</v>
      </c>
      <c r="C43" s="3"/>
    </row>
    <row r="44" spans="1:3" ht="13.2" x14ac:dyDescent="0.25">
      <c r="A44" s="6">
        <v>42</v>
      </c>
      <c r="B44" s="7">
        <v>41.389495849609375</v>
      </c>
      <c r="C44" s="3"/>
    </row>
    <row r="45" spans="1:3" ht="13.2" x14ac:dyDescent="0.25">
      <c r="A45" s="6">
        <v>43</v>
      </c>
      <c r="B45" s="7">
        <v>43.492500305175781</v>
      </c>
      <c r="C45" s="3"/>
    </row>
    <row r="46" spans="1:3" ht="13.2" x14ac:dyDescent="0.25">
      <c r="A46" s="6">
        <v>44</v>
      </c>
      <c r="B46" s="7">
        <v>44.208744049072266</v>
      </c>
      <c r="C46" s="3"/>
    </row>
    <row r="47" spans="1:3" ht="13.2" x14ac:dyDescent="0.25">
      <c r="A47" s="6">
        <v>45</v>
      </c>
      <c r="B47" s="7">
        <v>44.940223693847656</v>
      </c>
      <c r="C47" s="3"/>
    </row>
    <row r="48" spans="1:3" ht="13.2" x14ac:dyDescent="0.25">
      <c r="A48" s="6">
        <v>46</v>
      </c>
      <c r="B48" s="7">
        <v>45.313583374023438</v>
      </c>
      <c r="C48" s="3"/>
    </row>
    <row r="49" spans="1:3" ht="13.2" x14ac:dyDescent="0.25">
      <c r="A49" s="6">
        <v>47</v>
      </c>
      <c r="B49" s="7">
        <v>46.845115661621094</v>
      </c>
      <c r="C49" s="3"/>
    </row>
    <row r="50" spans="1:3" ht="13.2" x14ac:dyDescent="0.25">
      <c r="A50" s="6">
        <v>48</v>
      </c>
      <c r="B50" s="7">
        <v>45.526924133300781</v>
      </c>
      <c r="C50" s="3"/>
    </row>
    <row r="51" spans="1:3" ht="13.2" x14ac:dyDescent="0.25">
      <c r="A51" s="6">
        <v>49</v>
      </c>
      <c r="B51" s="7">
        <v>43.218193054199219</v>
      </c>
      <c r="C51" s="3"/>
    </row>
    <row r="52" spans="1:3" ht="13.2" x14ac:dyDescent="0.25">
      <c r="A52" s="6">
        <v>50</v>
      </c>
      <c r="B52" s="7">
        <v>42.829586029052734</v>
      </c>
      <c r="C52" s="3"/>
    </row>
    <row r="53" spans="1:3" ht="13.2" x14ac:dyDescent="0.25">
      <c r="A53" s="6">
        <v>51</v>
      </c>
      <c r="B53" s="7">
        <v>43.439163208007813</v>
      </c>
      <c r="C53" s="3"/>
    </row>
    <row r="54" spans="1:3" ht="13.2" x14ac:dyDescent="0.25">
      <c r="A54" s="6">
        <v>52</v>
      </c>
      <c r="B54" s="7">
        <v>44.178260803222656</v>
      </c>
      <c r="C54" s="3"/>
    </row>
    <row r="55" spans="1:3" ht="13.2" x14ac:dyDescent="0.25">
      <c r="A55" s="6">
        <v>53</v>
      </c>
      <c r="B55" s="7">
        <v>46.951789855957031</v>
      </c>
      <c r="C55" s="3"/>
    </row>
    <row r="56" spans="1:3" ht="13.2" x14ac:dyDescent="0.25">
      <c r="A56" s="6">
        <v>54</v>
      </c>
      <c r="B56" s="7">
        <v>47.073699951171875</v>
      </c>
      <c r="C56" s="3"/>
    </row>
    <row r="57" spans="1:3" ht="13.2" x14ac:dyDescent="0.25">
      <c r="A57" s="6">
        <v>55</v>
      </c>
      <c r="B57" s="7">
        <v>45.229763031005859</v>
      </c>
      <c r="C57" s="3"/>
    </row>
    <row r="58" spans="1:3" ht="13.2" x14ac:dyDescent="0.25">
      <c r="A58" s="6">
        <v>56</v>
      </c>
      <c r="B58" s="7">
        <v>45.008792877197266</v>
      </c>
      <c r="C58" s="3"/>
    </row>
    <row r="59" spans="1:3" ht="13.2" x14ac:dyDescent="0.25">
      <c r="A59" s="6">
        <v>57</v>
      </c>
      <c r="B59" s="7">
        <v>44.627811431884766</v>
      </c>
      <c r="C59" s="3"/>
    </row>
    <row r="60" spans="1:3" ht="13.2" x14ac:dyDescent="0.25">
      <c r="A60" s="6">
        <v>58</v>
      </c>
      <c r="B60" s="7">
        <v>44.422088623046875</v>
      </c>
      <c r="C60" s="3"/>
    </row>
    <row r="61" spans="1:3" ht="13.2" x14ac:dyDescent="0.25">
      <c r="A61" s="6">
        <v>59</v>
      </c>
      <c r="B61" s="7">
        <v>44.818302154541016</v>
      </c>
      <c r="C61" s="3"/>
    </row>
    <row r="62" spans="1:3" ht="13.2" x14ac:dyDescent="0.25">
      <c r="A62" s="6">
        <v>60</v>
      </c>
      <c r="B62" s="7">
        <v>45.145946502685547</v>
      </c>
      <c r="C62" s="3"/>
    </row>
    <row r="63" spans="1:3" ht="13.2" x14ac:dyDescent="0.25">
      <c r="A63" s="6">
        <v>61</v>
      </c>
      <c r="B63" s="7">
        <v>44.78021240234375</v>
      </c>
      <c r="C63" s="3"/>
    </row>
    <row r="64" spans="1:3" ht="13.2" x14ac:dyDescent="0.25">
      <c r="A64" s="6">
        <v>62</v>
      </c>
      <c r="B64" s="7">
        <v>44.955463409423828</v>
      </c>
      <c r="C64" s="3"/>
    </row>
    <row r="65" spans="1:3" ht="13.2" x14ac:dyDescent="0.25">
      <c r="A65" s="6">
        <v>63</v>
      </c>
      <c r="B65" s="7">
        <v>46.631771087646484</v>
      </c>
      <c r="C65" s="3"/>
    </row>
    <row r="66" spans="1:3" ht="13.2" x14ac:dyDescent="0.25">
      <c r="A66" s="6">
        <v>64</v>
      </c>
      <c r="B66" s="7">
        <v>45.580268859863281</v>
      </c>
      <c r="C66" s="3"/>
    </row>
    <row r="67" spans="1:3" ht="13.2" x14ac:dyDescent="0.25">
      <c r="A67" s="6">
        <v>65</v>
      </c>
      <c r="B67" s="7">
        <v>44.513523101806641</v>
      </c>
      <c r="C67" s="3"/>
    </row>
    <row r="68" spans="1:3" ht="13.2" x14ac:dyDescent="0.25">
      <c r="A68" s="6">
        <v>66</v>
      </c>
      <c r="B68" s="7">
        <v>44.818302154541016</v>
      </c>
      <c r="C68" s="3"/>
    </row>
    <row r="69" spans="1:3" ht="13.2" x14ac:dyDescent="0.25">
      <c r="A69" s="6">
        <v>67</v>
      </c>
      <c r="B69" s="7">
        <v>45.219993591308594</v>
      </c>
      <c r="C69" s="3"/>
    </row>
    <row r="70" spans="1:3" ht="13.2" x14ac:dyDescent="0.25">
      <c r="A70" s="6">
        <v>68</v>
      </c>
      <c r="B70" s="7">
        <v>45.575321197509766</v>
      </c>
      <c r="C70" s="3"/>
    </row>
    <row r="71" spans="1:3" ht="13.2" x14ac:dyDescent="0.25">
      <c r="A71" s="6">
        <v>69</v>
      </c>
      <c r="B71" s="7">
        <v>44.432075500488281</v>
      </c>
      <c r="C71" s="3"/>
    </row>
    <row r="72" spans="1:3" ht="13.2" x14ac:dyDescent="0.25">
      <c r="A72" s="6">
        <v>70</v>
      </c>
      <c r="B72" s="7">
        <v>45.3822021484375</v>
      </c>
      <c r="C72" s="3"/>
    </row>
    <row r="73" spans="1:3" ht="13.2" x14ac:dyDescent="0.25">
      <c r="A73" s="6">
        <v>71</v>
      </c>
      <c r="B73" s="7">
        <v>45.111854553222656</v>
      </c>
      <c r="C73" s="3"/>
    </row>
    <row r="74" spans="1:3" ht="13.2" x14ac:dyDescent="0.25">
      <c r="A74" s="6">
        <v>72</v>
      </c>
      <c r="B74" s="7">
        <v>46.502277374267578</v>
      </c>
      <c r="C74" s="3"/>
    </row>
    <row r="75" spans="1:3" ht="13.2" x14ac:dyDescent="0.25">
      <c r="A75" s="6">
        <v>73</v>
      </c>
      <c r="B75" s="7">
        <v>46.672214508056641</v>
      </c>
      <c r="C75" s="3"/>
    </row>
    <row r="76" spans="1:3" ht="13.2" x14ac:dyDescent="0.25">
      <c r="A76" s="6">
        <v>74</v>
      </c>
      <c r="B76" s="7">
        <v>45.583042144775391</v>
      </c>
      <c r="C76" s="3"/>
    </row>
    <row r="77" spans="1:3" ht="13.2" x14ac:dyDescent="0.25">
      <c r="A77" s="6">
        <v>75</v>
      </c>
      <c r="B77" s="7">
        <v>45.946109771728516</v>
      </c>
      <c r="C77" s="3"/>
    </row>
    <row r="78" spans="1:3" ht="13.2" x14ac:dyDescent="0.25">
      <c r="A78" s="6">
        <v>76</v>
      </c>
      <c r="B78" s="7">
        <v>45.876583099365234</v>
      </c>
      <c r="C78" s="3"/>
    </row>
    <row r="79" spans="1:3" ht="13.2" x14ac:dyDescent="0.25">
      <c r="A79" s="6">
        <v>77</v>
      </c>
      <c r="B79" s="7">
        <v>44.517051696777344</v>
      </c>
      <c r="C79" s="3"/>
    </row>
    <row r="80" spans="1:3" ht="13.2" x14ac:dyDescent="0.25">
      <c r="A80" s="6">
        <v>78</v>
      </c>
      <c r="B80" s="7">
        <v>45.219993591308594</v>
      </c>
      <c r="C80" s="3"/>
    </row>
    <row r="81" spans="1:3" ht="13.2" x14ac:dyDescent="0.25">
      <c r="A81" s="6">
        <v>79</v>
      </c>
      <c r="B81" s="7">
        <v>45.281784057617188</v>
      </c>
      <c r="C81" s="3"/>
    </row>
    <row r="82" spans="1:3" ht="13.2" x14ac:dyDescent="0.25">
      <c r="A82" s="6">
        <v>80</v>
      </c>
      <c r="B82" s="7">
        <v>45.899749755859375</v>
      </c>
      <c r="C82" s="3"/>
    </row>
    <row r="83" spans="1:3" ht="13.2" x14ac:dyDescent="0.25">
      <c r="A83" s="6">
        <v>81</v>
      </c>
      <c r="B83" s="7">
        <v>45.335845947265625</v>
      </c>
      <c r="C83" s="3"/>
    </row>
    <row r="84" spans="1:3" ht="13.2" x14ac:dyDescent="0.25">
      <c r="A84" s="6">
        <v>82</v>
      </c>
      <c r="B84" s="7">
        <v>45.026870727539063</v>
      </c>
      <c r="C84" s="3"/>
    </row>
    <row r="85" spans="1:3" ht="13.2" x14ac:dyDescent="0.25">
      <c r="A85" s="6">
        <v>83</v>
      </c>
      <c r="B85" s="7">
        <v>44.92645263671875</v>
      </c>
      <c r="C85" s="3"/>
    </row>
    <row r="86" spans="1:3" ht="13.2" x14ac:dyDescent="0.25">
      <c r="A86" s="6">
        <v>84</v>
      </c>
      <c r="B86" s="7">
        <v>43.481948852539063</v>
      </c>
      <c r="C86" s="3"/>
    </row>
    <row r="87" spans="1:3" ht="13.2" x14ac:dyDescent="0.25">
      <c r="A87" s="6">
        <v>85</v>
      </c>
      <c r="B87" s="7">
        <v>42.593612670898438</v>
      </c>
      <c r="C87" s="3"/>
    </row>
    <row r="88" spans="1:3" ht="13.2" x14ac:dyDescent="0.25">
      <c r="A88" s="6">
        <v>86</v>
      </c>
      <c r="B88" s="7">
        <v>43.196132659912109</v>
      </c>
      <c r="C88" s="3"/>
    </row>
    <row r="89" spans="1:3" ht="13.2" x14ac:dyDescent="0.25">
      <c r="A89" s="6">
        <v>87</v>
      </c>
      <c r="B89" s="7">
        <v>41.998813629150391</v>
      </c>
      <c r="C89" s="3"/>
    </row>
    <row r="90" spans="1:3" ht="13.2" x14ac:dyDescent="0.25">
      <c r="A90" s="6">
        <v>88</v>
      </c>
      <c r="B90" s="7">
        <v>42.500930786132813</v>
      </c>
      <c r="C90" s="3"/>
    </row>
    <row r="91" spans="1:3" ht="13.2" x14ac:dyDescent="0.25">
      <c r="A91" s="6">
        <v>89</v>
      </c>
      <c r="B91" s="7">
        <v>42.516365051269531</v>
      </c>
      <c r="C91" s="3"/>
    </row>
    <row r="92" spans="1:3" ht="13.2" x14ac:dyDescent="0.25">
      <c r="A92" s="6">
        <v>90</v>
      </c>
      <c r="B92" s="7">
        <v>42.524089813232422</v>
      </c>
      <c r="C92" s="3"/>
    </row>
    <row r="93" spans="1:3" ht="13.2" x14ac:dyDescent="0.25">
      <c r="A93" s="6">
        <v>91</v>
      </c>
      <c r="B93" s="7">
        <v>42.470024108886719</v>
      </c>
      <c r="C93" s="3"/>
    </row>
    <row r="94" spans="1:3" ht="13.2" x14ac:dyDescent="0.25">
      <c r="A94" s="6">
        <v>92</v>
      </c>
      <c r="B94" s="7">
        <v>43.4510498046875</v>
      </c>
      <c r="C94" s="3"/>
    </row>
    <row r="95" spans="1:3" ht="13.2" x14ac:dyDescent="0.25">
      <c r="A95" s="6">
        <v>93</v>
      </c>
      <c r="B95" s="7">
        <v>41.875221252441406</v>
      </c>
      <c r="C95" s="3"/>
    </row>
    <row r="96" spans="1:3" ht="13.2" x14ac:dyDescent="0.25">
      <c r="A96" s="6">
        <v>94</v>
      </c>
      <c r="B96" s="7">
        <v>41.97564697265625</v>
      </c>
      <c r="C96" s="3"/>
    </row>
    <row r="97" spans="1:3" ht="13.2" x14ac:dyDescent="0.25">
      <c r="A97" s="6">
        <v>95</v>
      </c>
      <c r="B97" s="7">
        <v>42.161037445068359</v>
      </c>
      <c r="C97" s="3"/>
    </row>
    <row r="98" spans="1:3" ht="13.2" x14ac:dyDescent="0.25">
      <c r="A98" s="6">
        <v>96</v>
      </c>
      <c r="B98" s="7">
        <v>42.539539337158203</v>
      </c>
      <c r="C98" s="3"/>
    </row>
    <row r="99" spans="1:3" ht="13.2" x14ac:dyDescent="0.25">
      <c r="A99" s="6">
        <v>97</v>
      </c>
      <c r="B99" s="7">
        <v>44.223514556884766</v>
      </c>
      <c r="C99" s="3"/>
    </row>
    <row r="100" spans="1:3" ht="13.2" x14ac:dyDescent="0.25">
      <c r="A100" s="6">
        <v>98</v>
      </c>
      <c r="B100" s="7">
        <v>45.544418334960938</v>
      </c>
      <c r="C100" s="3"/>
    </row>
    <row r="101" spans="1:3" ht="13.2" x14ac:dyDescent="0.25">
      <c r="A101" s="6">
        <v>99</v>
      </c>
      <c r="B101" s="7">
        <v>45.544418334960938</v>
      </c>
      <c r="C101" s="3"/>
    </row>
    <row r="102" spans="1:3" ht="13.2" x14ac:dyDescent="0.25">
      <c r="A102" s="6">
        <v>100</v>
      </c>
      <c r="B102" s="7">
        <v>44.802848815917969</v>
      </c>
      <c r="C102" s="3"/>
    </row>
    <row r="103" spans="1:3" ht="13.2" x14ac:dyDescent="0.25">
      <c r="A103" s="6">
        <v>101</v>
      </c>
      <c r="B103" s="7">
        <v>45.498081207275391</v>
      </c>
      <c r="C103" s="3"/>
    </row>
    <row r="104" spans="1:3" ht="13.2" x14ac:dyDescent="0.25">
      <c r="A104" s="6">
        <v>102</v>
      </c>
      <c r="B104" s="7">
        <v>45.243152618408203</v>
      </c>
      <c r="C104" s="3"/>
    </row>
    <row r="105" spans="1:3" ht="13.2" x14ac:dyDescent="0.25">
      <c r="A105" s="6">
        <v>103</v>
      </c>
      <c r="B105" s="7">
        <v>45.243152618408203</v>
      </c>
      <c r="C105" s="3"/>
    </row>
    <row r="106" spans="1:3" ht="13.2" x14ac:dyDescent="0.25">
      <c r="A106" s="6">
        <v>104</v>
      </c>
      <c r="B106" s="7">
        <v>45.343585968017578</v>
      </c>
      <c r="C106" s="3"/>
    </row>
    <row r="107" spans="1:3" ht="13.2" x14ac:dyDescent="0.25">
      <c r="A107" s="6">
        <v>105</v>
      </c>
      <c r="B107" s="7">
        <v>45.343585968017578</v>
      </c>
      <c r="C107" s="3"/>
    </row>
    <row r="108" spans="1:3" ht="13.2" x14ac:dyDescent="0.25">
      <c r="A108" s="6">
        <v>106</v>
      </c>
      <c r="B108" s="7">
        <v>46.417308807373047</v>
      </c>
      <c r="C108" s="3"/>
    </row>
    <row r="109" spans="1:3" ht="13.2" x14ac:dyDescent="0.25">
      <c r="A109" s="6">
        <v>107</v>
      </c>
      <c r="B109" s="7">
        <v>47.730495452880859</v>
      </c>
      <c r="C109" s="3"/>
    </row>
    <row r="110" spans="1:3" ht="13.2" x14ac:dyDescent="0.25">
      <c r="A110" s="6">
        <v>108</v>
      </c>
      <c r="B110" s="7">
        <v>47.800018310546875</v>
      </c>
      <c r="C110" s="3"/>
    </row>
    <row r="111" spans="1:3" ht="13.2" x14ac:dyDescent="0.25">
      <c r="A111" s="6">
        <v>109</v>
      </c>
      <c r="B111" s="7">
        <v>48.63427734375</v>
      </c>
      <c r="C111" s="3"/>
    </row>
    <row r="112" spans="1:3" ht="13.2" x14ac:dyDescent="0.25">
      <c r="A112" s="6">
        <v>110</v>
      </c>
      <c r="B112" s="7">
        <v>47.313365936279297</v>
      </c>
      <c r="C112" s="3"/>
    </row>
    <row r="113" spans="1:3" ht="13.2" x14ac:dyDescent="0.25">
      <c r="A113" s="6">
        <v>111</v>
      </c>
      <c r="B113" s="7">
        <v>48.425704956054688</v>
      </c>
      <c r="C113" s="3"/>
    </row>
    <row r="114" spans="1:3" ht="13.2" x14ac:dyDescent="0.25">
      <c r="A114" s="6">
        <v>112</v>
      </c>
      <c r="B114" s="7">
        <v>47.274749755859375</v>
      </c>
      <c r="C114" s="3"/>
    </row>
    <row r="115" spans="1:3" ht="13.2" x14ac:dyDescent="0.25">
      <c r="A115" s="6">
        <v>113</v>
      </c>
      <c r="B115" s="7">
        <v>46.803531646728516</v>
      </c>
      <c r="C115" s="3"/>
    </row>
    <row r="116" spans="1:3" ht="13.2" x14ac:dyDescent="0.25">
      <c r="A116" s="6">
        <v>114</v>
      </c>
      <c r="B116" s="7">
        <v>46.540897369384766</v>
      </c>
      <c r="C116" s="3"/>
    </row>
    <row r="117" spans="1:3" ht="13.2" x14ac:dyDescent="0.25">
      <c r="A117" s="6">
        <v>115</v>
      </c>
      <c r="B117" s="7">
        <v>47.645519256591797</v>
      </c>
      <c r="C117" s="3"/>
    </row>
    <row r="118" spans="1:3" ht="13.2" x14ac:dyDescent="0.25">
      <c r="A118" s="6">
        <v>116</v>
      </c>
      <c r="B118" s="7">
        <v>47.205219268798828</v>
      </c>
      <c r="C118" s="3"/>
    </row>
    <row r="119" spans="1:3" ht="13.2" x14ac:dyDescent="0.25">
      <c r="A119" s="6">
        <v>117</v>
      </c>
      <c r="B119" s="7">
        <v>47.923603057861328</v>
      </c>
      <c r="C119" s="3"/>
    </row>
    <row r="120" spans="1:3" ht="13.2" x14ac:dyDescent="0.25">
      <c r="A120" s="6">
        <v>118</v>
      </c>
      <c r="B120" s="7">
        <v>48.217144012451172</v>
      </c>
      <c r="C120" s="3"/>
    </row>
    <row r="121" spans="1:3" ht="13.2" x14ac:dyDescent="0.25">
      <c r="A121" s="6">
        <v>119</v>
      </c>
      <c r="B121" s="7">
        <v>48.997333526611328</v>
      </c>
      <c r="C121" s="3"/>
    </row>
    <row r="122" spans="1:3" ht="13.2" x14ac:dyDescent="0.25">
      <c r="A122" s="6">
        <v>120</v>
      </c>
      <c r="B122" s="7">
        <v>49.723453521728516</v>
      </c>
      <c r="C122" s="3"/>
    </row>
    <row r="123" spans="1:3" ht="13.2" x14ac:dyDescent="0.25">
      <c r="A123" s="6">
        <v>121</v>
      </c>
      <c r="B123" s="7">
        <v>49.429904937744141</v>
      </c>
      <c r="C123" s="3"/>
    </row>
    <row r="124" spans="1:3" ht="13.2" x14ac:dyDescent="0.25">
      <c r="A124" s="6">
        <v>122</v>
      </c>
      <c r="B124" s="7">
        <v>49.453079223632813</v>
      </c>
      <c r="C124" s="3"/>
    </row>
    <row r="125" spans="1:3" ht="13.2" x14ac:dyDescent="0.25">
      <c r="A125" s="6">
        <v>123</v>
      </c>
      <c r="B125" s="7">
        <v>50.35687255859375</v>
      </c>
      <c r="C125" s="3"/>
    </row>
    <row r="126" spans="1:3" ht="13.2" x14ac:dyDescent="0.25">
      <c r="A126" s="6">
        <v>124</v>
      </c>
      <c r="B126" s="7">
        <v>51.894069671630859</v>
      </c>
      <c r="C126" s="3"/>
    </row>
    <row r="127" spans="1:3" ht="13.2" x14ac:dyDescent="0.25">
      <c r="A127" s="6">
        <v>125</v>
      </c>
      <c r="B127" s="7">
        <v>51.878631591796875</v>
      </c>
      <c r="C127" s="3"/>
    </row>
    <row r="128" spans="1:3" ht="13.2" x14ac:dyDescent="0.25">
      <c r="A128" s="6">
        <v>126</v>
      </c>
      <c r="B128" s="7">
        <v>50.858951568603516</v>
      </c>
      <c r="C128" s="3"/>
    </row>
    <row r="129" spans="1:3" ht="13.2" x14ac:dyDescent="0.25">
      <c r="A129" s="6">
        <v>127</v>
      </c>
      <c r="B129" s="7">
        <v>51.291545867919922</v>
      </c>
      <c r="C129" s="3"/>
    </row>
    <row r="130" spans="1:3" ht="13.2" x14ac:dyDescent="0.25">
      <c r="A130" s="6">
        <v>128</v>
      </c>
      <c r="B130" s="7">
        <v>52.434795379638672</v>
      </c>
      <c r="C130" s="3"/>
    </row>
    <row r="131" spans="1:3" ht="13.2" x14ac:dyDescent="0.25">
      <c r="A131" s="6">
        <v>129</v>
      </c>
      <c r="B131" s="7">
        <v>53.863849639892578</v>
      </c>
      <c r="C131" s="3"/>
    </row>
    <row r="132" spans="1:3" ht="13.2" x14ac:dyDescent="0.25">
      <c r="A132" s="6">
        <v>130</v>
      </c>
      <c r="B132" s="7">
        <v>55.729068756103516</v>
      </c>
      <c r="C132" s="3"/>
    </row>
    <row r="133" spans="1:3" ht="13.2" x14ac:dyDescent="0.25">
      <c r="A133" s="6">
        <v>131</v>
      </c>
      <c r="B133" s="7">
        <v>57.703987121582031</v>
      </c>
      <c r="C133" s="3"/>
    </row>
    <row r="134" spans="1:3" ht="13.2" x14ac:dyDescent="0.25">
      <c r="A134" s="6">
        <v>132</v>
      </c>
      <c r="B134" s="7">
        <v>55.893638610839844</v>
      </c>
      <c r="C134" s="3"/>
    </row>
    <row r="135" spans="1:3" ht="13.2" x14ac:dyDescent="0.25">
      <c r="A135" s="6">
        <v>133</v>
      </c>
      <c r="B135" s="7">
        <v>57.476711273193359</v>
      </c>
      <c r="C135" s="3"/>
    </row>
    <row r="136" spans="1:3" ht="13.2" x14ac:dyDescent="0.25">
      <c r="A136" s="6">
        <v>134</v>
      </c>
      <c r="B136" s="7">
        <v>58.785499572753906</v>
      </c>
      <c r="C136" s="3"/>
    </row>
    <row r="137" spans="1:3" ht="13.2" x14ac:dyDescent="0.25">
      <c r="A137" s="6">
        <v>135</v>
      </c>
      <c r="B137" s="7">
        <v>61.740070343017578</v>
      </c>
      <c r="C137" s="3"/>
    </row>
    <row r="138" spans="1:3" ht="13.2" x14ac:dyDescent="0.25">
      <c r="A138" s="6">
        <v>136</v>
      </c>
      <c r="B138" s="7">
        <v>63.581741333007813</v>
      </c>
      <c r="C138" s="3"/>
    </row>
    <row r="139" spans="1:3" ht="13.2" x14ac:dyDescent="0.25">
      <c r="A139" s="6">
        <v>137</v>
      </c>
      <c r="B139" s="7">
        <v>62.915611267089844</v>
      </c>
      <c r="C139" s="3"/>
    </row>
    <row r="140" spans="1:3" ht="13.2" x14ac:dyDescent="0.25">
      <c r="A140" s="6">
        <v>138</v>
      </c>
      <c r="B140" s="7">
        <v>61.591152191162109</v>
      </c>
      <c r="C140" s="3"/>
    </row>
    <row r="141" spans="1:3" ht="13.2" x14ac:dyDescent="0.25">
      <c r="A141" s="6">
        <v>139</v>
      </c>
      <c r="B141" s="7">
        <v>61.410911560058594</v>
      </c>
      <c r="C141" s="3"/>
    </row>
    <row r="142" spans="1:3" ht="13.2" x14ac:dyDescent="0.25">
      <c r="A142" s="6">
        <v>140</v>
      </c>
      <c r="B142" s="7">
        <v>60.204006195068359</v>
      </c>
      <c r="C142" s="3"/>
    </row>
    <row r="143" spans="1:3" ht="13.2" x14ac:dyDescent="0.25">
      <c r="A143" s="6">
        <v>141</v>
      </c>
      <c r="B143" s="7">
        <v>61.26983642578125</v>
      </c>
      <c r="C143" s="3"/>
    </row>
    <row r="144" spans="1:3" ht="13.2" x14ac:dyDescent="0.25">
      <c r="A144" s="6">
        <v>142</v>
      </c>
      <c r="B144" s="7">
        <v>61.497119903564453</v>
      </c>
      <c r="C144" s="3"/>
    </row>
    <row r="145" spans="1:3" ht="13.2" x14ac:dyDescent="0.25">
      <c r="A145" s="6">
        <v>143</v>
      </c>
      <c r="B145" s="7">
        <v>60.948505401611328</v>
      </c>
      <c r="C145" s="3"/>
    </row>
    <row r="146" spans="1:3" ht="13.2" x14ac:dyDescent="0.25">
      <c r="A146" s="6">
        <v>144</v>
      </c>
      <c r="B146" s="7">
        <v>63.542583465576172</v>
      </c>
      <c r="C146" s="3"/>
    </row>
    <row r="147" spans="1:3" ht="13.2" x14ac:dyDescent="0.25">
      <c r="A147" s="6">
        <v>145</v>
      </c>
      <c r="B147" s="7">
        <v>62.978305816650391</v>
      </c>
      <c r="C147" s="3"/>
    </row>
    <row r="148" spans="1:3" ht="13.2" x14ac:dyDescent="0.25">
      <c r="A148" s="6">
        <v>146</v>
      </c>
      <c r="B148" s="7">
        <v>64.631919860839844</v>
      </c>
      <c r="C148" s="3"/>
    </row>
    <row r="149" spans="1:3" ht="13.2" x14ac:dyDescent="0.25">
      <c r="A149" s="6">
        <v>147</v>
      </c>
      <c r="B149" s="7">
        <v>65.384262084960938</v>
      </c>
      <c r="C149" s="3"/>
    </row>
    <row r="150" spans="1:3" ht="13.2" x14ac:dyDescent="0.25">
      <c r="A150" s="6">
        <v>148</v>
      </c>
      <c r="B150" s="7">
        <v>65.713424682617188</v>
      </c>
      <c r="C150" s="3"/>
    </row>
    <row r="151" spans="1:3" ht="13.2" x14ac:dyDescent="0.25">
      <c r="A151" s="6">
        <v>149</v>
      </c>
      <c r="B151" s="7">
        <v>62.98614501953125</v>
      </c>
      <c r="C151" s="3"/>
    </row>
    <row r="152" spans="1:3" ht="13.2" x14ac:dyDescent="0.25">
      <c r="A152" s="6">
        <v>150</v>
      </c>
      <c r="B152" s="7">
        <v>65.376426696777344</v>
      </c>
      <c r="C152" s="3"/>
    </row>
    <row r="153" spans="1:3" ht="13.2" x14ac:dyDescent="0.25">
      <c r="A153" s="6">
        <v>151</v>
      </c>
      <c r="B153" s="7">
        <v>64.467330932617188</v>
      </c>
      <c r="C153" s="3"/>
    </row>
    <row r="154" spans="1:3" ht="13.2" x14ac:dyDescent="0.25">
      <c r="A154" s="6">
        <v>152</v>
      </c>
      <c r="B154" s="7">
        <v>66.724395751953125</v>
      </c>
      <c r="C154" s="3"/>
    </row>
    <row r="155" spans="1:3" ht="13.2" x14ac:dyDescent="0.25">
      <c r="A155" s="6">
        <v>153</v>
      </c>
      <c r="B155" s="7">
        <v>67.89996337890625</v>
      </c>
      <c r="C155" s="3"/>
    </row>
    <row r="156" spans="1:3" ht="13.2" x14ac:dyDescent="0.25">
      <c r="A156" s="6">
        <v>154</v>
      </c>
      <c r="B156" s="7">
        <v>67.633514404296875</v>
      </c>
      <c r="C156" s="3"/>
    </row>
    <row r="157" spans="1:3" ht="13.2" x14ac:dyDescent="0.25">
      <c r="A157" s="6">
        <v>155</v>
      </c>
      <c r="B157" s="7">
        <v>65.925025939941406</v>
      </c>
      <c r="C157" s="3"/>
    </row>
    <row r="158" spans="1:3" ht="13.2" x14ac:dyDescent="0.25">
      <c r="A158" s="6">
        <v>156</v>
      </c>
      <c r="B158" s="7">
        <v>69.522224426269531</v>
      </c>
      <c r="C158" s="3"/>
    </row>
    <row r="159" spans="1:3" ht="13.2" x14ac:dyDescent="0.25">
      <c r="A159" s="6">
        <v>157</v>
      </c>
      <c r="B159" s="7">
        <v>71.207183837890625</v>
      </c>
      <c r="C159" s="3"/>
    </row>
    <row r="160" spans="1:3" ht="13.2" x14ac:dyDescent="0.25">
      <c r="A160" s="6">
        <v>158</v>
      </c>
      <c r="B160" s="7">
        <v>71.740097045898438</v>
      </c>
      <c r="C160" s="3"/>
    </row>
    <row r="161" spans="1:3" ht="13.2" x14ac:dyDescent="0.25">
      <c r="A161" s="6">
        <v>159</v>
      </c>
      <c r="B161" s="7">
        <v>72.578659057617188</v>
      </c>
      <c r="C161" s="3"/>
    </row>
    <row r="162" spans="1:3" ht="13.2" x14ac:dyDescent="0.25">
      <c r="A162" s="6">
        <v>160</v>
      </c>
      <c r="B162" s="7">
        <v>76.199356079101563</v>
      </c>
      <c r="C162" s="3"/>
    </row>
    <row r="163" spans="1:3" ht="13.2" x14ac:dyDescent="0.25">
      <c r="A163" s="6">
        <v>161</v>
      </c>
      <c r="B163" s="7">
        <v>73.088066101074219</v>
      </c>
      <c r="C163" s="3"/>
    </row>
    <row r="164" spans="1:3" ht="13.2" x14ac:dyDescent="0.25">
      <c r="A164" s="6">
        <v>162</v>
      </c>
      <c r="B164" s="7">
        <v>72.484611511230469</v>
      </c>
      <c r="C164" s="3"/>
    </row>
    <row r="165" spans="1:3" ht="13.2" x14ac:dyDescent="0.25">
      <c r="A165" s="6">
        <v>163</v>
      </c>
      <c r="B165" s="7">
        <v>71.332565307617188</v>
      </c>
      <c r="C165" s="3"/>
    </row>
    <row r="166" spans="1:3" ht="13.2" x14ac:dyDescent="0.25">
      <c r="A166" s="6">
        <v>164</v>
      </c>
      <c r="B166" s="7">
        <v>71.324745178222656</v>
      </c>
      <c r="C166" s="3"/>
    </row>
    <row r="167" spans="1:3" ht="13.2" x14ac:dyDescent="0.25">
      <c r="A167" s="6">
        <v>165</v>
      </c>
      <c r="B167" s="7">
        <v>69.122535705566406</v>
      </c>
      <c r="C167" s="3"/>
    </row>
    <row r="168" spans="1:3" ht="13.2" x14ac:dyDescent="0.25">
      <c r="A168" s="6">
        <v>166</v>
      </c>
      <c r="B168" s="7">
        <v>71.622535705566406</v>
      </c>
      <c r="C168" s="3"/>
    </row>
    <row r="169" spans="1:3" ht="13.2" x14ac:dyDescent="0.25">
      <c r="A169" s="6">
        <v>167</v>
      </c>
      <c r="B169" s="7">
        <v>69.85137939453125</v>
      </c>
      <c r="C169" s="3"/>
    </row>
    <row r="170" spans="1:3" ht="13.2" x14ac:dyDescent="0.25">
      <c r="A170" s="6">
        <v>168</v>
      </c>
      <c r="B170" s="7">
        <v>70.219711303710938</v>
      </c>
      <c r="C170" s="3"/>
    </row>
    <row r="171" spans="1:3" ht="13.2" x14ac:dyDescent="0.25">
      <c r="A171" s="6">
        <v>169</v>
      </c>
      <c r="B171" s="7">
        <v>70.760467529296875</v>
      </c>
      <c r="C171" s="3"/>
    </row>
    <row r="172" spans="1:3" ht="13.2" x14ac:dyDescent="0.25">
      <c r="A172" s="6">
        <v>170</v>
      </c>
      <c r="B172" s="7">
        <v>70.697769165039063</v>
      </c>
      <c r="C172" s="3"/>
    </row>
    <row r="173" spans="1:3" ht="13.2" x14ac:dyDescent="0.25">
      <c r="A173" s="6">
        <v>171</v>
      </c>
      <c r="B173" s="7">
        <v>72.31219482421875</v>
      </c>
      <c r="C173" s="3"/>
    </row>
    <row r="174" spans="1:3" ht="13.2" x14ac:dyDescent="0.25">
      <c r="A174" s="6">
        <v>172</v>
      </c>
      <c r="B174" s="7">
        <v>71.207183837890625</v>
      </c>
      <c r="C174" s="3"/>
    </row>
    <row r="175" spans="1:3" ht="13.2" x14ac:dyDescent="0.25">
      <c r="A175" s="6">
        <v>173</v>
      </c>
      <c r="B175" s="7">
        <v>71.1209716796875</v>
      </c>
      <c r="C175" s="3"/>
    </row>
    <row r="176" spans="1:3" ht="13.2" x14ac:dyDescent="0.25">
      <c r="A176" s="6">
        <v>174</v>
      </c>
      <c r="B176" s="7">
        <v>71.222862243652344</v>
      </c>
      <c r="C176" s="3"/>
    </row>
    <row r="177" spans="1:3" ht="13.2" x14ac:dyDescent="0.25">
      <c r="A177" s="6">
        <v>175</v>
      </c>
      <c r="B177" s="7">
        <v>68.840408325195313</v>
      </c>
      <c r="C177" s="3"/>
    </row>
    <row r="178" spans="1:3" ht="13.2" x14ac:dyDescent="0.25">
      <c r="A178" s="6">
        <v>176</v>
      </c>
      <c r="B178" s="7">
        <v>71.661727905273438</v>
      </c>
      <c r="C178" s="3"/>
    </row>
    <row r="179" spans="1:3" ht="13.2" x14ac:dyDescent="0.25">
      <c r="A179" s="6">
        <v>177</v>
      </c>
      <c r="B179" s="7">
        <v>71.434455871582031</v>
      </c>
      <c r="C179" s="3"/>
    </row>
    <row r="180" spans="1:3" ht="13.2" x14ac:dyDescent="0.25">
      <c r="A180" s="6">
        <v>178</v>
      </c>
      <c r="B180" s="7">
        <v>68.887428283691406</v>
      </c>
      <c r="C180" s="3"/>
    </row>
    <row r="181" spans="1:3" ht="13.2" x14ac:dyDescent="0.25">
      <c r="A181" s="6">
        <v>179</v>
      </c>
      <c r="B181" s="7">
        <v>68.550430297851563</v>
      </c>
      <c r="C181" s="3"/>
    </row>
    <row r="182" spans="1:3" ht="13.2" x14ac:dyDescent="0.25">
      <c r="A182" s="6">
        <v>180</v>
      </c>
      <c r="B182" s="7">
        <v>70.525367736816406</v>
      </c>
      <c r="C182" s="3"/>
    </row>
    <row r="183" spans="1:3" ht="13.2" x14ac:dyDescent="0.25">
      <c r="A183" s="6">
        <v>181</v>
      </c>
      <c r="B183" s="7">
        <v>73.009696960449219</v>
      </c>
      <c r="C183" s="3"/>
    </row>
    <row r="184" spans="1:3" ht="13.2" x14ac:dyDescent="0.25">
      <c r="A184" s="6">
        <v>182</v>
      </c>
      <c r="B184" s="7">
        <v>72.061416625976563</v>
      </c>
      <c r="C184" s="3"/>
    </row>
    <row r="185" spans="1:3" ht="13.2" x14ac:dyDescent="0.25">
      <c r="A185" s="6">
        <v>183</v>
      </c>
      <c r="B185" s="7">
        <v>70.509689331054688</v>
      </c>
      <c r="C185" s="3"/>
    </row>
    <row r="186" spans="1:3" ht="13.2" x14ac:dyDescent="0.25">
      <c r="A186" s="6">
        <v>184</v>
      </c>
      <c r="B186" s="7">
        <v>69.114700317382813</v>
      </c>
      <c r="C186" s="3"/>
    </row>
    <row r="187" spans="1:3" ht="13.2" x14ac:dyDescent="0.25">
      <c r="A187" s="6">
        <v>185</v>
      </c>
      <c r="B187" s="7">
        <v>70.094337463378906</v>
      </c>
      <c r="C187" s="3"/>
    </row>
    <row r="188" spans="1:3" ht="13.2" x14ac:dyDescent="0.25">
      <c r="A188" s="6">
        <v>186</v>
      </c>
      <c r="B188" s="7">
        <v>72.570823669433594</v>
      </c>
      <c r="C188" s="3"/>
    </row>
    <row r="189" spans="1:3" ht="13.2" x14ac:dyDescent="0.25">
      <c r="A189" s="6">
        <v>187</v>
      </c>
      <c r="B189" s="7">
        <v>75.462677001953125</v>
      </c>
      <c r="C189" s="3"/>
    </row>
    <row r="190" spans="1:3" ht="13.2" x14ac:dyDescent="0.25">
      <c r="A190" s="6">
        <v>188</v>
      </c>
      <c r="B190" s="7">
        <v>76.787139892578125</v>
      </c>
      <c r="C190" s="3"/>
    </row>
    <row r="191" spans="1:3" ht="13.2" x14ac:dyDescent="0.25">
      <c r="A191" s="6">
        <v>189</v>
      </c>
      <c r="B191" s="7">
        <v>79.88275146484375</v>
      </c>
      <c r="C191" s="3"/>
    </row>
    <row r="192" spans="1:3" ht="13.2" x14ac:dyDescent="0.25">
      <c r="A192" s="6">
        <v>190</v>
      </c>
      <c r="B192" s="7">
        <v>86.183723449707031</v>
      </c>
      <c r="C192" s="3"/>
    </row>
    <row r="193" spans="1:3" ht="13.2" x14ac:dyDescent="0.25">
      <c r="A193" s="6">
        <v>191</v>
      </c>
      <c r="B193" s="7">
        <v>84.86712646484375</v>
      </c>
      <c r="C193" s="3"/>
    </row>
    <row r="194" spans="1:3" ht="13.2" x14ac:dyDescent="0.25">
      <c r="A194" s="6">
        <v>192</v>
      </c>
      <c r="B194" s="7">
        <v>82.678825378417969</v>
      </c>
      <c r="C194" s="3"/>
    </row>
    <row r="195" spans="1:3" ht="13.2" x14ac:dyDescent="0.25">
      <c r="A195" s="6">
        <v>193</v>
      </c>
      <c r="B195" s="7">
        <v>79.087203979492188</v>
      </c>
      <c r="C195" s="3"/>
    </row>
    <row r="196" spans="1:3" ht="13.2" x14ac:dyDescent="0.25">
      <c r="A196" s="6">
        <v>194</v>
      </c>
      <c r="B196" s="7">
        <v>78.754203796386719</v>
      </c>
      <c r="C196" s="3"/>
    </row>
    <row r="197" spans="1:3" ht="13.2" x14ac:dyDescent="0.25">
      <c r="A197" s="6">
        <v>195</v>
      </c>
      <c r="B197" s="7">
        <v>78.801773071289063</v>
      </c>
      <c r="C197" s="3"/>
    </row>
    <row r="198" spans="1:3" ht="13.2" x14ac:dyDescent="0.25">
      <c r="A198" s="6">
        <v>196</v>
      </c>
      <c r="B198" s="7">
        <v>83.860191345214844</v>
      </c>
      <c r="C198" s="3"/>
    </row>
    <row r="199" spans="1:3" ht="13.2" x14ac:dyDescent="0.25">
      <c r="A199" s="6">
        <v>197</v>
      </c>
      <c r="B199" s="7">
        <v>82.42510986328125</v>
      </c>
      <c r="C199" s="3"/>
    </row>
    <row r="200" spans="1:3" ht="13.2" x14ac:dyDescent="0.25">
      <c r="A200" s="6">
        <v>198</v>
      </c>
      <c r="B200" s="7">
        <v>79.721488952636719</v>
      </c>
      <c r="C200" s="3"/>
    </row>
    <row r="201" spans="1:3" ht="13.2" x14ac:dyDescent="0.25">
      <c r="A201" s="6">
        <v>199</v>
      </c>
      <c r="B201" s="7">
        <v>79.443977355957031</v>
      </c>
      <c r="C201" s="3"/>
    </row>
    <row r="202" spans="1:3" ht="13.2" x14ac:dyDescent="0.25">
      <c r="A202" s="6">
        <v>200</v>
      </c>
      <c r="B202" s="7">
        <v>83.225906372070313</v>
      </c>
      <c r="C202" s="3"/>
    </row>
    <row r="203" spans="1:3" ht="13.2" x14ac:dyDescent="0.25">
      <c r="A203" s="6">
        <v>201</v>
      </c>
      <c r="B203" s="7">
        <v>83.72540283203125</v>
      </c>
      <c r="C203" s="3"/>
    </row>
    <row r="204" spans="1:3" ht="13.2" x14ac:dyDescent="0.25">
      <c r="A204" s="6">
        <v>202</v>
      </c>
      <c r="B204" s="7">
        <v>84.058395385742188</v>
      </c>
      <c r="C204" s="3"/>
    </row>
    <row r="205" spans="1:3" ht="13.2" x14ac:dyDescent="0.25">
      <c r="A205" s="6">
        <v>203</v>
      </c>
      <c r="B205" s="7">
        <v>84.573753356933594</v>
      </c>
      <c r="C205" s="3"/>
    </row>
    <row r="206" spans="1:3" ht="13.2" x14ac:dyDescent="0.25">
      <c r="A206" s="6">
        <v>204</v>
      </c>
      <c r="B206" s="7">
        <v>85.430030822753906</v>
      </c>
      <c r="C206" s="3"/>
    </row>
    <row r="207" spans="1:3" ht="13.2" x14ac:dyDescent="0.25">
      <c r="A207" s="6">
        <v>205</v>
      </c>
      <c r="B207" s="7">
        <v>82.8453369140625</v>
      </c>
      <c r="C207" s="3"/>
    </row>
    <row r="208" spans="1:3" ht="13.2" x14ac:dyDescent="0.25">
      <c r="A208" s="6">
        <v>206</v>
      </c>
      <c r="B208" s="7">
        <v>82.662979125976563</v>
      </c>
      <c r="C208" s="3"/>
    </row>
    <row r="209" spans="1:3" ht="13.2" x14ac:dyDescent="0.25">
      <c r="A209" s="6">
        <v>207</v>
      </c>
      <c r="B209" s="7">
        <v>82.250679016113281</v>
      </c>
      <c r="C209" s="3"/>
    </row>
    <row r="210" spans="1:3" ht="13.2" x14ac:dyDescent="0.25">
      <c r="A210" s="6">
        <v>208</v>
      </c>
      <c r="B210" s="7">
        <v>80.97418212890625</v>
      </c>
      <c r="C210" s="3"/>
    </row>
    <row r="211" spans="1:3" ht="13.2" x14ac:dyDescent="0.25">
      <c r="A211" s="6">
        <v>209</v>
      </c>
      <c r="B211" s="7">
        <v>80.720497131347656</v>
      </c>
      <c r="C211" s="3"/>
    </row>
    <row r="212" spans="1:3" ht="13.2" x14ac:dyDescent="0.25">
      <c r="A212" s="6">
        <v>210</v>
      </c>
      <c r="B212" s="7">
        <v>80.633270263671875</v>
      </c>
      <c r="C212" s="3"/>
    </row>
    <row r="213" spans="1:3" ht="13.2" x14ac:dyDescent="0.25">
      <c r="A213" s="6">
        <v>211</v>
      </c>
      <c r="B213" s="7">
        <v>79.30126953125</v>
      </c>
      <c r="C213" s="3"/>
    </row>
    <row r="214" spans="1:3" ht="13.2" x14ac:dyDescent="0.25">
      <c r="A214" s="6">
        <v>212</v>
      </c>
      <c r="B214" s="7">
        <v>79.745254516601563</v>
      </c>
      <c r="C214" s="3"/>
    </row>
    <row r="215" spans="1:3" ht="13.2" x14ac:dyDescent="0.25">
      <c r="A215" s="6">
        <v>213</v>
      </c>
      <c r="B215" s="7">
        <v>81.188270568847656</v>
      </c>
      <c r="C215" s="3"/>
    </row>
    <row r="216" spans="1:3" ht="13.2" x14ac:dyDescent="0.25">
      <c r="A216" s="6">
        <v>214</v>
      </c>
      <c r="B216" s="7">
        <v>82.329986572265625</v>
      </c>
      <c r="C216" s="3"/>
    </row>
    <row r="217" spans="1:3" ht="13.2" x14ac:dyDescent="0.25">
      <c r="A217" s="6">
        <v>215</v>
      </c>
      <c r="B217" s="7">
        <v>82.448890686035156</v>
      </c>
      <c r="C217" s="3"/>
    </row>
    <row r="218" spans="1:3" ht="13.2" x14ac:dyDescent="0.25">
      <c r="A218" s="6">
        <v>216</v>
      </c>
      <c r="B218" s="7">
        <v>85.200111389160156</v>
      </c>
      <c r="C218" s="3"/>
    </row>
    <row r="219" spans="1:3" ht="13.2" x14ac:dyDescent="0.25">
      <c r="A219" s="6">
        <v>217</v>
      </c>
      <c r="B219" s="7">
        <v>84.565834045410156</v>
      </c>
      <c r="C219" s="3"/>
    </row>
    <row r="220" spans="1:3" ht="13.2" x14ac:dyDescent="0.25">
      <c r="A220" s="6">
        <v>218</v>
      </c>
      <c r="B220" s="7">
        <v>83.788848876953125</v>
      </c>
      <c r="C220" s="3"/>
    </row>
    <row r="221" spans="1:3" ht="13.2" x14ac:dyDescent="0.25">
      <c r="A221" s="6">
        <v>219</v>
      </c>
      <c r="B221" s="7">
        <v>83.479606628417969</v>
      </c>
      <c r="C221" s="3"/>
    </row>
    <row r="222" spans="1:3" ht="13.2" x14ac:dyDescent="0.25">
      <c r="A222" s="6">
        <v>220</v>
      </c>
      <c r="B222" s="7">
        <v>81.806694030761719</v>
      </c>
      <c r="C222" s="3"/>
    </row>
    <row r="223" spans="1:3" ht="13.2" x14ac:dyDescent="0.25">
      <c r="A223" s="6">
        <v>221</v>
      </c>
      <c r="B223" s="7">
        <v>80.530197143554688</v>
      </c>
      <c r="C223" s="3"/>
    </row>
    <row r="224" spans="1:3" ht="13.2" x14ac:dyDescent="0.25">
      <c r="A224" s="6">
        <v>222</v>
      </c>
      <c r="B224" s="7">
        <v>80.062416076660156</v>
      </c>
      <c r="C224" s="3"/>
    </row>
    <row r="225" spans="1:3" ht="13.2" x14ac:dyDescent="0.25">
      <c r="A225" s="6">
        <v>223</v>
      </c>
      <c r="B225" s="7">
        <v>80.133766174316406</v>
      </c>
      <c r="C225" s="3"/>
    </row>
    <row r="226" spans="1:3" ht="13.2" x14ac:dyDescent="0.25">
      <c r="A226" s="6">
        <v>224</v>
      </c>
      <c r="B226" s="7">
        <v>80.982124328613281</v>
      </c>
      <c r="C226" s="3"/>
    </row>
    <row r="227" spans="1:3" ht="13.2" x14ac:dyDescent="0.25">
      <c r="A227" s="6">
        <v>225</v>
      </c>
      <c r="B227" s="7">
        <v>83.392402648925781</v>
      </c>
      <c r="C227" s="3"/>
    </row>
    <row r="228" spans="1:3" ht="13.2" x14ac:dyDescent="0.25">
      <c r="A228" s="6">
        <v>226</v>
      </c>
      <c r="B228" s="7">
        <v>82.195198059082031</v>
      </c>
      <c r="C228" s="3"/>
    </row>
    <row r="229" spans="1:3" ht="13.2" x14ac:dyDescent="0.25">
      <c r="A229" s="6">
        <v>227</v>
      </c>
      <c r="B229" s="7">
        <v>81.172401428222656</v>
      </c>
      <c r="C229" s="3"/>
    </row>
    <row r="230" spans="1:3" ht="13.2" x14ac:dyDescent="0.25">
      <c r="A230" s="6">
        <v>228</v>
      </c>
      <c r="B230" s="7">
        <v>81.101058959960938</v>
      </c>
      <c r="C230" s="3"/>
    </row>
    <row r="231" spans="1:3" ht="13.2" x14ac:dyDescent="0.25">
      <c r="A231" s="6">
        <v>229</v>
      </c>
      <c r="B231" s="7">
        <v>82.734321594238281</v>
      </c>
      <c r="C231" s="3"/>
    </row>
    <row r="232" spans="1:3" ht="13.2" x14ac:dyDescent="0.25">
      <c r="A232" s="6">
        <v>230</v>
      </c>
      <c r="B232" s="7">
        <v>81.108993530273438</v>
      </c>
      <c r="C232" s="3"/>
    </row>
    <row r="233" spans="1:3" ht="13.2" x14ac:dyDescent="0.25">
      <c r="A233" s="6">
        <v>231</v>
      </c>
      <c r="B233" s="7">
        <v>80.720497131347656</v>
      </c>
      <c r="C233" s="3"/>
    </row>
    <row r="234" spans="1:3" ht="13.2" x14ac:dyDescent="0.25">
      <c r="A234" s="6">
        <v>232</v>
      </c>
      <c r="B234" s="7">
        <v>80.958335876464844</v>
      </c>
      <c r="C234" s="3"/>
    </row>
    <row r="235" spans="1:3" ht="13.2" x14ac:dyDescent="0.25">
      <c r="A235" s="6">
        <v>233</v>
      </c>
      <c r="B235" s="7">
        <v>79.840408325195313</v>
      </c>
      <c r="C235" s="3"/>
    </row>
    <row r="236" spans="1:3" ht="13.2" x14ac:dyDescent="0.25">
      <c r="A236" s="6">
        <v>234</v>
      </c>
      <c r="B236" s="7">
        <v>77.342918395996094</v>
      </c>
      <c r="C236" s="3"/>
    </row>
    <row r="237" spans="1:3" ht="13.2" x14ac:dyDescent="0.25">
      <c r="A237" s="6">
        <v>235</v>
      </c>
      <c r="B237" s="7">
        <v>75.138786315917969</v>
      </c>
      <c r="C237" s="3"/>
    </row>
    <row r="238" spans="1:3" ht="13.2" x14ac:dyDescent="0.25">
      <c r="A238" s="6">
        <v>236</v>
      </c>
      <c r="B238" s="7">
        <v>72.601661682128906</v>
      </c>
      <c r="C238" s="3"/>
    </row>
    <row r="239" spans="1:3" ht="13.2" x14ac:dyDescent="0.25">
      <c r="A239" s="6">
        <v>237</v>
      </c>
      <c r="B239" s="7">
        <v>72.09423828125</v>
      </c>
      <c r="C239" s="3"/>
    </row>
    <row r="240" spans="1:3" ht="13.2" x14ac:dyDescent="0.25">
      <c r="A240" s="6">
        <v>238</v>
      </c>
      <c r="B240" s="7">
        <v>71.158653259277344</v>
      </c>
      <c r="C240" s="3"/>
    </row>
    <row r="241" spans="1:3" ht="13.2" x14ac:dyDescent="0.25">
      <c r="A241" s="6">
        <v>239</v>
      </c>
      <c r="B241" s="7">
        <v>74.147712707519531</v>
      </c>
      <c r="C241" s="3"/>
    </row>
    <row r="242" spans="1:3" ht="13.2" x14ac:dyDescent="0.25">
      <c r="A242" s="6">
        <v>240</v>
      </c>
      <c r="B242" s="7">
        <v>76.605545043945313</v>
      </c>
      <c r="C242" s="3"/>
    </row>
    <row r="243" spans="1:3" ht="13.2" x14ac:dyDescent="0.25">
      <c r="A243" s="6">
        <v>241</v>
      </c>
      <c r="B243" s="7">
        <v>79.451919555664063</v>
      </c>
      <c r="C243" s="3"/>
    </row>
    <row r="244" spans="1:3" ht="13.2" x14ac:dyDescent="0.25">
      <c r="A244" s="6">
        <v>242</v>
      </c>
      <c r="B244" s="7">
        <v>86.365615844726563</v>
      </c>
      <c r="C244" s="3"/>
    </row>
    <row r="245" spans="1:3" ht="13.2" x14ac:dyDescent="0.25">
      <c r="A245" s="6">
        <v>243</v>
      </c>
      <c r="B245" s="7">
        <v>87.055389404296875</v>
      </c>
      <c r="C245" s="3"/>
    </row>
    <row r="246" spans="1:3" ht="13.2" x14ac:dyDescent="0.25">
      <c r="A246" s="6">
        <v>244</v>
      </c>
      <c r="B246" s="7">
        <v>82.908767700195313</v>
      </c>
      <c r="C246" s="3"/>
    </row>
    <row r="247" spans="1:3" ht="13.2" x14ac:dyDescent="0.25">
      <c r="A247" s="6">
        <v>245</v>
      </c>
      <c r="B247" s="7">
        <v>82.147628784179688</v>
      </c>
      <c r="C247" s="3"/>
    </row>
    <row r="248" spans="1:3" ht="13.2" x14ac:dyDescent="0.25">
      <c r="A248" s="6">
        <v>246</v>
      </c>
      <c r="B248" s="7">
        <v>79.745254516601563</v>
      </c>
      <c r="C248" s="3"/>
    </row>
    <row r="249" spans="1:3" ht="13.2" x14ac:dyDescent="0.25">
      <c r="A249" s="6">
        <v>247</v>
      </c>
      <c r="B249" s="7">
        <v>79.54705810546875</v>
      </c>
      <c r="C249" s="3"/>
    </row>
    <row r="250" spans="1:3" ht="13.2" x14ac:dyDescent="0.25">
      <c r="A250" s="6">
        <v>248</v>
      </c>
      <c r="B250" s="7">
        <v>80.506401062011719</v>
      </c>
      <c r="C250" s="3"/>
    </row>
    <row r="251" spans="1:3" ht="13.2" x14ac:dyDescent="0.25">
      <c r="A251" s="6">
        <v>249</v>
      </c>
      <c r="B251" s="7">
        <v>77.660064697265625</v>
      </c>
      <c r="C251" s="3"/>
    </row>
    <row r="252" spans="1:3" ht="13.2" x14ac:dyDescent="0.25">
      <c r="A252" s="6">
        <v>250</v>
      </c>
      <c r="B252" s="7">
        <v>75.154647827148438</v>
      </c>
      <c r="C252" s="3"/>
    </row>
    <row r="253" spans="1:3" ht="13.2" x14ac:dyDescent="0.25">
      <c r="A253" s="6">
        <v>251</v>
      </c>
      <c r="B253" s="7">
        <v>75.9395751953125</v>
      </c>
      <c r="C253" s="3"/>
    </row>
    <row r="254" spans="1:3" ht="13.2" x14ac:dyDescent="0.25">
      <c r="A254" s="6">
        <v>252</v>
      </c>
      <c r="B254" s="7">
        <v>74.567955017089844</v>
      </c>
      <c r="C254" s="3">
        <f>LN(B254/B2)</f>
        <v>0.66947107144581042</v>
      </c>
    </row>
    <row r="255" spans="1:3" ht="13.2" x14ac:dyDescent="0.25">
      <c r="A255" s="6">
        <v>253</v>
      </c>
      <c r="B255" s="7">
        <v>73.319084167480469</v>
      </c>
      <c r="C255" s="3">
        <f t="shared" ref="C255:C318" si="0">LN(B255/B3)</f>
        <v>0.66693830459849335</v>
      </c>
    </row>
    <row r="256" spans="1:3" ht="13.2" x14ac:dyDescent="0.25">
      <c r="A256" s="6">
        <v>254</v>
      </c>
      <c r="B256" s="7">
        <v>73.842803955078125</v>
      </c>
      <c r="C256" s="3">
        <f t="shared" si="0"/>
        <v>0.68198365861727017</v>
      </c>
    </row>
    <row r="257" spans="1:3" ht="13.2" x14ac:dyDescent="0.25">
      <c r="A257" s="6">
        <v>255</v>
      </c>
      <c r="B257" s="7">
        <v>74.809646606445313</v>
      </c>
      <c r="C257" s="3">
        <f t="shared" si="0"/>
        <v>0.68483958692297986</v>
      </c>
    </row>
    <row r="258" spans="1:3" ht="13.2" x14ac:dyDescent="0.25">
      <c r="A258" s="6">
        <v>256</v>
      </c>
      <c r="B258" s="7">
        <v>77.01727294921875</v>
      </c>
      <c r="C258" s="3">
        <f t="shared" si="0"/>
        <v>0.72142501497274381</v>
      </c>
    </row>
    <row r="259" spans="1:3" ht="13.2" x14ac:dyDescent="0.25">
      <c r="A259" s="6">
        <v>257</v>
      </c>
      <c r="B259" s="7">
        <v>78.26611328125</v>
      </c>
      <c r="C259" s="3">
        <f t="shared" si="0"/>
        <v>0.77167139888178493</v>
      </c>
    </row>
    <row r="260" spans="1:3" ht="13.2" x14ac:dyDescent="0.25">
      <c r="A260" s="6">
        <v>258</v>
      </c>
      <c r="B260" s="7">
        <v>78.040512084960938</v>
      </c>
      <c r="C260" s="3">
        <f t="shared" si="0"/>
        <v>0.72027545861121134</v>
      </c>
    </row>
    <row r="261" spans="1:3" ht="13.2" x14ac:dyDescent="0.25">
      <c r="A261" s="6">
        <v>259</v>
      </c>
      <c r="B261" s="7">
        <v>78.967079162597656</v>
      </c>
      <c r="C261" s="3">
        <f t="shared" si="0"/>
        <v>0.70496129408151098</v>
      </c>
    </row>
    <row r="262" spans="1:3" ht="13.2" x14ac:dyDescent="0.25">
      <c r="A262" s="6">
        <v>260</v>
      </c>
      <c r="B262" s="7">
        <v>78.701187133789063</v>
      </c>
      <c r="C262" s="3">
        <f t="shared" si="0"/>
        <v>0.70982394269922233</v>
      </c>
    </row>
    <row r="263" spans="1:3" ht="13.2" x14ac:dyDescent="0.25">
      <c r="A263" s="6">
        <v>261</v>
      </c>
      <c r="B263" s="7">
        <v>80.320671081542969</v>
      </c>
      <c r="C263" s="3">
        <f t="shared" si="0"/>
        <v>0.73532507504507005</v>
      </c>
    </row>
    <row r="264" spans="1:3" ht="13.2" x14ac:dyDescent="0.25">
      <c r="A264" s="6">
        <v>262</v>
      </c>
      <c r="B264" s="7">
        <v>74.833816528320313</v>
      </c>
      <c r="C264" s="3">
        <f t="shared" si="0"/>
        <v>0.62270934622437768</v>
      </c>
    </row>
    <row r="265" spans="1:3" ht="13.2" x14ac:dyDescent="0.25">
      <c r="A265" s="6">
        <v>263</v>
      </c>
      <c r="B265" s="7">
        <v>73.270744323730469</v>
      </c>
      <c r="C265" s="3">
        <f t="shared" si="0"/>
        <v>0.58690591725865671</v>
      </c>
    </row>
    <row r="266" spans="1:3" ht="13.2" x14ac:dyDescent="0.25">
      <c r="A266" s="6">
        <v>264</v>
      </c>
      <c r="B266" s="7">
        <v>74.261772155761719</v>
      </c>
      <c r="C266" s="3">
        <f t="shared" si="0"/>
        <v>0.61162564760984317</v>
      </c>
    </row>
    <row r="267" spans="1:3" ht="13.2" x14ac:dyDescent="0.25">
      <c r="A267" s="6">
        <v>265</v>
      </c>
      <c r="B267" s="7">
        <v>73.850868225097656</v>
      </c>
      <c r="C267" s="3">
        <f t="shared" si="0"/>
        <v>0.60683370401452774</v>
      </c>
    </row>
    <row r="268" spans="1:3" ht="13.2" x14ac:dyDescent="0.25">
      <c r="A268" s="6">
        <v>266</v>
      </c>
      <c r="B268" s="7">
        <v>75.212486267089844</v>
      </c>
      <c r="C268" s="3">
        <f t="shared" si="0"/>
        <v>0.63825016281829627</v>
      </c>
    </row>
    <row r="269" spans="1:3" ht="13.2" x14ac:dyDescent="0.25">
      <c r="A269" s="6">
        <v>267</v>
      </c>
      <c r="B269" s="7">
        <v>74.874099731445313</v>
      </c>
      <c r="C269" s="3">
        <f t="shared" si="0"/>
        <v>0.61342684638850931</v>
      </c>
    </row>
    <row r="270" spans="1:3" ht="13.2" x14ac:dyDescent="0.25">
      <c r="A270" s="6">
        <v>268</v>
      </c>
      <c r="B270" s="7">
        <v>73.649421691894531</v>
      </c>
      <c r="C270" s="3">
        <f t="shared" si="0"/>
        <v>0.64861435480270491</v>
      </c>
    </row>
    <row r="271" spans="1:3" ht="13.2" x14ac:dyDescent="0.25">
      <c r="A271" s="6">
        <v>269</v>
      </c>
      <c r="B271" s="7">
        <v>71.175926208496094</v>
      </c>
      <c r="C271" s="3">
        <f t="shared" si="0"/>
        <v>0.5821290655325051</v>
      </c>
    </row>
    <row r="272" spans="1:3" ht="13.2" x14ac:dyDescent="0.25">
      <c r="A272" s="6">
        <v>270</v>
      </c>
      <c r="B272" s="7">
        <v>69.806221008300781</v>
      </c>
      <c r="C272" s="3">
        <f t="shared" si="0"/>
        <v>0.57717239491893213</v>
      </c>
    </row>
    <row r="273" spans="1:3" ht="13.2" x14ac:dyDescent="0.25">
      <c r="A273" s="6">
        <v>271</v>
      </c>
      <c r="B273" s="7">
        <v>72.392532348632813</v>
      </c>
      <c r="C273" s="3">
        <f t="shared" si="0"/>
        <v>0.63715698017772626</v>
      </c>
    </row>
    <row r="274" spans="1:3" ht="13.2" x14ac:dyDescent="0.25">
      <c r="A274" s="6">
        <v>272</v>
      </c>
      <c r="B274" s="7">
        <v>70.861701965332031</v>
      </c>
      <c r="C274" s="3">
        <f t="shared" si="0"/>
        <v>0.55797321278071532</v>
      </c>
    </row>
    <row r="275" spans="1:3" ht="13.2" x14ac:dyDescent="0.25">
      <c r="A275" s="6">
        <v>273</v>
      </c>
      <c r="B275" s="7">
        <v>73.254646301269531</v>
      </c>
      <c r="C275" s="3">
        <f t="shared" si="0"/>
        <v>0.60043285220839893</v>
      </c>
    </row>
    <row r="276" spans="1:3" ht="13.2" x14ac:dyDescent="0.25">
      <c r="A276" s="6">
        <v>274</v>
      </c>
      <c r="B276" s="7">
        <v>73.866966247558594</v>
      </c>
      <c r="C276" s="3">
        <f t="shared" si="0"/>
        <v>0.60572753005919056</v>
      </c>
    </row>
    <row r="277" spans="1:3" ht="13.2" x14ac:dyDescent="0.25">
      <c r="A277" s="6">
        <v>275</v>
      </c>
      <c r="B277" s="7">
        <v>74.020057678222656</v>
      </c>
      <c r="C277" s="3">
        <f t="shared" si="0"/>
        <v>0.61329500771477385</v>
      </c>
    </row>
    <row r="278" spans="1:3" ht="13.2" x14ac:dyDescent="0.25">
      <c r="A278" s="6">
        <v>276</v>
      </c>
      <c r="B278" s="7">
        <v>74.157035827636719</v>
      </c>
      <c r="C278" s="3">
        <f t="shared" si="0"/>
        <v>0.61590438641626621</v>
      </c>
    </row>
    <row r="279" spans="1:3" ht="13.2" x14ac:dyDescent="0.25">
      <c r="A279" s="6">
        <v>277</v>
      </c>
      <c r="B279" s="7">
        <v>74.374565124511719</v>
      </c>
      <c r="C279" s="3">
        <f t="shared" si="0"/>
        <v>0.62111891431692345</v>
      </c>
    </row>
    <row r="280" spans="1:3" ht="13.2" x14ac:dyDescent="0.25">
      <c r="A280" s="6">
        <v>278</v>
      </c>
      <c r="B280" s="7">
        <v>75.6072998046875</v>
      </c>
      <c r="C280" s="3">
        <f t="shared" si="0"/>
        <v>0.63033877529080673</v>
      </c>
    </row>
    <row r="281" spans="1:3" ht="13.2" x14ac:dyDescent="0.25">
      <c r="A281" s="6">
        <v>279</v>
      </c>
      <c r="B281" s="7">
        <v>75.542839050292969</v>
      </c>
      <c r="C281" s="3">
        <f t="shared" si="0"/>
        <v>0.61819280182229375</v>
      </c>
    </row>
    <row r="282" spans="1:3" ht="13.2" x14ac:dyDescent="0.25">
      <c r="A282" s="6">
        <v>280</v>
      </c>
      <c r="B282" s="7">
        <v>75.6959228515625</v>
      </c>
      <c r="C282" s="3">
        <f t="shared" si="0"/>
        <v>0.62547130561660014</v>
      </c>
    </row>
    <row r="283" spans="1:3" ht="13.2" x14ac:dyDescent="0.25">
      <c r="A283" s="6">
        <v>281</v>
      </c>
      <c r="B283" s="7">
        <v>76.380783081054688</v>
      </c>
      <c r="C283" s="3">
        <f t="shared" si="0"/>
        <v>0.60701323181376643</v>
      </c>
    </row>
    <row r="284" spans="1:3" ht="13.2" x14ac:dyDescent="0.25">
      <c r="A284" s="6">
        <v>282</v>
      </c>
      <c r="B284" s="7">
        <v>76.606361389160156</v>
      </c>
      <c r="C284" s="3">
        <f t="shared" si="0"/>
        <v>0.61860268446589461</v>
      </c>
    </row>
    <row r="285" spans="1:3" ht="13.2" x14ac:dyDescent="0.25">
      <c r="A285" s="6">
        <v>283</v>
      </c>
      <c r="B285" s="7">
        <v>75.615341186523438</v>
      </c>
      <c r="C285" s="3">
        <f t="shared" si="0"/>
        <v>0.59584354945492768</v>
      </c>
    </row>
    <row r="286" spans="1:3" ht="13.2" x14ac:dyDescent="0.25">
      <c r="A286" s="6">
        <v>284</v>
      </c>
      <c r="B286" s="7">
        <v>75.518669128417969</v>
      </c>
      <c r="C286" s="3">
        <f t="shared" si="0"/>
        <v>0.58782161061435256</v>
      </c>
    </row>
    <row r="287" spans="1:3" ht="13.2" x14ac:dyDescent="0.25">
      <c r="A287" s="6">
        <v>285</v>
      </c>
      <c r="B287" s="7">
        <v>74.293998718261719</v>
      </c>
      <c r="C287" s="3">
        <f t="shared" si="0"/>
        <v>0.56513538335390956</v>
      </c>
    </row>
    <row r="288" spans="1:3" ht="13.2" x14ac:dyDescent="0.25">
      <c r="A288" s="6">
        <v>286</v>
      </c>
      <c r="B288" s="7">
        <v>73.907257080078125</v>
      </c>
      <c r="C288" s="3">
        <f t="shared" si="0"/>
        <v>0.55703289697181835</v>
      </c>
    </row>
    <row r="289" spans="1:3" ht="13.2" x14ac:dyDescent="0.25">
      <c r="A289" s="6">
        <v>287</v>
      </c>
      <c r="B289" s="7">
        <v>73.834747314453125</v>
      </c>
      <c r="C289" s="3">
        <f t="shared" si="0"/>
        <v>0.57256239297330047</v>
      </c>
    </row>
    <row r="290" spans="1:3" ht="13.2" x14ac:dyDescent="0.25">
      <c r="A290" s="6">
        <v>288</v>
      </c>
      <c r="B290" s="7">
        <v>72.988754272460938</v>
      </c>
      <c r="C290" s="3">
        <f t="shared" si="0"/>
        <v>0.51701622216132848</v>
      </c>
    </row>
    <row r="291" spans="1:3" ht="13.2" x14ac:dyDescent="0.25">
      <c r="A291" s="6">
        <v>289</v>
      </c>
      <c r="B291" s="7">
        <v>71.296768188476563</v>
      </c>
      <c r="C291" s="3">
        <f t="shared" si="0"/>
        <v>0.51550974855540999</v>
      </c>
    </row>
    <row r="292" spans="1:3" ht="13.2" x14ac:dyDescent="0.25">
      <c r="A292" s="6">
        <v>290</v>
      </c>
      <c r="B292" s="7">
        <v>76.388816833496094</v>
      </c>
      <c r="C292" s="3">
        <f t="shared" si="0"/>
        <v>0.58413719871433778</v>
      </c>
    </row>
    <row r="293" spans="1:3" ht="13.2" x14ac:dyDescent="0.25">
      <c r="A293" s="6">
        <v>291</v>
      </c>
      <c r="B293" s="7">
        <v>74.65655517578125</v>
      </c>
      <c r="C293" s="3">
        <f t="shared" si="0"/>
        <v>0.57579526615847942</v>
      </c>
    </row>
    <row r="294" spans="1:3" ht="13.2" x14ac:dyDescent="0.25">
      <c r="A294" s="6">
        <v>292</v>
      </c>
      <c r="B294" s="7">
        <v>72.916244506835938</v>
      </c>
      <c r="C294" s="3">
        <f t="shared" si="0"/>
        <v>0.56224236619038226</v>
      </c>
    </row>
    <row r="295" spans="1:3" ht="13.2" x14ac:dyDescent="0.25">
      <c r="A295" s="6">
        <v>293</v>
      </c>
      <c r="B295" s="7">
        <v>72.851776123046875</v>
      </c>
      <c r="C295" s="3">
        <f t="shared" si="0"/>
        <v>0.55769736744394838</v>
      </c>
    </row>
    <row r="296" spans="1:3" ht="13.2" x14ac:dyDescent="0.25">
      <c r="A296" s="6">
        <v>294</v>
      </c>
      <c r="B296" s="7">
        <v>74.721015930175781</v>
      </c>
      <c r="C296" s="3">
        <f t="shared" si="0"/>
        <v>0.59073426512543992</v>
      </c>
    </row>
    <row r="297" spans="1:3" ht="13.2" x14ac:dyDescent="0.25">
      <c r="A297" s="6">
        <v>295</v>
      </c>
      <c r="B297" s="7">
        <v>75.905410766601563</v>
      </c>
      <c r="C297" s="3">
        <f t="shared" si="0"/>
        <v>0.55689945350491254</v>
      </c>
    </row>
    <row r="298" spans="1:3" ht="13.2" x14ac:dyDescent="0.25">
      <c r="A298" s="6">
        <v>296</v>
      </c>
      <c r="B298" s="7">
        <v>76.437171936035156</v>
      </c>
      <c r="C298" s="3">
        <f t="shared" si="0"/>
        <v>0.54754652283129102</v>
      </c>
    </row>
    <row r="299" spans="1:3" ht="13.2" x14ac:dyDescent="0.25">
      <c r="A299" s="6">
        <v>297</v>
      </c>
      <c r="B299" s="7">
        <v>78.024391174316406</v>
      </c>
      <c r="C299" s="3">
        <f t="shared" si="0"/>
        <v>0.55168824081386336</v>
      </c>
    </row>
    <row r="300" spans="1:3" ht="13.2" x14ac:dyDescent="0.25">
      <c r="A300" s="6">
        <v>298</v>
      </c>
      <c r="B300" s="7">
        <v>79.25714111328125</v>
      </c>
      <c r="C300" s="3">
        <f t="shared" si="0"/>
        <v>0.55909067610973839</v>
      </c>
    </row>
    <row r="301" spans="1:3" ht="13.2" x14ac:dyDescent="0.25">
      <c r="A301" s="6">
        <v>299</v>
      </c>
      <c r="B301" s="7">
        <v>77.637657165527344</v>
      </c>
      <c r="C301" s="3">
        <f t="shared" si="0"/>
        <v>0.50520583380587258</v>
      </c>
    </row>
    <row r="302" spans="1:3" ht="13.2" x14ac:dyDescent="0.25">
      <c r="A302" s="6">
        <v>300</v>
      </c>
      <c r="B302" s="7">
        <v>78.193603515625</v>
      </c>
      <c r="C302" s="3">
        <f t="shared" si="0"/>
        <v>0.54088395758863939</v>
      </c>
    </row>
    <row r="303" spans="1:3" ht="13.2" x14ac:dyDescent="0.25">
      <c r="A303" s="6">
        <v>301</v>
      </c>
      <c r="B303" s="7">
        <v>73.488296508789063</v>
      </c>
      <c r="C303" s="3">
        <f t="shared" si="0"/>
        <v>0.53086462025596004</v>
      </c>
    </row>
    <row r="304" spans="1:3" ht="13.2" x14ac:dyDescent="0.25">
      <c r="A304" s="6">
        <v>302</v>
      </c>
      <c r="B304" s="7">
        <v>73.528572082519531</v>
      </c>
      <c r="C304" s="3">
        <f t="shared" si="0"/>
        <v>0.54044494036017288</v>
      </c>
    </row>
    <row r="305" spans="1:3" ht="13.2" x14ac:dyDescent="0.25">
      <c r="A305" s="6">
        <v>303</v>
      </c>
      <c r="B305" s="7">
        <v>75.011077880859375</v>
      </c>
      <c r="C305" s="3">
        <f t="shared" si="0"/>
        <v>0.54627439543437917</v>
      </c>
    </row>
    <row r="306" spans="1:3" ht="13.2" x14ac:dyDescent="0.25">
      <c r="A306" s="6">
        <v>304</v>
      </c>
      <c r="B306" s="7">
        <v>75.9617919921875</v>
      </c>
      <c r="C306" s="3">
        <f t="shared" si="0"/>
        <v>0.54199764586585664</v>
      </c>
    </row>
    <row r="307" spans="1:3" ht="13.2" x14ac:dyDescent="0.25">
      <c r="A307" s="6">
        <v>305</v>
      </c>
      <c r="B307" s="7">
        <v>76.566070556640625</v>
      </c>
      <c r="C307" s="3">
        <f t="shared" si="0"/>
        <v>0.48903270796824777</v>
      </c>
    </row>
    <row r="308" spans="1:3" ht="13.2" x14ac:dyDescent="0.25">
      <c r="A308" s="6">
        <v>306</v>
      </c>
      <c r="B308" s="7">
        <v>76.380783081054688</v>
      </c>
      <c r="C308" s="3">
        <f t="shared" si="0"/>
        <v>0.48401667656326092</v>
      </c>
    </row>
    <row r="309" spans="1:3" ht="13.2" x14ac:dyDescent="0.25">
      <c r="A309" s="6">
        <v>307</v>
      </c>
      <c r="B309" s="7">
        <v>75.534767150878906</v>
      </c>
      <c r="C309" s="3">
        <f t="shared" si="0"/>
        <v>0.51283769804915735</v>
      </c>
    </row>
    <row r="310" spans="1:3" ht="13.2" x14ac:dyDescent="0.25">
      <c r="A310" s="6">
        <v>308</v>
      </c>
      <c r="B310" s="7">
        <v>75.5750732421875</v>
      </c>
      <c r="C310" s="3">
        <f t="shared" si="0"/>
        <v>0.51826864184372667</v>
      </c>
    </row>
    <row r="311" spans="1:3" ht="13.2" x14ac:dyDescent="0.25">
      <c r="A311" s="6">
        <v>309</v>
      </c>
      <c r="B311" s="7">
        <v>77.001152038574219</v>
      </c>
      <c r="C311" s="3">
        <f t="shared" si="0"/>
        <v>0.54546314389165118</v>
      </c>
    </row>
    <row r="312" spans="1:3" ht="13.2" x14ac:dyDescent="0.25">
      <c r="A312" s="6">
        <v>310</v>
      </c>
      <c r="B312" s="7">
        <v>74.527641296386719</v>
      </c>
      <c r="C312" s="3">
        <f t="shared" si="0"/>
        <v>0.51743324344529151</v>
      </c>
    </row>
    <row r="313" spans="1:3" ht="13.2" x14ac:dyDescent="0.25">
      <c r="A313" s="6">
        <v>311</v>
      </c>
      <c r="B313" s="7">
        <v>75.123878479003906</v>
      </c>
      <c r="C313" s="3">
        <f t="shared" si="0"/>
        <v>0.51652187778140191</v>
      </c>
    </row>
    <row r="314" spans="1:3" ht="13.2" x14ac:dyDescent="0.25">
      <c r="A314" s="6">
        <v>312</v>
      </c>
      <c r="B314" s="7">
        <v>74.229545593261719</v>
      </c>
      <c r="C314" s="3">
        <f t="shared" si="0"/>
        <v>0.49726176212963968</v>
      </c>
    </row>
    <row r="315" spans="1:3" ht="13.2" x14ac:dyDescent="0.25">
      <c r="A315" s="6">
        <v>313</v>
      </c>
      <c r="B315" s="7">
        <v>72.980697631835938</v>
      </c>
      <c r="C315" s="3">
        <f t="shared" si="0"/>
        <v>0.48842863578144663</v>
      </c>
    </row>
    <row r="316" spans="1:3" ht="13.2" x14ac:dyDescent="0.25">
      <c r="A316" s="6">
        <v>314</v>
      </c>
      <c r="B316" s="7">
        <v>73.294937133789063</v>
      </c>
      <c r="C316" s="3">
        <f t="shared" si="0"/>
        <v>0.48881923834766505</v>
      </c>
    </row>
    <row r="317" spans="1:3" ht="13.2" x14ac:dyDescent="0.25">
      <c r="A317" s="6">
        <v>315</v>
      </c>
      <c r="B317" s="7">
        <v>69.620918273925781</v>
      </c>
      <c r="C317" s="3">
        <f t="shared" si="0"/>
        <v>0.40078298027716142</v>
      </c>
    </row>
    <row r="318" spans="1:3" ht="13.2" x14ac:dyDescent="0.25">
      <c r="A318" s="6">
        <v>316</v>
      </c>
      <c r="B318" s="7">
        <v>70.668327331542969</v>
      </c>
      <c r="C318" s="3">
        <f t="shared" si="0"/>
        <v>0.43852256326555128</v>
      </c>
    </row>
    <row r="319" spans="1:3" ht="13.2" x14ac:dyDescent="0.25">
      <c r="A319" s="6">
        <v>317</v>
      </c>
      <c r="B319" s="7">
        <v>71.353164672851563</v>
      </c>
      <c r="C319" s="3">
        <f t="shared" ref="C319:C382" si="1">LN(B319/B67)</f>
        <v>0.47184866421353694</v>
      </c>
    </row>
    <row r="320" spans="1:3" ht="13.2" x14ac:dyDescent="0.25">
      <c r="A320" s="6">
        <v>318</v>
      </c>
      <c r="B320" s="7">
        <v>71.071189880371094</v>
      </c>
      <c r="C320" s="3">
        <f t="shared" si="1"/>
        <v>0.46106546284008021</v>
      </c>
    </row>
    <row r="321" spans="1:3" ht="13.2" x14ac:dyDescent="0.25">
      <c r="A321" s="6">
        <v>319</v>
      </c>
      <c r="B321" s="7">
        <v>72.835662841796875</v>
      </c>
      <c r="C321" s="3">
        <f t="shared" si="1"/>
        <v>0.47666638432663766</v>
      </c>
    </row>
    <row r="322" spans="1:3" ht="13.2" x14ac:dyDescent="0.25">
      <c r="A322" s="6">
        <v>320</v>
      </c>
      <c r="B322" s="7">
        <v>73.197189331054688</v>
      </c>
      <c r="C322" s="3">
        <f t="shared" si="1"/>
        <v>0.47379065490455419</v>
      </c>
    </row>
    <row r="323" spans="1:3" ht="13.2" x14ac:dyDescent="0.25">
      <c r="A323" s="6">
        <v>321</v>
      </c>
      <c r="B323" s="7">
        <v>74.183097839355469</v>
      </c>
      <c r="C323" s="3">
        <f t="shared" si="1"/>
        <v>0.5125747025026085</v>
      </c>
    </row>
    <row r="324" spans="1:3" ht="13.2" x14ac:dyDescent="0.25">
      <c r="A324" s="6">
        <v>322</v>
      </c>
      <c r="B324" s="7">
        <v>76.196044921875</v>
      </c>
      <c r="C324" s="3">
        <f t="shared" si="1"/>
        <v>0.51818955240917974</v>
      </c>
    </row>
    <row r="325" spans="1:3" ht="13.2" x14ac:dyDescent="0.25">
      <c r="A325" s="6">
        <v>323</v>
      </c>
      <c r="B325" s="7">
        <v>76.861557006835938</v>
      </c>
      <c r="C325" s="3">
        <f t="shared" si="1"/>
        <v>0.53286078025812733</v>
      </c>
    </row>
    <row r="326" spans="1:3" ht="13.2" x14ac:dyDescent="0.25">
      <c r="A326" s="6">
        <v>324</v>
      </c>
      <c r="B326" s="7">
        <v>74.42138671875</v>
      </c>
      <c r="C326" s="3">
        <f t="shared" si="1"/>
        <v>0.47024206924395673</v>
      </c>
    </row>
    <row r="327" spans="1:3" ht="13.2" x14ac:dyDescent="0.25">
      <c r="A327" s="6">
        <v>325</v>
      </c>
      <c r="B327" s="7">
        <v>74.150253295898438</v>
      </c>
      <c r="C327" s="3">
        <f t="shared" si="1"/>
        <v>0.4629444753805908</v>
      </c>
    </row>
    <row r="328" spans="1:3" ht="13.2" x14ac:dyDescent="0.25">
      <c r="A328" s="6">
        <v>326</v>
      </c>
      <c r="B328" s="7">
        <v>74.906112670898438</v>
      </c>
      <c r="C328" s="3">
        <f t="shared" si="1"/>
        <v>0.49669973372183263</v>
      </c>
    </row>
    <row r="329" spans="1:3" ht="13.2" x14ac:dyDescent="0.25">
      <c r="A329" s="6">
        <v>327</v>
      </c>
      <c r="B329" s="7">
        <v>74.634979248046875</v>
      </c>
      <c r="C329" s="3">
        <f t="shared" si="1"/>
        <v>0.48514010502559973</v>
      </c>
    </row>
    <row r="330" spans="1:3" ht="13.2" x14ac:dyDescent="0.25">
      <c r="A330" s="6">
        <v>328</v>
      </c>
      <c r="B330" s="7">
        <v>72.400222778320313</v>
      </c>
      <c r="C330" s="3">
        <f t="shared" si="1"/>
        <v>0.45625456167825768</v>
      </c>
    </row>
    <row r="331" spans="1:3" ht="13.2" x14ac:dyDescent="0.25">
      <c r="A331" s="6">
        <v>329</v>
      </c>
      <c r="B331" s="7">
        <v>71.529304504394531</v>
      </c>
      <c r="C331" s="3">
        <f t="shared" si="1"/>
        <v>0.47423491896827019</v>
      </c>
    </row>
    <row r="332" spans="1:3" ht="13.2" x14ac:dyDescent="0.25">
      <c r="A332" s="6">
        <v>330</v>
      </c>
      <c r="B332" s="7">
        <v>70.568023681640625</v>
      </c>
      <c r="C332" s="3">
        <f t="shared" si="1"/>
        <v>0.44503779441520502</v>
      </c>
    </row>
    <row r="333" spans="1:3" ht="13.2" x14ac:dyDescent="0.25">
      <c r="A333" s="6">
        <v>331</v>
      </c>
      <c r="B333" s="7">
        <v>72.079780578613281</v>
      </c>
      <c r="C333" s="3">
        <f t="shared" si="1"/>
        <v>0.46486873547406715</v>
      </c>
    </row>
    <row r="334" spans="1:3" ht="13.2" x14ac:dyDescent="0.25">
      <c r="A334" s="6">
        <v>332</v>
      </c>
      <c r="B334" s="7">
        <v>70.863807678222656</v>
      </c>
      <c r="C334" s="3">
        <f t="shared" si="1"/>
        <v>0.43430016811159261</v>
      </c>
    </row>
    <row r="335" spans="1:3" ht="13.2" x14ac:dyDescent="0.25">
      <c r="A335" s="6">
        <v>333</v>
      </c>
      <c r="B335" s="7">
        <v>71.800437927246094</v>
      </c>
      <c r="C335" s="3">
        <f t="shared" si="1"/>
        <v>0.45979255446149725</v>
      </c>
    </row>
    <row r="336" spans="1:3" ht="13.2" x14ac:dyDescent="0.25">
      <c r="A336" s="6">
        <v>334</v>
      </c>
      <c r="B336" s="7">
        <v>73.049293518066406</v>
      </c>
      <c r="C336" s="3">
        <f t="shared" si="1"/>
        <v>0.48387502809994093</v>
      </c>
    </row>
    <row r="337" spans="1:3" ht="13.2" x14ac:dyDescent="0.25">
      <c r="A337" s="6">
        <v>335</v>
      </c>
      <c r="B337" s="7">
        <v>69.992904663085938</v>
      </c>
      <c r="C337" s="3">
        <f t="shared" si="1"/>
        <v>0.4433671081019554</v>
      </c>
    </row>
    <row r="338" spans="1:3" ht="13.2" x14ac:dyDescent="0.25">
      <c r="A338" s="6">
        <v>336</v>
      </c>
      <c r="B338" s="7">
        <v>67.519859313964844</v>
      </c>
      <c r="C338" s="3">
        <f t="shared" si="1"/>
        <v>0.44007588360127509</v>
      </c>
    </row>
    <row r="339" spans="1:3" ht="13.2" x14ac:dyDescent="0.25">
      <c r="A339" s="6">
        <v>337</v>
      </c>
      <c r="B339" s="7">
        <v>68.218223571777344</v>
      </c>
      <c r="C339" s="3">
        <f t="shared" si="1"/>
        <v>0.47100743222234287</v>
      </c>
    </row>
    <row r="340" spans="1:3" ht="13.2" x14ac:dyDescent="0.25">
      <c r="A340" s="6">
        <v>338</v>
      </c>
      <c r="B340" s="7">
        <v>68.209991455078125</v>
      </c>
      <c r="C340" s="3">
        <f t="shared" si="1"/>
        <v>0.45684008691142036</v>
      </c>
    </row>
    <row r="341" spans="1:3" ht="13.2" x14ac:dyDescent="0.25">
      <c r="A341" s="6">
        <v>339</v>
      </c>
      <c r="B341" s="7">
        <v>68.596168518066406</v>
      </c>
      <c r="C341" s="3">
        <f t="shared" si="1"/>
        <v>0.4905953097062839</v>
      </c>
    </row>
    <row r="342" spans="1:3" ht="13.2" x14ac:dyDescent="0.25">
      <c r="A342" s="6">
        <v>340</v>
      </c>
      <c r="B342" s="7">
        <v>67.478767395019531</v>
      </c>
      <c r="C342" s="3">
        <f t="shared" si="1"/>
        <v>0.4622870147434624</v>
      </c>
    </row>
    <row r="343" spans="1:3" ht="13.2" x14ac:dyDescent="0.25">
      <c r="A343" s="6">
        <v>341</v>
      </c>
      <c r="B343" s="7">
        <v>67.577384948730469</v>
      </c>
      <c r="C343" s="3">
        <f t="shared" si="1"/>
        <v>0.4633843230550021</v>
      </c>
    </row>
    <row r="344" spans="1:3" ht="13.2" x14ac:dyDescent="0.25">
      <c r="A344" s="6">
        <v>342</v>
      </c>
      <c r="B344" s="7">
        <v>65.975242614746094</v>
      </c>
      <c r="C344" s="3">
        <f t="shared" si="1"/>
        <v>0.43920882527260896</v>
      </c>
    </row>
    <row r="345" spans="1:3" ht="13.2" x14ac:dyDescent="0.25">
      <c r="A345" s="6">
        <v>343</v>
      </c>
      <c r="B345" s="7">
        <v>65.720527648925781</v>
      </c>
      <c r="C345" s="3">
        <f t="shared" si="1"/>
        <v>0.43661280988521189</v>
      </c>
    </row>
    <row r="346" spans="1:3" ht="13.2" x14ac:dyDescent="0.25">
      <c r="A346" s="6">
        <v>344</v>
      </c>
      <c r="B346" s="7">
        <v>67.692390441894531</v>
      </c>
      <c r="C346" s="3">
        <f t="shared" si="1"/>
        <v>0.44333875981492221</v>
      </c>
    </row>
    <row r="347" spans="1:3" ht="13.2" x14ac:dyDescent="0.25">
      <c r="A347" s="6">
        <v>345</v>
      </c>
      <c r="B347" s="7">
        <v>66.229911804199219</v>
      </c>
      <c r="C347" s="3">
        <f t="shared" si="1"/>
        <v>0.45843792706495679</v>
      </c>
    </row>
    <row r="348" spans="1:3" ht="13.2" x14ac:dyDescent="0.25">
      <c r="A348" s="6">
        <v>346</v>
      </c>
      <c r="B348" s="7">
        <v>65.958793640136719</v>
      </c>
      <c r="C348" s="3">
        <f t="shared" si="1"/>
        <v>0.45194059212973947</v>
      </c>
    </row>
    <row r="349" spans="1:3" ht="13.2" x14ac:dyDescent="0.25">
      <c r="A349" s="6">
        <v>347</v>
      </c>
      <c r="B349" s="7">
        <v>66.229911804199219</v>
      </c>
      <c r="C349" s="3">
        <f t="shared" si="1"/>
        <v>0.45163568957542588</v>
      </c>
    </row>
    <row r="350" spans="1:3" ht="13.2" x14ac:dyDescent="0.25">
      <c r="A350" s="6">
        <v>348</v>
      </c>
      <c r="B350" s="7">
        <v>66.394241333007813</v>
      </c>
      <c r="C350" s="3">
        <f t="shared" si="1"/>
        <v>0.44517634502915304</v>
      </c>
    </row>
    <row r="351" spans="1:3" ht="13.2" x14ac:dyDescent="0.25">
      <c r="A351" s="6">
        <v>349</v>
      </c>
      <c r="B351" s="7">
        <v>69.080902099609375</v>
      </c>
      <c r="C351" s="3">
        <f t="shared" si="1"/>
        <v>0.4460216607906321</v>
      </c>
    </row>
    <row r="352" spans="1:3" ht="13.2" x14ac:dyDescent="0.25">
      <c r="A352" s="6">
        <v>350</v>
      </c>
      <c r="B352" s="7">
        <v>69.508140563964844</v>
      </c>
      <c r="C352" s="3">
        <f t="shared" si="1"/>
        <v>0.42275579922919393</v>
      </c>
    </row>
    <row r="353" spans="1:3" ht="13.2" x14ac:dyDescent="0.25">
      <c r="A353" s="6">
        <v>351</v>
      </c>
      <c r="B353" s="7">
        <v>71.841514587402344</v>
      </c>
      <c r="C353" s="3">
        <f t="shared" si="1"/>
        <v>0.45577442965940507</v>
      </c>
    </row>
    <row r="354" spans="1:3" ht="13.2" x14ac:dyDescent="0.25">
      <c r="A354" s="6">
        <v>352</v>
      </c>
      <c r="B354" s="7">
        <v>70.033988952636719</v>
      </c>
      <c r="C354" s="3">
        <f t="shared" si="1"/>
        <v>0.44670895363097196</v>
      </c>
    </row>
    <row r="355" spans="1:3" ht="13.2" x14ac:dyDescent="0.25">
      <c r="A355" s="6">
        <v>353</v>
      </c>
      <c r="B355" s="7">
        <v>71.233535766601563</v>
      </c>
      <c r="C355" s="3">
        <f t="shared" si="1"/>
        <v>0.44829356168738849</v>
      </c>
    </row>
    <row r="356" spans="1:3" ht="13.2" x14ac:dyDescent="0.25">
      <c r="A356" s="6">
        <v>354</v>
      </c>
      <c r="B356" s="7">
        <v>73.509376525878906</v>
      </c>
      <c r="C356" s="3">
        <f t="shared" si="1"/>
        <v>0.48536163451756187</v>
      </c>
    </row>
    <row r="357" spans="1:3" ht="13.2" x14ac:dyDescent="0.25">
      <c r="A357" s="6">
        <v>355</v>
      </c>
      <c r="B357" s="7">
        <v>77.025871276855469</v>
      </c>
      <c r="C357" s="3">
        <f t="shared" si="1"/>
        <v>0.53209002068468514</v>
      </c>
    </row>
    <row r="358" spans="1:3" ht="13.2" x14ac:dyDescent="0.25">
      <c r="A358" s="6">
        <v>356</v>
      </c>
      <c r="B358" s="7">
        <v>77.658523559570313</v>
      </c>
      <c r="C358" s="3">
        <f t="shared" si="1"/>
        <v>0.53805257997169142</v>
      </c>
    </row>
    <row r="359" spans="1:3" ht="13.2" x14ac:dyDescent="0.25">
      <c r="A359" s="6">
        <v>357</v>
      </c>
      <c r="B359" s="7">
        <v>78.365097045898438</v>
      </c>
      <c r="C359" s="3">
        <f t="shared" si="1"/>
        <v>0.54710990493185496</v>
      </c>
    </row>
    <row r="360" spans="1:3" ht="13.2" x14ac:dyDescent="0.25">
      <c r="A360" s="6">
        <v>358</v>
      </c>
      <c r="B360" s="7">
        <v>77.970710754394531</v>
      </c>
      <c r="C360" s="3">
        <f t="shared" si="1"/>
        <v>0.51866082870809582</v>
      </c>
    </row>
    <row r="361" spans="1:3" ht="13.2" x14ac:dyDescent="0.25">
      <c r="A361" s="6">
        <v>359</v>
      </c>
      <c r="B361" s="7">
        <v>78.00360107421875</v>
      </c>
      <c r="C361" s="3">
        <f t="shared" si="1"/>
        <v>0.49118448195381686</v>
      </c>
    </row>
    <row r="362" spans="1:3" ht="13.2" x14ac:dyDescent="0.25">
      <c r="A362" s="6">
        <v>360</v>
      </c>
      <c r="B362" s="7">
        <v>77.576339721679688</v>
      </c>
      <c r="C362" s="3">
        <f t="shared" si="1"/>
        <v>0.48423645764057749</v>
      </c>
    </row>
    <row r="363" spans="1:3" ht="13.2" x14ac:dyDescent="0.25">
      <c r="A363" s="6">
        <v>361</v>
      </c>
      <c r="B363" s="7">
        <v>78.40618896484375</v>
      </c>
      <c r="C363" s="3">
        <f t="shared" si="1"/>
        <v>0.47757428767719778</v>
      </c>
    </row>
    <row r="364" spans="1:3" ht="13.2" x14ac:dyDescent="0.25">
      <c r="A364" s="6">
        <v>362</v>
      </c>
      <c r="B364" s="7">
        <v>77.724227905273438</v>
      </c>
      <c r="C364" s="3">
        <f t="shared" si="1"/>
        <v>0.49637418870828726</v>
      </c>
    </row>
    <row r="365" spans="1:3" ht="13.2" x14ac:dyDescent="0.25">
      <c r="A365" s="6">
        <v>363</v>
      </c>
      <c r="B365" s="7">
        <v>76.097457885742188</v>
      </c>
      <c r="C365" s="3">
        <f t="shared" si="1"/>
        <v>0.4519840925163377</v>
      </c>
    </row>
    <row r="366" spans="1:3" ht="13.2" x14ac:dyDescent="0.25">
      <c r="A366" s="6">
        <v>364</v>
      </c>
      <c r="B366" s="7">
        <v>73.410797119140625</v>
      </c>
      <c r="C366" s="3">
        <f t="shared" si="1"/>
        <v>0.44009470335923134</v>
      </c>
    </row>
    <row r="367" spans="1:3" ht="13.2" x14ac:dyDescent="0.25">
      <c r="A367" s="6">
        <v>365</v>
      </c>
      <c r="B367" s="7">
        <v>74.207763671875</v>
      </c>
      <c r="C367" s="3">
        <f t="shared" si="1"/>
        <v>0.46091011378286806</v>
      </c>
    </row>
    <row r="368" spans="1:3" ht="13.2" x14ac:dyDescent="0.25">
      <c r="A368" s="6">
        <v>366</v>
      </c>
      <c r="B368" s="7">
        <v>73.821609497070313</v>
      </c>
      <c r="C368" s="3">
        <f t="shared" si="1"/>
        <v>0.46132006099068756</v>
      </c>
    </row>
    <row r="369" spans="1:3" ht="13.2" x14ac:dyDescent="0.25">
      <c r="A369" s="6">
        <v>367</v>
      </c>
      <c r="B369" s="7">
        <v>73.2711181640625</v>
      </c>
      <c r="C369" s="3">
        <f t="shared" si="1"/>
        <v>0.43037791773749451</v>
      </c>
    </row>
    <row r="370" spans="1:3" ht="13.2" x14ac:dyDescent="0.25">
      <c r="A370" s="6">
        <v>368</v>
      </c>
      <c r="B370" s="7">
        <v>73.065727233886719</v>
      </c>
      <c r="C370" s="3">
        <f t="shared" si="1"/>
        <v>0.43685494491560867</v>
      </c>
    </row>
    <row r="371" spans="1:3" ht="13.2" x14ac:dyDescent="0.25">
      <c r="A371" s="6">
        <v>369</v>
      </c>
      <c r="B371" s="7">
        <v>72.589179992675781</v>
      </c>
      <c r="C371" s="3">
        <f t="shared" si="1"/>
        <v>0.4152077348091186</v>
      </c>
    </row>
    <row r="372" spans="1:3" ht="13.2" x14ac:dyDescent="0.25">
      <c r="A372" s="6">
        <v>370</v>
      </c>
      <c r="B372" s="7">
        <v>72.926063537597656</v>
      </c>
      <c r="C372" s="3">
        <f t="shared" si="1"/>
        <v>0.41373145691788005</v>
      </c>
    </row>
    <row r="373" spans="1:3" ht="13.2" x14ac:dyDescent="0.25">
      <c r="A373" s="6">
        <v>371</v>
      </c>
      <c r="B373" s="7">
        <v>72.490592956542969</v>
      </c>
      <c r="C373" s="3">
        <f t="shared" si="1"/>
        <v>0.39169092231285846</v>
      </c>
    </row>
    <row r="374" spans="1:3" ht="13.2" x14ac:dyDescent="0.25">
      <c r="A374" s="6">
        <v>372</v>
      </c>
      <c r="B374" s="7">
        <v>71.077423095703125</v>
      </c>
      <c r="C374" s="3">
        <f t="shared" si="1"/>
        <v>0.35729302541409041</v>
      </c>
    </row>
    <row r="375" spans="1:3" ht="13.2" x14ac:dyDescent="0.25">
      <c r="A375" s="6">
        <v>373</v>
      </c>
      <c r="B375" s="7">
        <v>72.342704772949219</v>
      </c>
      <c r="C375" s="3">
        <f t="shared" si="1"/>
        <v>0.38085901140555667</v>
      </c>
    </row>
    <row r="376" spans="1:3" ht="13.2" x14ac:dyDescent="0.25">
      <c r="A376" s="6">
        <v>374</v>
      </c>
      <c r="B376" s="7">
        <v>71.545745849609375</v>
      </c>
      <c r="C376" s="3">
        <f t="shared" si="1"/>
        <v>0.36931272163978296</v>
      </c>
    </row>
    <row r="377" spans="1:3" ht="13.2" x14ac:dyDescent="0.25">
      <c r="A377" s="6">
        <v>375</v>
      </c>
      <c r="B377" s="7">
        <v>71.217109680175781</v>
      </c>
      <c r="C377" s="3">
        <f t="shared" si="1"/>
        <v>0.34659798849443818</v>
      </c>
    </row>
    <row r="378" spans="1:3" ht="13.2" x14ac:dyDescent="0.25">
      <c r="A378" s="6">
        <v>376</v>
      </c>
      <c r="B378" s="7">
        <v>71.529304504394531</v>
      </c>
      <c r="C378" s="3">
        <f t="shared" si="1"/>
        <v>0.32090269981402009</v>
      </c>
    </row>
    <row r="379" spans="1:3" ht="13.2" x14ac:dyDescent="0.25">
      <c r="A379" s="6">
        <v>377</v>
      </c>
      <c r="B379" s="7">
        <v>70.806289672851563</v>
      </c>
      <c r="C379" s="3">
        <f t="shared" si="1"/>
        <v>0.31104085125168285</v>
      </c>
    </row>
    <row r="380" spans="1:3" ht="13.2" x14ac:dyDescent="0.25">
      <c r="A380" s="6">
        <v>378</v>
      </c>
      <c r="B380" s="7">
        <v>72.367355346679688</v>
      </c>
      <c r="C380" s="3">
        <f t="shared" si="1"/>
        <v>0.35269915899168669</v>
      </c>
    </row>
    <row r="381" spans="1:3" ht="13.2" x14ac:dyDescent="0.25">
      <c r="A381" s="6">
        <v>379</v>
      </c>
      <c r="B381" s="7">
        <v>70.379058837890625</v>
      </c>
      <c r="C381" s="3">
        <f t="shared" si="1"/>
        <v>0.31636981852527379</v>
      </c>
    </row>
    <row r="382" spans="1:3" ht="13.2" x14ac:dyDescent="0.25">
      <c r="A382" s="6">
        <v>380</v>
      </c>
      <c r="B382" s="7">
        <v>72.515243530273438</v>
      </c>
      <c r="C382" s="3">
        <f t="shared" si="1"/>
        <v>0.3242263904334326</v>
      </c>
    </row>
    <row r="383" spans="1:3" ht="13.2" x14ac:dyDescent="0.25">
      <c r="A383" s="6">
        <v>381</v>
      </c>
      <c r="B383" s="7">
        <v>71.767585754394531</v>
      </c>
      <c r="C383" s="3">
        <f t="shared" ref="C383:C446" si="2">LN(B383/B131)</f>
        <v>0.2869733624681749</v>
      </c>
    </row>
    <row r="384" spans="1:3" ht="13.2" x14ac:dyDescent="0.25">
      <c r="A384" s="6">
        <v>382</v>
      </c>
      <c r="B384" s="7">
        <v>70.987060546875</v>
      </c>
      <c r="C384" s="3">
        <f t="shared" si="2"/>
        <v>0.24199572309301839</v>
      </c>
    </row>
    <row r="385" spans="1:3" ht="13.2" x14ac:dyDescent="0.25">
      <c r="A385" s="6">
        <v>383</v>
      </c>
      <c r="B385" s="7">
        <v>69.549240112304688</v>
      </c>
      <c r="C385" s="3">
        <f t="shared" si="2"/>
        <v>0.18670872051346524</v>
      </c>
    </row>
    <row r="386" spans="1:3" ht="13.2" x14ac:dyDescent="0.25">
      <c r="A386" s="6">
        <v>384</v>
      </c>
      <c r="B386" s="7">
        <v>73.643333435058594</v>
      </c>
      <c r="C386" s="3">
        <f t="shared" si="2"/>
        <v>0.27578304773904888</v>
      </c>
    </row>
    <row r="387" spans="1:3" ht="13.2" x14ac:dyDescent="0.25">
      <c r="A387" s="6">
        <v>385</v>
      </c>
      <c r="B387" s="7">
        <v>75.270889282226563</v>
      </c>
      <c r="C387" s="3">
        <f t="shared" si="2"/>
        <v>0.26971361911633096</v>
      </c>
    </row>
    <row r="388" spans="1:3" ht="13.2" x14ac:dyDescent="0.25">
      <c r="A388" s="6">
        <v>386</v>
      </c>
      <c r="B388" s="7">
        <v>75.698760986328125</v>
      </c>
      <c r="C388" s="3">
        <f t="shared" si="2"/>
        <v>0.25286657430294868</v>
      </c>
    </row>
    <row r="389" spans="1:3" ht="13.2" x14ac:dyDescent="0.25">
      <c r="A389" s="6">
        <v>387</v>
      </c>
      <c r="B389" s="7">
        <v>77.401847839355469</v>
      </c>
      <c r="C389" s="3">
        <f t="shared" si="2"/>
        <v>0.22607749578813358</v>
      </c>
    </row>
    <row r="390" spans="1:3" ht="13.2" x14ac:dyDescent="0.25">
      <c r="A390" s="6">
        <v>388</v>
      </c>
      <c r="B390" s="7">
        <v>76.554489135742188</v>
      </c>
      <c r="C390" s="3">
        <f t="shared" si="2"/>
        <v>0.18567642039832263</v>
      </c>
    </row>
    <row r="391" spans="1:3" ht="13.2" x14ac:dyDescent="0.25">
      <c r="A391" s="6">
        <v>389</v>
      </c>
      <c r="B391" s="7">
        <v>77.536064147949219</v>
      </c>
      <c r="C391" s="3">
        <f t="shared" si="2"/>
        <v>0.20894884720741863</v>
      </c>
    </row>
    <row r="392" spans="1:3" ht="13.2" x14ac:dyDescent="0.25">
      <c r="A392" s="6">
        <v>390</v>
      </c>
      <c r="B392" s="7">
        <v>78.400192260742188</v>
      </c>
      <c r="C392" s="3">
        <f t="shared" si="2"/>
        <v>0.24130815269586625</v>
      </c>
    </row>
    <row r="393" spans="1:3" ht="13.2" x14ac:dyDescent="0.25">
      <c r="A393" s="6">
        <v>391</v>
      </c>
      <c r="B393" s="7">
        <v>76.948806762695313</v>
      </c>
      <c r="C393" s="3">
        <f t="shared" si="2"/>
        <v>0.22555282143842603</v>
      </c>
    </row>
    <row r="394" spans="1:3" ht="13.2" x14ac:dyDescent="0.25">
      <c r="A394" s="6">
        <v>392</v>
      </c>
      <c r="B394" s="7">
        <v>77.905204772949219</v>
      </c>
      <c r="C394" s="3">
        <f t="shared" si="2"/>
        <v>0.25775386597007111</v>
      </c>
    </row>
    <row r="395" spans="1:3" ht="13.2" x14ac:dyDescent="0.25">
      <c r="A395" s="6">
        <v>393</v>
      </c>
      <c r="B395" s="7">
        <v>77.183700561523438</v>
      </c>
      <c r="C395" s="3">
        <f t="shared" si="2"/>
        <v>0.2309006451100897</v>
      </c>
    </row>
    <row r="396" spans="1:3" ht="13.2" x14ac:dyDescent="0.25">
      <c r="A396" s="6">
        <v>394</v>
      </c>
      <c r="B396" s="7">
        <v>75.111488342285156</v>
      </c>
      <c r="C396" s="3">
        <f t="shared" si="2"/>
        <v>0.19998317812313923</v>
      </c>
    </row>
    <row r="397" spans="1:3" ht="13.2" x14ac:dyDescent="0.25">
      <c r="A397" s="6">
        <v>395</v>
      </c>
      <c r="B397" s="7">
        <v>75.304450988769531</v>
      </c>
      <c r="C397" s="3">
        <f t="shared" si="2"/>
        <v>0.21150990922161186</v>
      </c>
    </row>
    <row r="398" spans="1:3" ht="13.2" x14ac:dyDescent="0.25">
      <c r="A398" s="6">
        <v>396</v>
      </c>
      <c r="B398" s="7">
        <v>73.844673156738281</v>
      </c>
      <c r="C398" s="3">
        <f t="shared" si="2"/>
        <v>0.15025358889663243</v>
      </c>
    </row>
    <row r="399" spans="1:3" ht="13.2" x14ac:dyDescent="0.25">
      <c r="A399" s="6">
        <v>397</v>
      </c>
      <c r="B399" s="7">
        <v>74.935310363769531</v>
      </c>
      <c r="C399" s="3">
        <f t="shared" si="2"/>
        <v>0.17383489788944517</v>
      </c>
    </row>
    <row r="400" spans="1:3" ht="13.2" x14ac:dyDescent="0.25">
      <c r="A400" s="6">
        <v>398</v>
      </c>
      <c r="B400" s="7">
        <v>74.297706604003906</v>
      </c>
      <c r="C400" s="3">
        <f t="shared" si="2"/>
        <v>0.13937168029825167</v>
      </c>
    </row>
    <row r="401" spans="1:3" ht="13.2" x14ac:dyDescent="0.25">
      <c r="A401" s="6">
        <v>399</v>
      </c>
      <c r="B401" s="7">
        <v>71.411705017089844</v>
      </c>
      <c r="C401" s="3">
        <f t="shared" si="2"/>
        <v>8.8180203121367762E-2</v>
      </c>
    </row>
    <row r="402" spans="1:3" ht="13.2" x14ac:dyDescent="0.25">
      <c r="A402" s="6">
        <v>400</v>
      </c>
      <c r="B402" s="7">
        <v>72.955375671386719</v>
      </c>
      <c r="C402" s="3">
        <f t="shared" si="2"/>
        <v>0.10454472437420761</v>
      </c>
    </row>
    <row r="403" spans="1:3" ht="13.2" x14ac:dyDescent="0.25">
      <c r="A403" s="6">
        <v>401</v>
      </c>
      <c r="B403" s="7">
        <v>73.32452392578125</v>
      </c>
      <c r="C403" s="3">
        <f t="shared" si="2"/>
        <v>0.15198034030285923</v>
      </c>
    </row>
    <row r="404" spans="1:3" ht="13.2" x14ac:dyDescent="0.25">
      <c r="A404" s="6">
        <v>402</v>
      </c>
      <c r="B404" s="7">
        <v>74.222198486328125</v>
      </c>
      <c r="C404" s="3">
        <f t="shared" si="2"/>
        <v>0.12690153098076731</v>
      </c>
    </row>
    <row r="405" spans="1:3" ht="13.2" x14ac:dyDescent="0.25">
      <c r="A405" s="6">
        <v>403</v>
      </c>
      <c r="B405" s="7">
        <v>74.415145874023438</v>
      </c>
      <c r="C405" s="3">
        <f t="shared" si="2"/>
        <v>0.14350089637636002</v>
      </c>
    </row>
    <row r="406" spans="1:3" ht="13.2" x14ac:dyDescent="0.25">
      <c r="A406" s="6">
        <v>404</v>
      </c>
      <c r="B406" s="7">
        <v>75.665206909179688</v>
      </c>
      <c r="C406" s="3">
        <f t="shared" si="2"/>
        <v>0.1257477972253308</v>
      </c>
    </row>
    <row r="407" spans="1:3" ht="13.2" x14ac:dyDescent="0.25">
      <c r="A407" s="6">
        <v>405</v>
      </c>
      <c r="B407" s="7">
        <v>75.631645202636719</v>
      </c>
      <c r="C407" s="3">
        <f t="shared" si="2"/>
        <v>0.10783928771284916</v>
      </c>
    </row>
    <row r="408" spans="1:3" ht="13.2" x14ac:dyDescent="0.25">
      <c r="A408" s="6">
        <v>406</v>
      </c>
      <c r="B408" s="7">
        <v>73.7691650390625</v>
      </c>
      <c r="C408" s="3">
        <f t="shared" si="2"/>
        <v>8.6837190992840915E-2</v>
      </c>
    </row>
    <row r="409" spans="1:3" ht="13.2" x14ac:dyDescent="0.25">
      <c r="A409" s="6">
        <v>407</v>
      </c>
      <c r="B409" s="7">
        <v>74.683624267578125</v>
      </c>
      <c r="C409" s="3">
        <f t="shared" si="2"/>
        <v>0.12474272241186536</v>
      </c>
    </row>
    <row r="410" spans="1:3" ht="13.2" x14ac:dyDescent="0.25">
      <c r="A410" s="6">
        <v>408</v>
      </c>
      <c r="B410" s="7">
        <v>74.910140991210938</v>
      </c>
      <c r="C410" s="3">
        <f t="shared" si="2"/>
        <v>7.4642797728530386E-2</v>
      </c>
    </row>
    <row r="411" spans="1:3" ht="13.2" x14ac:dyDescent="0.25">
      <c r="A411" s="6">
        <v>409</v>
      </c>
      <c r="B411" s="7">
        <v>74.742355346679688</v>
      </c>
      <c r="C411" s="3">
        <f t="shared" si="2"/>
        <v>4.8453227503468532E-2</v>
      </c>
    </row>
    <row r="412" spans="1:3" ht="13.2" x14ac:dyDescent="0.25">
      <c r="A412" s="6">
        <v>410</v>
      </c>
      <c r="B412" s="7">
        <v>74.020851135253906</v>
      </c>
      <c r="C412" s="3">
        <f t="shared" si="2"/>
        <v>3.1297000764060286E-2</v>
      </c>
    </row>
    <row r="413" spans="1:3" ht="13.2" x14ac:dyDescent="0.25">
      <c r="A413" s="6">
        <v>411</v>
      </c>
      <c r="B413" s="7">
        <v>75.119880676269531</v>
      </c>
      <c r="C413" s="3">
        <f t="shared" si="2"/>
        <v>3.4414320213315718E-2</v>
      </c>
    </row>
    <row r="414" spans="1:3" ht="13.2" x14ac:dyDescent="0.25">
      <c r="A414" s="6">
        <v>412</v>
      </c>
      <c r="B414" s="7">
        <v>75.933670043945313</v>
      </c>
      <c r="C414" s="3">
        <f t="shared" si="2"/>
        <v>-3.4928156237443121E-3</v>
      </c>
    </row>
    <row r="415" spans="1:3" ht="13.2" x14ac:dyDescent="0.25">
      <c r="A415" s="6">
        <v>413</v>
      </c>
      <c r="B415" s="7">
        <v>75.807830810546875</v>
      </c>
      <c r="C415" s="3">
        <f t="shared" si="2"/>
        <v>3.6536497161591075E-2</v>
      </c>
    </row>
    <row r="416" spans="1:3" ht="13.2" x14ac:dyDescent="0.25">
      <c r="A416" s="6">
        <v>414</v>
      </c>
      <c r="B416" s="7">
        <v>74.8765869140625</v>
      </c>
      <c r="C416" s="3">
        <f t="shared" si="2"/>
        <v>3.2466966074982249E-2</v>
      </c>
    </row>
    <row r="417" spans="1:3" ht="13.2" x14ac:dyDescent="0.25">
      <c r="A417" s="6">
        <v>415</v>
      </c>
      <c r="B417" s="7">
        <v>75.480636596679688</v>
      </c>
      <c r="C417" s="3">
        <f t="shared" si="2"/>
        <v>5.6523194862918437E-2</v>
      </c>
    </row>
    <row r="418" spans="1:3" ht="13.2" x14ac:dyDescent="0.25">
      <c r="A418" s="6">
        <v>416</v>
      </c>
      <c r="B418" s="7">
        <v>78.844841003417969</v>
      </c>
      <c r="C418" s="3">
        <f t="shared" si="2"/>
        <v>0.10023855887608496</v>
      </c>
    </row>
    <row r="419" spans="1:3" ht="13.2" x14ac:dyDescent="0.25">
      <c r="A419" s="6">
        <v>417</v>
      </c>
      <c r="B419" s="7">
        <v>78.853225708007813</v>
      </c>
      <c r="C419" s="3">
        <f t="shared" si="2"/>
        <v>0.13170741261736271</v>
      </c>
    </row>
    <row r="420" spans="1:3" ht="13.2" x14ac:dyDescent="0.25">
      <c r="A420" s="6">
        <v>418</v>
      </c>
      <c r="B420" s="7">
        <v>78.098167419433594</v>
      </c>
      <c r="C420" s="3">
        <f t="shared" si="2"/>
        <v>8.6556823094346633E-2</v>
      </c>
    </row>
    <row r="421" spans="1:3" ht="13.2" x14ac:dyDescent="0.25">
      <c r="A421" s="6">
        <v>419</v>
      </c>
      <c r="B421" s="7">
        <v>78.752555847167969</v>
      </c>
      <c r="C421" s="3">
        <f t="shared" si="2"/>
        <v>0.11994089892003088</v>
      </c>
    </row>
    <row r="422" spans="1:3" ht="13.2" x14ac:dyDescent="0.25">
      <c r="A422" s="6">
        <v>420</v>
      </c>
      <c r="B422" s="7">
        <v>78.458900451660156</v>
      </c>
      <c r="C422" s="3">
        <f t="shared" si="2"/>
        <v>0.11094586713663247</v>
      </c>
    </row>
    <row r="423" spans="1:3" ht="13.2" x14ac:dyDescent="0.25">
      <c r="A423" s="6">
        <v>421</v>
      </c>
      <c r="B423" s="7">
        <v>79.985809326171875</v>
      </c>
      <c r="C423" s="3">
        <f t="shared" si="2"/>
        <v>0.12254875899291909</v>
      </c>
    </row>
    <row r="424" spans="1:3" ht="13.2" x14ac:dyDescent="0.25">
      <c r="A424" s="6">
        <v>422</v>
      </c>
      <c r="B424" s="7">
        <v>78.576393127441406</v>
      </c>
      <c r="C424" s="3">
        <f t="shared" si="2"/>
        <v>0.10565729356425571</v>
      </c>
    </row>
    <row r="425" spans="1:3" ht="13.2" x14ac:dyDescent="0.25">
      <c r="A425" s="6">
        <v>423</v>
      </c>
      <c r="B425" s="7">
        <v>75.715538024902344</v>
      </c>
      <c r="C425" s="3">
        <f t="shared" si="2"/>
        <v>4.5990612596143822E-2</v>
      </c>
    </row>
    <row r="426" spans="1:3" ht="13.2" x14ac:dyDescent="0.25">
      <c r="A426" s="6">
        <v>424</v>
      </c>
      <c r="B426" s="7">
        <v>72.8463134765625</v>
      </c>
      <c r="C426" s="3">
        <f t="shared" si="2"/>
        <v>2.275821713046982E-2</v>
      </c>
    </row>
    <row r="427" spans="1:3" ht="13.2" x14ac:dyDescent="0.25">
      <c r="A427" s="6">
        <v>425</v>
      </c>
      <c r="B427" s="7">
        <v>73.735618591308594</v>
      </c>
      <c r="C427" s="3">
        <f t="shared" si="2"/>
        <v>3.6103720402683892E-2</v>
      </c>
    </row>
    <row r="428" spans="1:3" ht="13.2" x14ac:dyDescent="0.25">
      <c r="A428" s="6">
        <v>426</v>
      </c>
      <c r="B428" s="7">
        <v>73.727226257324219</v>
      </c>
      <c r="C428" s="3">
        <f t="shared" si="2"/>
        <v>3.4558285217207517E-2</v>
      </c>
    </row>
    <row r="429" spans="1:3" ht="13.2" x14ac:dyDescent="0.25">
      <c r="A429" s="6">
        <v>427</v>
      </c>
      <c r="B429" s="7">
        <v>71.755668640136719</v>
      </c>
      <c r="C429" s="3">
        <f t="shared" si="2"/>
        <v>4.1475954119982103E-2</v>
      </c>
    </row>
    <row r="430" spans="1:3" ht="13.2" x14ac:dyDescent="0.25">
      <c r="A430" s="6">
        <v>428</v>
      </c>
      <c r="B430" s="7">
        <v>72.611427307128906</v>
      </c>
      <c r="C430" s="3">
        <f t="shared" si="2"/>
        <v>1.3165486233891346E-2</v>
      </c>
    </row>
    <row r="431" spans="1:3" ht="13.2" x14ac:dyDescent="0.25">
      <c r="A431" s="6">
        <v>429</v>
      </c>
      <c r="B431" s="7">
        <v>74.3228759765625</v>
      </c>
      <c r="C431" s="3">
        <f t="shared" si="2"/>
        <v>3.9638462789926214E-2</v>
      </c>
    </row>
    <row r="432" spans="1:3" ht="13.2" x14ac:dyDescent="0.25">
      <c r="A432" s="6">
        <v>430</v>
      </c>
      <c r="B432" s="7">
        <v>75.363189697265625</v>
      </c>
      <c r="C432" s="3">
        <f t="shared" si="2"/>
        <v>8.9845257359192979E-2</v>
      </c>
    </row>
    <row r="433" spans="1:3" ht="13.2" x14ac:dyDescent="0.25">
      <c r="A433" s="6">
        <v>431</v>
      </c>
      <c r="B433" s="7">
        <v>75.623245239257813</v>
      </c>
      <c r="C433" s="3">
        <f t="shared" si="2"/>
        <v>9.8194029506740707E-2</v>
      </c>
    </row>
    <row r="434" spans="1:3" ht="13.2" x14ac:dyDescent="0.25">
      <c r="A434" s="6">
        <v>432</v>
      </c>
      <c r="B434" s="7">
        <v>73.223846435546875</v>
      </c>
      <c r="C434" s="3">
        <f t="shared" si="2"/>
        <v>3.7548667742351903E-2</v>
      </c>
    </row>
    <row r="435" spans="1:3" ht="13.2" x14ac:dyDescent="0.25">
      <c r="A435" s="6">
        <v>433</v>
      </c>
      <c r="B435" s="7">
        <v>74.557777404785156</v>
      </c>
      <c r="C435" s="3">
        <f t="shared" si="2"/>
        <v>2.098209304660598E-2</v>
      </c>
    </row>
    <row r="436" spans="1:3" ht="13.2" x14ac:dyDescent="0.25">
      <c r="A436" s="6">
        <v>434</v>
      </c>
      <c r="B436" s="7">
        <v>76.504158020019531</v>
      </c>
      <c r="C436" s="3">
        <f t="shared" si="2"/>
        <v>5.9826328453262301E-2</v>
      </c>
    </row>
    <row r="437" spans="1:3" ht="13.2" x14ac:dyDescent="0.25">
      <c r="A437" s="6">
        <v>435</v>
      </c>
      <c r="B437" s="7">
        <v>78.450523376464844</v>
      </c>
      <c r="C437" s="3">
        <f t="shared" si="2"/>
        <v>0.10671801292773679</v>
      </c>
    </row>
    <row r="438" spans="1:3" ht="13.2" x14ac:dyDescent="0.25">
      <c r="A438" s="6">
        <v>436</v>
      </c>
      <c r="B438" s="7">
        <v>82.209030151367188</v>
      </c>
      <c r="C438" s="3">
        <f t="shared" si="2"/>
        <v>0.17349770397721992</v>
      </c>
    </row>
    <row r="439" spans="1:3" ht="13.2" x14ac:dyDescent="0.25">
      <c r="A439" s="6">
        <v>437</v>
      </c>
      <c r="B439" s="7">
        <v>84.977584838867188</v>
      </c>
      <c r="C439" s="3">
        <f t="shared" si="2"/>
        <v>0.19254550114062829</v>
      </c>
    </row>
    <row r="440" spans="1:3" ht="13.2" x14ac:dyDescent="0.25">
      <c r="A440" s="6">
        <v>438</v>
      </c>
      <c r="B440" s="7">
        <v>85.724235534667969</v>
      </c>
      <c r="C440" s="3">
        <f t="shared" si="2"/>
        <v>0.16657261743700069</v>
      </c>
    </row>
    <row r="441" spans="1:3" ht="13.2" x14ac:dyDescent="0.25">
      <c r="A441" s="6">
        <v>439</v>
      </c>
      <c r="B441" s="7">
        <v>87.762901306152344</v>
      </c>
      <c r="C441" s="3">
        <f t="shared" si="2"/>
        <v>0.15100068528948724</v>
      </c>
    </row>
    <row r="442" spans="1:3" ht="13.2" x14ac:dyDescent="0.25">
      <c r="A442" s="6">
        <v>440</v>
      </c>
      <c r="B442" s="7">
        <v>88.803207397460938</v>
      </c>
      <c r="C442" s="3">
        <f t="shared" si="2"/>
        <v>0.1453855918695775</v>
      </c>
    </row>
    <row r="443" spans="1:3" ht="13.2" x14ac:dyDescent="0.25">
      <c r="A443" s="6">
        <v>441</v>
      </c>
      <c r="B443" s="7">
        <v>83.870170593261719</v>
      </c>
      <c r="C443" s="3">
        <f t="shared" si="2"/>
        <v>4.8710062081889355E-2</v>
      </c>
    </row>
    <row r="444" spans="1:3" ht="13.2" x14ac:dyDescent="0.25">
      <c r="A444" s="6">
        <v>442</v>
      </c>
      <c r="B444" s="7">
        <v>82.594963073730469</v>
      </c>
      <c r="C444" s="3">
        <f t="shared" si="2"/>
        <v>-4.2532637820404576E-2</v>
      </c>
    </row>
    <row r="445" spans="1:3" ht="13.2" x14ac:dyDescent="0.25">
      <c r="A445" s="6">
        <v>443</v>
      </c>
      <c r="B445" s="7">
        <v>81.143577575683594</v>
      </c>
      <c r="C445" s="3">
        <f t="shared" si="2"/>
        <v>-4.4866667129498605E-2</v>
      </c>
    </row>
    <row r="446" spans="1:3" ht="13.2" x14ac:dyDescent="0.25">
      <c r="A446" s="6">
        <v>444</v>
      </c>
      <c r="B446" s="7">
        <v>82.846641540527344</v>
      </c>
      <c r="C446" s="3">
        <f t="shared" si="2"/>
        <v>2.0276785528028024E-3</v>
      </c>
    </row>
    <row r="447" spans="1:3" ht="13.2" x14ac:dyDescent="0.25">
      <c r="A447" s="6">
        <v>445</v>
      </c>
      <c r="B447" s="7">
        <v>82.058021545410156</v>
      </c>
      <c r="C447" s="3">
        <f t="shared" ref="C447:C510" si="3">LN(B447/B195)</f>
        <v>3.6875485353116973E-2</v>
      </c>
    </row>
    <row r="448" spans="1:3" ht="13.2" x14ac:dyDescent="0.25">
      <c r="A448" s="6">
        <v>446</v>
      </c>
      <c r="B448" s="7">
        <v>85.413833618164063</v>
      </c>
      <c r="C448" s="3">
        <f t="shared" si="3"/>
        <v>8.1176416014936914E-2</v>
      </c>
    </row>
    <row r="449" spans="1:3" ht="13.2" x14ac:dyDescent="0.25">
      <c r="A449" s="6">
        <v>447</v>
      </c>
      <c r="B449" s="7">
        <v>85.506134033203125</v>
      </c>
      <c r="C449" s="3">
        <f t="shared" si="3"/>
        <v>8.1652618932326615E-2</v>
      </c>
    </row>
    <row r="450" spans="1:3" ht="13.2" x14ac:dyDescent="0.25">
      <c r="A450" s="6">
        <v>448</v>
      </c>
      <c r="B450" s="7">
        <v>88.148834228515625</v>
      </c>
      <c r="C450" s="3">
        <f t="shared" si="3"/>
        <v>4.9875660433466848E-2</v>
      </c>
    </row>
    <row r="451" spans="1:3" ht="13.2" x14ac:dyDescent="0.25">
      <c r="A451" s="6">
        <v>449</v>
      </c>
      <c r="B451" s="7">
        <v>90.900581359863281</v>
      </c>
      <c r="C451" s="3">
        <f t="shared" si="3"/>
        <v>9.7876274916278205E-2</v>
      </c>
    </row>
    <row r="452" spans="1:3" ht="13.2" x14ac:dyDescent="0.25">
      <c r="A452" s="6">
        <v>450</v>
      </c>
      <c r="B452" s="7">
        <v>93.305290222167969</v>
      </c>
      <c r="C452" s="3">
        <f t="shared" si="3"/>
        <v>0.15733763499946546</v>
      </c>
    </row>
    <row r="453" spans="1:3" ht="13.2" x14ac:dyDescent="0.25">
      <c r="A453" s="6">
        <v>451</v>
      </c>
      <c r="B453" s="7">
        <v>98.660400390625</v>
      </c>
      <c r="C453" s="3">
        <f t="shared" si="3"/>
        <v>0.21663156817965884</v>
      </c>
    </row>
    <row r="454" spans="1:3" ht="13.2" x14ac:dyDescent="0.25">
      <c r="A454" s="6">
        <v>452</v>
      </c>
      <c r="B454" s="7">
        <v>99.751876831054688</v>
      </c>
      <c r="C454" s="3">
        <f t="shared" si="3"/>
        <v>0.18112719691744603</v>
      </c>
    </row>
    <row r="455" spans="1:3" ht="13.2" x14ac:dyDescent="0.25">
      <c r="A455" s="6">
        <v>453</v>
      </c>
      <c r="B455" s="7">
        <v>99.939498901367188</v>
      </c>
      <c r="C455" s="3">
        <f t="shared" si="3"/>
        <v>0.17702256186913867</v>
      </c>
    </row>
    <row r="456" spans="1:3" ht="13.2" x14ac:dyDescent="0.25">
      <c r="A456" s="6">
        <v>454</v>
      </c>
      <c r="B456" s="7">
        <v>100.0162353515625</v>
      </c>
      <c r="C456" s="3">
        <f t="shared" si="3"/>
        <v>0.17382078584678406</v>
      </c>
    </row>
    <row r="457" spans="1:3" ht="13.2" x14ac:dyDescent="0.25">
      <c r="A457" s="6">
        <v>455</v>
      </c>
      <c r="B457" s="7">
        <v>97.56890869140625</v>
      </c>
      <c r="C457" s="3">
        <f t="shared" si="3"/>
        <v>0.14293490971015058</v>
      </c>
    </row>
    <row r="458" spans="1:3" ht="13.2" x14ac:dyDescent="0.25">
      <c r="A458" s="6">
        <v>456</v>
      </c>
      <c r="B458" s="7">
        <v>98.549537658691406</v>
      </c>
      <c r="C458" s="3">
        <f t="shared" si="3"/>
        <v>0.14286165418987762</v>
      </c>
    </row>
    <row r="459" spans="1:3" ht="13.2" x14ac:dyDescent="0.25">
      <c r="A459" s="6">
        <v>457</v>
      </c>
      <c r="B459" s="7">
        <v>96.937889099121094</v>
      </c>
      <c r="C459" s="3">
        <f t="shared" si="3"/>
        <v>0.15709499603294377</v>
      </c>
    </row>
    <row r="460" spans="1:3" ht="13.2" x14ac:dyDescent="0.25">
      <c r="A460" s="6">
        <v>458</v>
      </c>
      <c r="B460" s="7">
        <v>92.444038391113281</v>
      </c>
      <c r="C460" s="3">
        <f t="shared" si="3"/>
        <v>0.11183162191664239</v>
      </c>
    </row>
    <row r="461" spans="1:3" ht="13.2" x14ac:dyDescent="0.25">
      <c r="A461" s="6">
        <v>459</v>
      </c>
      <c r="B461" s="7">
        <v>89.186607360839844</v>
      </c>
      <c r="C461" s="3">
        <f t="shared" si="3"/>
        <v>8.0959241492490855E-2</v>
      </c>
    </row>
    <row r="462" spans="1:3" ht="13.2" x14ac:dyDescent="0.25">
      <c r="A462" s="6">
        <v>460</v>
      </c>
      <c r="B462" s="7">
        <v>88.120704650878906</v>
      </c>
      <c r="C462" s="3">
        <f t="shared" si="3"/>
        <v>8.457715367920049E-2</v>
      </c>
    </row>
    <row r="463" spans="1:3" ht="13.2" x14ac:dyDescent="0.25">
      <c r="A463" s="6">
        <v>461</v>
      </c>
      <c r="B463" s="7">
        <v>93.339378356933594</v>
      </c>
      <c r="C463" s="3">
        <f t="shared" si="3"/>
        <v>0.1452495457739657</v>
      </c>
    </row>
    <row r="464" spans="1:3" ht="13.2" x14ac:dyDescent="0.25">
      <c r="A464" s="6">
        <v>462</v>
      </c>
      <c r="B464" s="7">
        <v>97.790611267089844</v>
      </c>
      <c r="C464" s="3">
        <f t="shared" si="3"/>
        <v>0.19291722634948838</v>
      </c>
    </row>
    <row r="465" spans="1:3" ht="13.2" x14ac:dyDescent="0.25">
      <c r="A465" s="6">
        <v>463</v>
      </c>
      <c r="B465" s="7">
        <v>99.581329345703125</v>
      </c>
      <c r="C465" s="3">
        <f t="shared" si="3"/>
        <v>0.22772055291600135</v>
      </c>
    </row>
    <row r="466" spans="1:3" ht="13.2" x14ac:dyDescent="0.25">
      <c r="A466" s="6">
        <v>464</v>
      </c>
      <c r="B466" s="7">
        <v>99.044136047363281</v>
      </c>
      <c r="C466" s="3">
        <f t="shared" si="3"/>
        <v>0.21672833404674549</v>
      </c>
    </row>
    <row r="467" spans="1:3" ht="13.2" x14ac:dyDescent="0.25">
      <c r="A467" s="6">
        <v>465</v>
      </c>
      <c r="B467" s="7">
        <v>101.57672119140625</v>
      </c>
      <c r="C467" s="3">
        <f t="shared" si="3"/>
        <v>0.22404360114906924</v>
      </c>
    </row>
    <row r="468" spans="1:3" ht="13.2" x14ac:dyDescent="0.25">
      <c r="A468" s="6">
        <v>466</v>
      </c>
      <c r="B468" s="7">
        <v>98.268142700195313</v>
      </c>
      <c r="C468" s="3">
        <f t="shared" si="3"/>
        <v>0.17696449401441741</v>
      </c>
    </row>
    <row r="469" spans="1:3" ht="13.2" x14ac:dyDescent="0.25">
      <c r="A469" s="6">
        <v>467</v>
      </c>
      <c r="B469" s="7">
        <v>99.223197937011719</v>
      </c>
      <c r="C469" s="3">
        <f t="shared" si="3"/>
        <v>0.18519324259257908</v>
      </c>
    </row>
    <row r="470" spans="1:3" ht="13.2" x14ac:dyDescent="0.25">
      <c r="A470" s="6">
        <v>468</v>
      </c>
      <c r="B470" s="7">
        <v>99.683677673339844</v>
      </c>
      <c r="C470" s="3">
        <f t="shared" si="3"/>
        <v>0.15699920793637054</v>
      </c>
    </row>
    <row r="471" spans="1:3" ht="13.2" x14ac:dyDescent="0.25">
      <c r="A471" s="6">
        <v>469</v>
      </c>
      <c r="B471" s="7">
        <v>98.396049499511719</v>
      </c>
      <c r="C471" s="3">
        <f t="shared" si="3"/>
        <v>0.15147032373909156</v>
      </c>
    </row>
    <row r="472" spans="1:3" ht="13.2" x14ac:dyDescent="0.25">
      <c r="A472" s="6">
        <v>470</v>
      </c>
      <c r="B472" s="7">
        <v>101.47440338134766</v>
      </c>
      <c r="C472" s="3">
        <f t="shared" si="3"/>
        <v>0.19150665290370322</v>
      </c>
    </row>
    <row r="473" spans="1:3" ht="13.2" x14ac:dyDescent="0.25">
      <c r="A473" s="6">
        <v>471</v>
      </c>
      <c r="B473" s="7">
        <v>100.20384216308594</v>
      </c>
      <c r="C473" s="3">
        <f t="shared" si="3"/>
        <v>0.18260416282426864</v>
      </c>
    </row>
    <row r="474" spans="1:3" ht="13.2" x14ac:dyDescent="0.25">
      <c r="A474" s="6">
        <v>472</v>
      </c>
      <c r="B474" s="7">
        <v>101.33795166015625</v>
      </c>
      <c r="C474" s="3">
        <f t="shared" si="3"/>
        <v>0.21410191291585928</v>
      </c>
    </row>
    <row r="475" spans="1:3" ht="13.2" x14ac:dyDescent="0.25">
      <c r="A475" s="6">
        <v>473</v>
      </c>
      <c r="B475" s="7">
        <v>96.588272094726563</v>
      </c>
      <c r="C475" s="3">
        <f t="shared" si="3"/>
        <v>0.18182509308078354</v>
      </c>
    </row>
    <row r="476" spans="1:3" ht="13.2" x14ac:dyDescent="0.25">
      <c r="A476" s="6">
        <v>474</v>
      </c>
      <c r="B476" s="7">
        <v>93.552574157714844</v>
      </c>
      <c r="C476" s="3">
        <f t="shared" si="3"/>
        <v>0.1557170372918609</v>
      </c>
    </row>
    <row r="477" spans="1:3" ht="13.2" x14ac:dyDescent="0.25">
      <c r="A477" s="6">
        <v>475</v>
      </c>
      <c r="B477" s="7">
        <v>96.818511962890625</v>
      </c>
      <c r="C477" s="3">
        <f t="shared" si="3"/>
        <v>0.18914089979656346</v>
      </c>
    </row>
    <row r="478" spans="1:3" ht="13.2" x14ac:dyDescent="0.25">
      <c r="A478" s="6">
        <v>476</v>
      </c>
      <c r="B478" s="7">
        <v>95.309188842773438</v>
      </c>
      <c r="C478" s="3">
        <f t="shared" si="3"/>
        <v>0.16289778317169434</v>
      </c>
    </row>
    <row r="479" spans="1:3" ht="13.2" x14ac:dyDescent="0.25">
      <c r="A479" s="6">
        <v>477</v>
      </c>
      <c r="B479" s="7">
        <v>96.912307739257813</v>
      </c>
      <c r="C479" s="3">
        <f t="shared" si="3"/>
        <v>0.15024931580539139</v>
      </c>
    </row>
    <row r="480" spans="1:3" ht="13.2" x14ac:dyDescent="0.25">
      <c r="A480" s="6">
        <v>478</v>
      </c>
      <c r="B480" s="7">
        <v>91.830062866210938</v>
      </c>
      <c r="C480" s="3">
        <f t="shared" si="3"/>
        <v>0.11084284363556079</v>
      </c>
    </row>
    <row r="481" spans="1:3" ht="13.2" x14ac:dyDescent="0.25">
      <c r="A481" s="6">
        <v>479</v>
      </c>
      <c r="B481" s="7">
        <v>91.685104370117188</v>
      </c>
      <c r="C481" s="3">
        <f t="shared" si="3"/>
        <v>0.12178462185077685</v>
      </c>
    </row>
    <row r="482" spans="1:3" ht="13.2" x14ac:dyDescent="0.25">
      <c r="A482" s="6">
        <v>480</v>
      </c>
      <c r="B482" s="7">
        <v>91.957977294921875</v>
      </c>
      <c r="C482" s="3">
        <f t="shared" si="3"/>
        <v>0.12563568566949485</v>
      </c>
    </row>
    <row r="483" spans="1:3" ht="13.2" x14ac:dyDescent="0.25">
      <c r="A483" s="6">
        <v>481</v>
      </c>
      <c r="B483" s="7">
        <v>93.868072509765625</v>
      </c>
      <c r="C483" s="3">
        <f t="shared" si="3"/>
        <v>0.12625578335838203</v>
      </c>
    </row>
    <row r="484" spans="1:3" ht="13.2" x14ac:dyDescent="0.25">
      <c r="A484" s="6">
        <v>482</v>
      </c>
      <c r="B484" s="7">
        <v>89.408332824707031</v>
      </c>
      <c r="C484" s="3">
        <f t="shared" si="3"/>
        <v>9.7420036861491088E-2</v>
      </c>
    </row>
    <row r="485" spans="1:3" ht="13.2" x14ac:dyDescent="0.25">
      <c r="A485" s="6">
        <v>483</v>
      </c>
      <c r="B485" s="7">
        <v>87.285026550292969</v>
      </c>
      <c r="C485" s="3">
        <f t="shared" si="3"/>
        <v>7.8186396216214801E-2</v>
      </c>
    </row>
    <row r="486" spans="1:3" ht="13.2" x14ac:dyDescent="0.25">
      <c r="A486" s="6">
        <v>484</v>
      </c>
      <c r="B486" s="7">
        <v>84.3431396484375</v>
      </c>
      <c r="C486" s="3">
        <f t="shared" si="3"/>
        <v>4.0958823273283866E-2</v>
      </c>
    </row>
    <row r="487" spans="1:3" ht="13.2" x14ac:dyDescent="0.25">
      <c r="A487" s="6">
        <v>485</v>
      </c>
      <c r="B487" s="7">
        <v>83.456291198730469</v>
      </c>
      <c r="C487" s="3">
        <f t="shared" si="3"/>
        <v>4.4293289822978303E-2</v>
      </c>
    </row>
    <row r="488" spans="1:3" ht="13.2" x14ac:dyDescent="0.25">
      <c r="A488" s="6">
        <v>486</v>
      </c>
      <c r="B488" s="7">
        <v>83.311325073242188</v>
      </c>
      <c r="C488" s="3">
        <f t="shared" si="3"/>
        <v>7.4335475099236034E-2</v>
      </c>
    </row>
    <row r="489" spans="1:3" ht="13.2" x14ac:dyDescent="0.25">
      <c r="A489" s="6">
        <v>487</v>
      </c>
      <c r="B489" s="7">
        <v>84.871810913085938</v>
      </c>
      <c r="C489" s="3">
        <f t="shared" si="3"/>
        <v>0.12180512353568046</v>
      </c>
    </row>
    <row r="490" spans="1:3" ht="13.2" x14ac:dyDescent="0.25">
      <c r="A490" s="6">
        <v>488</v>
      </c>
      <c r="B490" s="7">
        <v>83.805908203125</v>
      </c>
      <c r="C490" s="3">
        <f t="shared" si="3"/>
        <v>0.1435156988676039</v>
      </c>
    </row>
    <row r="491" spans="1:3" ht="13.2" x14ac:dyDescent="0.25">
      <c r="A491" s="6">
        <v>489</v>
      </c>
      <c r="B491" s="7">
        <v>81.452392578125</v>
      </c>
      <c r="C491" s="3">
        <f t="shared" si="3"/>
        <v>0.12204458120850317</v>
      </c>
    </row>
    <row r="492" spans="1:3" ht="13.2" x14ac:dyDescent="0.25">
      <c r="A492" s="6">
        <v>490</v>
      </c>
      <c r="B492" s="7">
        <v>82.074882507324219</v>
      </c>
      <c r="C492" s="3">
        <f t="shared" si="3"/>
        <v>0.14272009477001296</v>
      </c>
    </row>
    <row r="493" spans="1:3" ht="13.2" x14ac:dyDescent="0.25">
      <c r="A493" s="6">
        <v>491</v>
      </c>
      <c r="B493" s="7">
        <v>84.65863037109375</v>
      </c>
      <c r="C493" s="3">
        <f t="shared" si="3"/>
        <v>0.13256783569100675</v>
      </c>
    </row>
    <row r="494" spans="1:3" ht="13.2" x14ac:dyDescent="0.25">
      <c r="A494" s="6">
        <v>492</v>
      </c>
      <c r="B494" s="7">
        <v>85.076461791992188</v>
      </c>
      <c r="C494" s="3">
        <f t="shared" si="3"/>
        <v>0.10488093889708348</v>
      </c>
    </row>
    <row r="495" spans="1:3" ht="13.2" x14ac:dyDescent="0.25">
      <c r="A495" s="6">
        <v>493</v>
      </c>
      <c r="B495" s="7">
        <v>83.567153930664063</v>
      </c>
      <c r="C495" s="3">
        <f t="shared" si="3"/>
        <v>5.0498494080308279E-2</v>
      </c>
    </row>
    <row r="496" spans="1:3" ht="13.2" x14ac:dyDescent="0.25">
      <c r="A496" s="6">
        <v>494</v>
      </c>
      <c r="B496" s="7">
        <v>82.961708068847656</v>
      </c>
      <c r="C496" s="3">
        <f t="shared" si="3"/>
        <v>-4.0210479066406013E-2</v>
      </c>
    </row>
    <row r="497" spans="1:3" ht="13.2" x14ac:dyDescent="0.25">
      <c r="A497" s="6">
        <v>495</v>
      </c>
      <c r="B497" s="7">
        <v>80.267097473144531</v>
      </c>
      <c r="C497" s="3">
        <f t="shared" si="3"/>
        <v>-8.1184783949712583E-2</v>
      </c>
    </row>
    <row r="498" spans="1:3" ht="13.2" x14ac:dyDescent="0.25">
      <c r="A498" s="6">
        <v>496</v>
      </c>
      <c r="B498" s="7">
        <v>77.93914794921875</v>
      </c>
      <c r="C498" s="3">
        <f t="shared" si="3"/>
        <v>-6.1812451201949038E-2</v>
      </c>
    </row>
    <row r="499" spans="1:3" ht="13.2" x14ac:dyDescent="0.25">
      <c r="A499" s="6">
        <v>497</v>
      </c>
      <c r="B499" s="7">
        <v>78.442276000976563</v>
      </c>
      <c r="C499" s="3">
        <f t="shared" si="3"/>
        <v>-4.6154962873534461E-2</v>
      </c>
    </row>
    <row r="500" spans="1:3" ht="13.2" x14ac:dyDescent="0.25">
      <c r="A500" s="6">
        <v>498</v>
      </c>
      <c r="B500" s="7">
        <v>77.41900634765625</v>
      </c>
      <c r="C500" s="3">
        <f t="shared" si="3"/>
        <v>-2.9604924902480748E-2</v>
      </c>
    </row>
    <row r="501" spans="1:3" ht="13.2" x14ac:dyDescent="0.25">
      <c r="A501" s="6">
        <v>499</v>
      </c>
      <c r="B501" s="7">
        <v>76.822097778320313</v>
      </c>
      <c r="C501" s="3">
        <f t="shared" si="3"/>
        <v>-3.4856442140825582E-2</v>
      </c>
    </row>
    <row r="502" spans="1:3" ht="13.2" x14ac:dyDescent="0.25">
      <c r="A502" s="6">
        <v>500</v>
      </c>
      <c r="B502" s="7">
        <v>77.393424987792969</v>
      </c>
      <c r="C502" s="3">
        <f t="shared" si="3"/>
        <v>-3.9434869052318591E-2</v>
      </c>
    </row>
    <row r="503" spans="1:3" ht="13.2" x14ac:dyDescent="0.25">
      <c r="A503" s="6">
        <v>501</v>
      </c>
      <c r="B503" s="7">
        <v>81.102767944335938</v>
      </c>
      <c r="C503" s="3">
        <f t="shared" si="3"/>
        <v>4.3375933168736988E-2</v>
      </c>
    </row>
    <row r="504" spans="1:3" ht="13.2" x14ac:dyDescent="0.25">
      <c r="A504" s="6">
        <v>502</v>
      </c>
      <c r="B504" s="7">
        <v>80.053909301757813</v>
      </c>
      <c r="C504" s="3">
        <f t="shared" si="3"/>
        <v>6.3152312379432654E-2</v>
      </c>
    </row>
    <row r="505" spans="1:3" ht="13.2" x14ac:dyDescent="0.25">
      <c r="A505" s="6">
        <v>503</v>
      </c>
      <c r="B505" s="7">
        <v>86.278816223144531</v>
      </c>
      <c r="C505" s="3">
        <f t="shared" si="3"/>
        <v>0.12764614041364913</v>
      </c>
    </row>
    <row r="506" spans="1:3" ht="13.2" x14ac:dyDescent="0.25">
      <c r="A506" s="6">
        <v>504</v>
      </c>
      <c r="B506" s="7">
        <v>87.344718933105469</v>
      </c>
      <c r="C506" s="3">
        <f t="shared" si="3"/>
        <v>0.15815171854683016</v>
      </c>
    </row>
    <row r="507" spans="1:3" ht="13.2" x14ac:dyDescent="0.25">
      <c r="A507" s="6">
        <v>505</v>
      </c>
      <c r="B507" s="7">
        <v>84.155540466308594</v>
      </c>
      <c r="C507" s="3">
        <f t="shared" si="3"/>
        <v>0.13784582683245303</v>
      </c>
    </row>
    <row r="508" spans="1:3" ht="13.2" x14ac:dyDescent="0.25">
      <c r="A508" s="6">
        <v>506</v>
      </c>
      <c r="B508" s="7">
        <v>83.584220886230469</v>
      </c>
      <c r="C508" s="3">
        <f t="shared" si="3"/>
        <v>0.12391619403289558</v>
      </c>
    </row>
    <row r="509" spans="1:3" ht="13.2" x14ac:dyDescent="0.25">
      <c r="A509" s="6">
        <v>507</v>
      </c>
      <c r="B509" s="7">
        <v>85.281120300292969</v>
      </c>
      <c r="C509" s="3">
        <f t="shared" si="3"/>
        <v>0.13100625506883479</v>
      </c>
    </row>
    <row r="510" spans="1:3" ht="13.2" x14ac:dyDescent="0.25">
      <c r="A510" s="6">
        <v>508</v>
      </c>
      <c r="B510" s="7">
        <v>83.814453125</v>
      </c>
      <c r="C510" s="3">
        <f t="shared" si="3"/>
        <v>8.45757435625802E-2</v>
      </c>
    </row>
    <row r="511" spans="1:3" ht="13.2" x14ac:dyDescent="0.25">
      <c r="A511" s="6">
        <v>509</v>
      </c>
      <c r="B511" s="7">
        <v>86.9354248046875</v>
      </c>
      <c r="C511" s="3">
        <f t="shared" ref="C511:C574" si="4">LN(B511/B259)</f>
        <v>0.10505087068242271</v>
      </c>
    </row>
    <row r="512" spans="1:3" ht="13.2" x14ac:dyDescent="0.25">
      <c r="A512" s="6">
        <v>510</v>
      </c>
      <c r="B512" s="7">
        <v>87.0462646484375</v>
      </c>
      <c r="C512" s="3">
        <f t="shared" si="4"/>
        <v>0.10921167731909716</v>
      </c>
    </row>
    <row r="513" spans="1:3" ht="13.2" x14ac:dyDescent="0.25">
      <c r="A513" s="6">
        <v>511</v>
      </c>
      <c r="B513" s="7">
        <v>84.129737854003906</v>
      </c>
      <c r="C513" s="3">
        <f t="shared" si="4"/>
        <v>6.332905943997566E-2</v>
      </c>
    </row>
    <row r="514" spans="1:3" ht="13.2" x14ac:dyDescent="0.25">
      <c r="A514" s="6">
        <v>512</v>
      </c>
      <c r="B514" s="7">
        <v>85.038444519042969</v>
      </c>
      <c r="C514" s="3">
        <f t="shared" si="4"/>
        <v>7.7445203096349738E-2</v>
      </c>
    </row>
    <row r="515" spans="1:3" ht="13.2" x14ac:dyDescent="0.25">
      <c r="A515" s="6">
        <v>513</v>
      </c>
      <c r="B515" s="7">
        <v>87.331863403320313</v>
      </c>
      <c r="C515" s="3">
        <f t="shared" si="4"/>
        <v>8.3688372684241827E-2</v>
      </c>
    </row>
    <row r="516" spans="1:3" ht="13.2" x14ac:dyDescent="0.25">
      <c r="A516" s="6">
        <v>514</v>
      </c>
      <c r="B516" s="7">
        <v>86.371223449707031</v>
      </c>
      <c r="C516" s="3">
        <f t="shared" si="4"/>
        <v>0.14338468296592694</v>
      </c>
    </row>
    <row r="517" spans="1:3" ht="13.2" x14ac:dyDescent="0.25">
      <c r="A517" s="6">
        <v>515</v>
      </c>
      <c r="B517" s="7">
        <v>86.53564453125</v>
      </c>
      <c r="C517" s="3">
        <f t="shared" si="4"/>
        <v>0.1663949978011211</v>
      </c>
    </row>
    <row r="518" spans="1:3" ht="13.2" x14ac:dyDescent="0.25">
      <c r="A518" s="6">
        <v>516</v>
      </c>
      <c r="B518" s="7">
        <v>88.214614868164063</v>
      </c>
      <c r="C518" s="3">
        <f t="shared" si="4"/>
        <v>0.172176338071063</v>
      </c>
    </row>
    <row r="519" spans="1:3" ht="13.2" x14ac:dyDescent="0.25">
      <c r="A519" s="6">
        <v>517</v>
      </c>
      <c r="B519" s="7">
        <v>84.493202209472656</v>
      </c>
      <c r="C519" s="3">
        <f t="shared" si="4"/>
        <v>0.13462331839107944</v>
      </c>
    </row>
    <row r="520" spans="1:3" ht="13.2" x14ac:dyDescent="0.25">
      <c r="A520" s="6">
        <v>518</v>
      </c>
      <c r="B520" s="7">
        <v>81.187217712402344</v>
      </c>
      <c r="C520" s="3">
        <f t="shared" si="4"/>
        <v>7.6440559482958789E-2</v>
      </c>
    </row>
    <row r="521" spans="1:3" ht="13.2" x14ac:dyDescent="0.25">
      <c r="A521" s="6">
        <v>519</v>
      </c>
      <c r="B521" s="7">
        <v>80.494873046875</v>
      </c>
      <c r="C521" s="3">
        <f t="shared" si="4"/>
        <v>7.2385460794367473E-2</v>
      </c>
    </row>
    <row r="522" spans="1:3" ht="13.2" x14ac:dyDescent="0.25">
      <c r="A522" s="6">
        <v>520</v>
      </c>
      <c r="B522" s="7">
        <v>81.844940185546875</v>
      </c>
      <c r="C522" s="3">
        <f t="shared" si="4"/>
        <v>0.10551019300501939</v>
      </c>
    </row>
    <row r="523" spans="1:3" ht="13.2" x14ac:dyDescent="0.25">
      <c r="A523" s="6">
        <v>521</v>
      </c>
      <c r="B523" s="7">
        <v>78.210098266601563</v>
      </c>
      <c r="C523" s="3">
        <f t="shared" si="4"/>
        <v>9.4244126863281361E-2</v>
      </c>
    </row>
    <row r="524" spans="1:3" ht="13.2" x14ac:dyDescent="0.25">
      <c r="A524" s="6">
        <v>522</v>
      </c>
      <c r="B524" s="7">
        <v>78.287971496582031</v>
      </c>
      <c r="C524" s="3">
        <f t="shared" si="4"/>
        <v>0.11467083847233205</v>
      </c>
    </row>
    <row r="525" spans="1:3" ht="13.2" x14ac:dyDescent="0.25">
      <c r="A525" s="6">
        <v>523</v>
      </c>
      <c r="B525" s="7">
        <v>78.149528503417969</v>
      </c>
      <c r="C525" s="3">
        <f t="shared" si="4"/>
        <v>7.6520873907642381E-2</v>
      </c>
    </row>
    <row r="526" spans="1:3" ht="13.2" x14ac:dyDescent="0.25">
      <c r="A526" s="6">
        <v>524</v>
      </c>
      <c r="B526" s="7">
        <v>82.701728820800781</v>
      </c>
      <c r="C526" s="3">
        <f t="shared" si="4"/>
        <v>0.15451038868425818</v>
      </c>
    </row>
    <row r="527" spans="1:3" ht="13.2" x14ac:dyDescent="0.25">
      <c r="A527" s="6">
        <v>525</v>
      </c>
      <c r="B527" s="7">
        <v>78.538963317871094</v>
      </c>
      <c r="C527" s="3">
        <f t="shared" si="4"/>
        <v>6.9653173027210358E-2</v>
      </c>
    </row>
    <row r="528" spans="1:3" ht="13.2" x14ac:dyDescent="0.25">
      <c r="A528" s="6">
        <v>526</v>
      </c>
      <c r="B528" s="7">
        <v>78.781280517578125</v>
      </c>
      <c r="C528" s="3">
        <f t="shared" si="4"/>
        <v>6.4409689864411063E-2</v>
      </c>
    </row>
    <row r="529" spans="1:3" ht="13.2" x14ac:dyDescent="0.25">
      <c r="A529" s="6">
        <v>527</v>
      </c>
      <c r="B529" s="7">
        <v>74.826202392578125</v>
      </c>
      <c r="C529" s="3">
        <f t="shared" si="4"/>
        <v>1.0832016823404719E-2</v>
      </c>
    </row>
    <row r="530" spans="1:3" ht="13.2" x14ac:dyDescent="0.25">
      <c r="A530" s="6">
        <v>528</v>
      </c>
      <c r="B530" s="7">
        <v>70.550910949707031</v>
      </c>
      <c r="C530" s="3">
        <f t="shared" si="4"/>
        <v>-4.9850360166656657E-2</v>
      </c>
    </row>
    <row r="531" spans="1:3" ht="13.2" x14ac:dyDescent="0.25">
      <c r="A531" s="6">
        <v>529</v>
      </c>
      <c r="B531" s="7">
        <v>73.346305847167969</v>
      </c>
      <c r="C531" s="3">
        <f t="shared" si="4"/>
        <v>-1.3921876827723719E-2</v>
      </c>
    </row>
    <row r="532" spans="1:3" ht="13.2" x14ac:dyDescent="0.25">
      <c r="A532" s="6">
        <v>530</v>
      </c>
      <c r="B532" s="7">
        <v>74.393486022949219</v>
      </c>
      <c r="C532" s="3">
        <f t="shared" si="4"/>
        <v>-1.6184452236065409E-2</v>
      </c>
    </row>
    <row r="533" spans="1:3" ht="13.2" x14ac:dyDescent="0.25">
      <c r="A533" s="6">
        <v>531</v>
      </c>
      <c r="B533" s="7">
        <v>76.133018493652344</v>
      </c>
      <c r="C533" s="3">
        <f t="shared" si="4"/>
        <v>7.7821537513784603E-3</v>
      </c>
    </row>
    <row r="534" spans="1:3" ht="13.2" x14ac:dyDescent="0.25">
      <c r="A534" s="6">
        <v>532</v>
      </c>
      <c r="B534" s="7">
        <v>74.722358703613281</v>
      </c>
      <c r="C534" s="3">
        <f t="shared" si="4"/>
        <v>-1.2944939045637722E-2</v>
      </c>
    </row>
    <row r="535" spans="1:3" ht="13.2" x14ac:dyDescent="0.25">
      <c r="A535" s="6">
        <v>533</v>
      </c>
      <c r="B535" s="7">
        <v>72.065444946289063</v>
      </c>
      <c r="C535" s="3">
        <f t="shared" si="4"/>
        <v>-5.8156470429109569E-2</v>
      </c>
    </row>
    <row r="536" spans="1:3" ht="13.2" x14ac:dyDescent="0.25">
      <c r="A536" s="6">
        <v>534</v>
      </c>
      <c r="B536" s="7">
        <v>71.070198059082031</v>
      </c>
      <c r="C536" s="3">
        <f t="shared" si="4"/>
        <v>-7.5012026502332907E-2</v>
      </c>
    </row>
    <row r="537" spans="1:3" ht="13.2" x14ac:dyDescent="0.25">
      <c r="A537" s="6">
        <v>535</v>
      </c>
      <c r="B537" s="7">
        <v>72.861656188964844</v>
      </c>
      <c r="C537" s="3">
        <f t="shared" si="4"/>
        <v>-3.7096665910453873E-2</v>
      </c>
    </row>
    <row r="538" spans="1:3" ht="13.2" x14ac:dyDescent="0.25">
      <c r="A538" s="6">
        <v>536</v>
      </c>
      <c r="B538" s="7">
        <v>70.022994995117188</v>
      </c>
      <c r="C538" s="3">
        <f t="shared" si="4"/>
        <v>-7.5556210876757263E-2</v>
      </c>
    </row>
    <row r="539" spans="1:3" ht="13.2" x14ac:dyDescent="0.25">
      <c r="A539" s="6">
        <v>537</v>
      </c>
      <c r="B539" s="7">
        <v>70.369186401367188</v>
      </c>
      <c r="C539" s="3">
        <f t="shared" si="4"/>
        <v>-5.4274703323514452E-2</v>
      </c>
    </row>
    <row r="540" spans="1:3" ht="13.2" x14ac:dyDescent="0.25">
      <c r="A540" s="6">
        <v>538</v>
      </c>
      <c r="B540" s="7">
        <v>73.285728454589844</v>
      </c>
      <c r="C540" s="3">
        <f t="shared" si="4"/>
        <v>-8.4451350340350503E-3</v>
      </c>
    </row>
    <row r="541" spans="1:3" ht="13.2" x14ac:dyDescent="0.25">
      <c r="A541" s="6">
        <v>539</v>
      </c>
      <c r="B541" s="7">
        <v>73.415542602539063</v>
      </c>
      <c r="C541" s="3">
        <f t="shared" si="4"/>
        <v>-5.6937863371721324E-3</v>
      </c>
    </row>
    <row r="542" spans="1:3" ht="13.2" x14ac:dyDescent="0.25">
      <c r="A542" s="6">
        <v>540</v>
      </c>
      <c r="B542" s="7">
        <v>71.857742309570313</v>
      </c>
      <c r="C542" s="3">
        <f t="shared" si="4"/>
        <v>-1.5617014929196713E-2</v>
      </c>
    </row>
    <row r="543" spans="1:3" ht="13.2" x14ac:dyDescent="0.25">
      <c r="A543" s="6">
        <v>541</v>
      </c>
      <c r="B543" s="7">
        <v>70.931709289550781</v>
      </c>
      <c r="C543" s="3">
        <f t="shared" si="4"/>
        <v>-5.1334262599155153E-3</v>
      </c>
    </row>
    <row r="544" spans="1:3" ht="13.2" x14ac:dyDescent="0.25">
      <c r="A544" s="6">
        <v>542</v>
      </c>
      <c r="B544" s="7">
        <v>70.77593994140625</v>
      </c>
      <c r="C544" s="3">
        <f t="shared" si="4"/>
        <v>-7.6317197325614955E-2</v>
      </c>
    </row>
    <row r="545" spans="1:3" ht="13.2" x14ac:dyDescent="0.25">
      <c r="A545" s="6">
        <v>543</v>
      </c>
      <c r="B545" s="7">
        <v>67.738243103027344</v>
      </c>
      <c r="C545" s="3">
        <f t="shared" si="4"/>
        <v>-9.724742109717438E-2</v>
      </c>
    </row>
    <row r="546" spans="1:3" ht="13.2" x14ac:dyDescent="0.25">
      <c r="A546" s="6">
        <v>544</v>
      </c>
      <c r="B546" s="7">
        <v>67.426681518554688</v>
      </c>
      <c r="C546" s="3">
        <f t="shared" si="4"/>
        <v>-7.8270639121396812E-2</v>
      </c>
    </row>
    <row r="547" spans="1:3" ht="13.2" x14ac:dyDescent="0.25">
      <c r="A547" s="6">
        <v>545</v>
      </c>
      <c r="B547" s="7">
        <v>67.019912719726563</v>
      </c>
      <c r="C547" s="3">
        <f t="shared" si="4"/>
        <v>-8.3437132887315107E-2</v>
      </c>
    </row>
    <row r="548" spans="1:3" ht="13.2" x14ac:dyDescent="0.25">
      <c r="A548" s="6">
        <v>546</v>
      </c>
      <c r="B548" s="7">
        <v>66.197738647460938</v>
      </c>
      <c r="C548" s="3">
        <f t="shared" si="4"/>
        <v>-0.12111508736848074</v>
      </c>
    </row>
    <row r="549" spans="1:3" ht="13.2" x14ac:dyDescent="0.25">
      <c r="A549" s="6">
        <v>547</v>
      </c>
      <c r="B549" s="7">
        <v>66.812202453613281</v>
      </c>
      <c r="C549" s="3">
        <f t="shared" si="4"/>
        <v>-0.127602234636749</v>
      </c>
    </row>
    <row r="550" spans="1:3" ht="13.2" x14ac:dyDescent="0.25">
      <c r="A550" s="6">
        <v>548</v>
      </c>
      <c r="B550" s="7">
        <v>67.816123962402344</v>
      </c>
      <c r="C550" s="3">
        <f t="shared" si="4"/>
        <v>-0.11966913828678306</v>
      </c>
    </row>
    <row r="551" spans="1:3" ht="13.2" x14ac:dyDescent="0.25">
      <c r="A551" s="6">
        <v>549</v>
      </c>
      <c r="B551" s="7">
        <v>67.746894836425781</v>
      </c>
      <c r="C551" s="3">
        <f t="shared" si="4"/>
        <v>-0.14124285913308654</v>
      </c>
    </row>
    <row r="552" spans="1:3" ht="13.2" x14ac:dyDescent="0.25">
      <c r="A552" s="6">
        <v>550</v>
      </c>
      <c r="B552" s="7">
        <v>67.591087341308594</v>
      </c>
      <c r="C552" s="3">
        <f t="shared" si="4"/>
        <v>-0.1592213870895397</v>
      </c>
    </row>
    <row r="553" spans="1:3" ht="13.2" x14ac:dyDescent="0.25">
      <c r="A553" s="6">
        <v>551</v>
      </c>
      <c r="B553" s="7">
        <v>65.626541137695313</v>
      </c>
      <c r="C553" s="3">
        <f t="shared" si="4"/>
        <v>-0.16807237759505156</v>
      </c>
    </row>
    <row r="554" spans="1:3" ht="13.2" x14ac:dyDescent="0.25">
      <c r="A554" s="6">
        <v>552</v>
      </c>
      <c r="B554" s="7">
        <v>65.185173034667969</v>
      </c>
      <c r="C554" s="3">
        <f t="shared" si="4"/>
        <v>-0.18195581210249659</v>
      </c>
    </row>
    <row r="555" spans="1:3" ht="13.2" x14ac:dyDescent="0.25">
      <c r="A555" s="6">
        <v>553</v>
      </c>
      <c r="B555" s="7">
        <v>68.058441162109375</v>
      </c>
      <c r="C555" s="3">
        <f t="shared" si="4"/>
        <v>-7.6759397434085413E-2</v>
      </c>
    </row>
    <row r="556" spans="1:3" ht="13.2" x14ac:dyDescent="0.25">
      <c r="A556" s="6">
        <v>554</v>
      </c>
      <c r="B556" s="7">
        <v>69.754707336425781</v>
      </c>
      <c r="C556" s="3">
        <f t="shared" si="4"/>
        <v>-5.2689159378699307E-2</v>
      </c>
    </row>
    <row r="557" spans="1:3" ht="13.2" x14ac:dyDescent="0.25">
      <c r="A557" s="6">
        <v>555</v>
      </c>
      <c r="B557" s="7">
        <v>66.13714599609375</v>
      </c>
      <c r="C557" s="3">
        <f t="shared" si="4"/>
        <v>-0.12590525203560424</v>
      </c>
    </row>
    <row r="558" spans="1:3" ht="13.2" x14ac:dyDescent="0.25">
      <c r="A558" s="6">
        <v>556</v>
      </c>
      <c r="B558" s="7">
        <v>66.171783447265625</v>
      </c>
      <c r="C558" s="3">
        <f t="shared" si="4"/>
        <v>-0.13797633676093765</v>
      </c>
    </row>
    <row r="559" spans="1:3" ht="13.2" x14ac:dyDescent="0.25">
      <c r="A559" s="6">
        <v>557</v>
      </c>
      <c r="B559" s="7">
        <v>65.8515625</v>
      </c>
      <c r="C559" s="3">
        <f t="shared" si="4"/>
        <v>-0.15075087941560081</v>
      </c>
    </row>
    <row r="560" spans="1:3" ht="13.2" x14ac:dyDescent="0.25">
      <c r="A560" s="6">
        <v>558</v>
      </c>
      <c r="B560" s="7">
        <v>65.488082885742188</v>
      </c>
      <c r="C560" s="3">
        <f t="shared" si="4"/>
        <v>-0.15386294876842083</v>
      </c>
    </row>
    <row r="561" spans="1:3" ht="13.2" x14ac:dyDescent="0.25">
      <c r="A561" s="6">
        <v>559</v>
      </c>
      <c r="B561" s="7">
        <v>65.782333374023438</v>
      </c>
      <c r="C561" s="3">
        <f t="shared" si="4"/>
        <v>-0.13824172980070651</v>
      </c>
    </row>
    <row r="562" spans="1:3" ht="13.2" x14ac:dyDescent="0.25">
      <c r="A562" s="6">
        <v>560</v>
      </c>
      <c r="B562" s="7">
        <v>67.2882080078125</v>
      </c>
      <c r="C562" s="3">
        <f t="shared" si="4"/>
        <v>-0.11614150383596469</v>
      </c>
    </row>
    <row r="563" spans="1:3" ht="13.2" x14ac:dyDescent="0.25">
      <c r="A563" s="6">
        <v>561</v>
      </c>
      <c r="B563" s="7">
        <v>65.462120056152344</v>
      </c>
      <c r="C563" s="3">
        <f t="shared" si="4"/>
        <v>-0.16234872768524938</v>
      </c>
    </row>
    <row r="564" spans="1:3" ht="13.2" x14ac:dyDescent="0.25">
      <c r="A564" s="6">
        <v>562</v>
      </c>
      <c r="B564" s="7">
        <v>69.270072937011719</v>
      </c>
      <c r="C564" s="3">
        <f t="shared" si="4"/>
        <v>-7.3157115713753204E-2</v>
      </c>
    </row>
    <row r="565" spans="1:3" ht="13.2" x14ac:dyDescent="0.25">
      <c r="A565" s="6">
        <v>563</v>
      </c>
      <c r="B565" s="7">
        <v>72.307769775390625</v>
      </c>
      <c r="C565" s="3">
        <f t="shared" si="4"/>
        <v>-3.820687484815171E-2</v>
      </c>
    </row>
    <row r="566" spans="1:3" ht="13.2" x14ac:dyDescent="0.25">
      <c r="A566" s="6">
        <v>564</v>
      </c>
      <c r="B566" s="7">
        <v>72.515480041503906</v>
      </c>
      <c r="C566" s="3">
        <f t="shared" si="4"/>
        <v>-2.3362202622938307E-2</v>
      </c>
    </row>
    <row r="567" spans="1:3" ht="13.2" x14ac:dyDescent="0.25">
      <c r="A567" s="6">
        <v>565</v>
      </c>
      <c r="B567" s="7">
        <v>70.888450622558594</v>
      </c>
      <c r="C567" s="3">
        <f t="shared" si="4"/>
        <v>-2.9087466633005973E-2</v>
      </c>
    </row>
    <row r="568" spans="1:3" ht="13.2" x14ac:dyDescent="0.25">
      <c r="A568" s="6">
        <v>566</v>
      </c>
      <c r="B568" s="7">
        <v>68.83734130859375</v>
      </c>
      <c r="C568" s="3">
        <f t="shared" si="4"/>
        <v>-6.2745186745432432E-2</v>
      </c>
    </row>
    <row r="569" spans="1:3" ht="13.2" x14ac:dyDescent="0.25">
      <c r="A569" s="6">
        <v>567</v>
      </c>
      <c r="B569" s="7">
        <v>68.058441162109375</v>
      </c>
      <c r="C569" s="3">
        <f t="shared" si="4"/>
        <v>-2.2698307163884629E-2</v>
      </c>
    </row>
    <row r="570" spans="1:3" ht="13.2" x14ac:dyDescent="0.25">
      <c r="A570" s="6">
        <v>568</v>
      </c>
      <c r="B570" s="7">
        <v>68.811393737792969</v>
      </c>
      <c r="C570" s="3">
        <f t="shared" si="4"/>
        <v>-2.6628147820449921E-2</v>
      </c>
    </row>
    <row r="571" spans="1:3" ht="13.2" x14ac:dyDescent="0.25">
      <c r="A571" s="6">
        <v>569</v>
      </c>
      <c r="B571" s="7">
        <v>68.620986938476563</v>
      </c>
      <c r="C571" s="3">
        <f t="shared" si="4"/>
        <v>-3.9043277156842721E-2</v>
      </c>
    </row>
    <row r="572" spans="1:3" ht="13.2" x14ac:dyDescent="0.25">
      <c r="A572" s="6">
        <v>570</v>
      </c>
      <c r="B572" s="7">
        <v>68.447891235351563</v>
      </c>
      <c r="C572" s="3">
        <f t="shared" si="4"/>
        <v>-3.7609305183164951E-2</v>
      </c>
    </row>
    <row r="573" spans="1:3" ht="13.2" x14ac:dyDescent="0.25">
      <c r="A573" s="6">
        <v>571</v>
      </c>
      <c r="B573" s="7">
        <v>69.226791381835938</v>
      </c>
      <c r="C573" s="3">
        <f t="shared" si="4"/>
        <v>-5.0817763059867418E-2</v>
      </c>
    </row>
    <row r="574" spans="1:3" ht="13.2" x14ac:dyDescent="0.25">
      <c r="A574" s="6">
        <v>572</v>
      </c>
      <c r="B574" s="7">
        <v>67.547836303710938</v>
      </c>
      <c r="C574" s="3">
        <f t="shared" si="4"/>
        <v>-8.032099025328189E-2</v>
      </c>
    </row>
    <row r="575" spans="1:3" ht="13.2" x14ac:dyDescent="0.25">
      <c r="A575" s="6">
        <v>573</v>
      </c>
      <c r="B575" s="7">
        <v>70.335678100585938</v>
      </c>
      <c r="C575" s="3">
        <f t="shared" ref="C575:C638" si="5">LN(B575/B323)</f>
        <v>-5.3257150127097752E-2</v>
      </c>
    </row>
    <row r="576" spans="1:3" ht="13.2" x14ac:dyDescent="0.25">
      <c r="A576" s="6">
        <v>574</v>
      </c>
      <c r="B576" s="7">
        <v>70.624961853027344</v>
      </c>
      <c r="C576" s="3">
        <f t="shared" si="5"/>
        <v>-7.5925908100811346E-2</v>
      </c>
    </row>
    <row r="577" spans="1:3" ht="13.2" x14ac:dyDescent="0.25">
      <c r="A577" s="6">
        <v>575</v>
      </c>
      <c r="B577" s="7">
        <v>67.42510986328125</v>
      </c>
      <c r="C577" s="3">
        <f t="shared" si="5"/>
        <v>-0.13098834419260127</v>
      </c>
    </row>
    <row r="578" spans="1:3" ht="13.2" x14ac:dyDescent="0.25">
      <c r="A578" s="6">
        <v>576</v>
      </c>
      <c r="B578" s="7">
        <v>66.636100769042969</v>
      </c>
      <c r="C578" s="3">
        <f t="shared" si="5"/>
        <v>-0.11049687215109513</v>
      </c>
    </row>
    <row r="579" spans="1:3" ht="13.2" x14ac:dyDescent="0.25">
      <c r="A579" s="6">
        <v>577</v>
      </c>
      <c r="B579" s="7">
        <v>66.872779846191406</v>
      </c>
      <c r="C579" s="3">
        <f t="shared" si="5"/>
        <v>-0.10330147846788007</v>
      </c>
    </row>
    <row r="580" spans="1:3" ht="13.2" x14ac:dyDescent="0.25">
      <c r="A580" s="6">
        <v>578</v>
      </c>
      <c r="B580" s="7">
        <v>65.312309265136719</v>
      </c>
      <c r="C580" s="3">
        <f t="shared" si="5"/>
        <v>-0.13705497647414511</v>
      </c>
    </row>
    <row r="581" spans="1:3" ht="13.2" x14ac:dyDescent="0.25">
      <c r="A581" s="6">
        <v>579</v>
      </c>
      <c r="B581" s="7">
        <v>67.021835327148438</v>
      </c>
      <c r="C581" s="3">
        <f t="shared" si="5"/>
        <v>-0.10759082133713463</v>
      </c>
    </row>
    <row r="582" spans="1:3" ht="13.2" x14ac:dyDescent="0.25">
      <c r="A582" s="6">
        <v>580</v>
      </c>
      <c r="B582" s="7">
        <v>66.741287231445313</v>
      </c>
      <c r="C582" s="3">
        <f t="shared" si="5"/>
        <v>-8.1385616042630005E-2</v>
      </c>
    </row>
    <row r="583" spans="1:3" ht="13.2" x14ac:dyDescent="0.25">
      <c r="A583" s="6">
        <v>581</v>
      </c>
      <c r="B583" s="7">
        <v>67.933578491210938</v>
      </c>
      <c r="C583" s="3">
        <f t="shared" si="5"/>
        <v>-5.1576778026443747E-2</v>
      </c>
    </row>
    <row r="584" spans="1:3" ht="13.2" x14ac:dyDescent="0.25">
      <c r="A584" s="6">
        <v>582</v>
      </c>
      <c r="B584" s="7">
        <v>67.23223876953125</v>
      </c>
      <c r="C584" s="3">
        <f t="shared" si="5"/>
        <v>-4.8424243459367182E-2</v>
      </c>
    </row>
    <row r="585" spans="1:3" ht="13.2" x14ac:dyDescent="0.25">
      <c r="A585" s="6">
        <v>583</v>
      </c>
      <c r="B585" s="7">
        <v>70.125251770019531</v>
      </c>
      <c r="C585" s="3">
        <f t="shared" si="5"/>
        <v>-2.749061501883928E-2</v>
      </c>
    </row>
    <row r="586" spans="1:3" ht="13.2" x14ac:dyDescent="0.25">
      <c r="A586" s="6">
        <v>584</v>
      </c>
      <c r="B586" s="7">
        <v>73.640724182128906</v>
      </c>
      <c r="C586" s="3">
        <f t="shared" si="5"/>
        <v>3.8438357181841187E-2</v>
      </c>
    </row>
    <row r="587" spans="1:3" ht="13.2" x14ac:dyDescent="0.25">
      <c r="A587" s="6">
        <v>585</v>
      </c>
      <c r="B587" s="7">
        <v>73.8248291015625</v>
      </c>
      <c r="C587" s="3">
        <f t="shared" si="5"/>
        <v>2.7804537413662476E-2</v>
      </c>
    </row>
    <row r="588" spans="1:3" ht="13.2" x14ac:dyDescent="0.25">
      <c r="A588" s="6">
        <v>586</v>
      </c>
      <c r="B588" s="7">
        <v>72.404617309570313</v>
      </c>
      <c r="C588" s="3">
        <f t="shared" si="5"/>
        <v>-8.8643945871547843E-3</v>
      </c>
    </row>
    <row r="589" spans="1:3" ht="13.2" x14ac:dyDescent="0.25">
      <c r="A589" s="6">
        <v>587</v>
      </c>
      <c r="B589" s="7">
        <v>68.626144409179688</v>
      </c>
      <c r="C589" s="3">
        <f t="shared" si="5"/>
        <v>-1.9720298993126866E-2</v>
      </c>
    </row>
    <row r="590" spans="1:3" ht="13.2" x14ac:dyDescent="0.25">
      <c r="A590" s="6">
        <v>588</v>
      </c>
      <c r="B590" s="7">
        <v>67.530296325683594</v>
      </c>
      <c r="C590" s="3">
        <f t="shared" si="5"/>
        <v>1.545649716595617E-4</v>
      </c>
    </row>
    <row r="591" spans="1:3" ht="13.2" x14ac:dyDescent="0.25">
      <c r="A591" s="6">
        <v>589</v>
      </c>
      <c r="B591" s="7">
        <v>66.706230163574219</v>
      </c>
      <c r="C591" s="3">
        <f t="shared" si="5"/>
        <v>-2.2413382642822548E-2</v>
      </c>
    </row>
    <row r="592" spans="1:3" ht="13.2" x14ac:dyDescent="0.25">
      <c r="A592" s="6">
        <v>590</v>
      </c>
      <c r="B592" s="7">
        <v>67.34619140625</v>
      </c>
      <c r="C592" s="3">
        <f t="shared" si="5"/>
        <v>-1.2744704411645933E-2</v>
      </c>
    </row>
    <row r="593" spans="1:3" ht="13.2" x14ac:dyDescent="0.25">
      <c r="A593" s="6">
        <v>591</v>
      </c>
      <c r="B593" s="7">
        <v>65.172035217285156</v>
      </c>
      <c r="C593" s="3">
        <f t="shared" si="5"/>
        <v>-5.1206211450674013E-2</v>
      </c>
    </row>
    <row r="594" spans="1:3" ht="13.2" x14ac:dyDescent="0.25">
      <c r="A594" s="6">
        <v>592</v>
      </c>
      <c r="B594" s="7">
        <v>63.015422821044922</v>
      </c>
      <c r="C594" s="3">
        <f t="shared" si="5"/>
        <v>-6.8433488169678314E-2</v>
      </c>
    </row>
    <row r="595" spans="1:3" ht="13.2" x14ac:dyDescent="0.25">
      <c r="A595" s="6">
        <v>593</v>
      </c>
      <c r="B595" s="7">
        <v>60.175003051757813</v>
      </c>
      <c r="C595" s="3">
        <f t="shared" si="5"/>
        <v>-0.11601635051481014</v>
      </c>
    </row>
    <row r="596" spans="1:3" ht="13.2" x14ac:dyDescent="0.25">
      <c r="A596" s="6">
        <v>594</v>
      </c>
      <c r="B596" s="7">
        <v>60.490608215332031</v>
      </c>
      <c r="C596" s="3">
        <f t="shared" si="5"/>
        <v>-8.6791442880362973E-2</v>
      </c>
    </row>
    <row r="597" spans="1:3" ht="13.2" x14ac:dyDescent="0.25">
      <c r="A597" s="6">
        <v>595</v>
      </c>
      <c r="B597" s="7">
        <v>60.841274261474609</v>
      </c>
      <c r="C597" s="3">
        <f t="shared" si="5"/>
        <v>-7.7142910238418891E-2</v>
      </c>
    </row>
    <row r="598" spans="1:3" ht="13.2" x14ac:dyDescent="0.25">
      <c r="A598" s="6">
        <v>596</v>
      </c>
      <c r="B598" s="7">
        <v>60.928936004638672</v>
      </c>
      <c r="C598" s="3">
        <f t="shared" si="5"/>
        <v>-0.10526557092505633</v>
      </c>
    </row>
    <row r="599" spans="1:3" ht="13.2" x14ac:dyDescent="0.25">
      <c r="A599" s="6">
        <v>597</v>
      </c>
      <c r="B599" s="7">
        <v>60.490608215332031</v>
      </c>
      <c r="C599" s="3">
        <f t="shared" si="5"/>
        <v>-9.0644083960411362E-2</v>
      </c>
    </row>
    <row r="600" spans="1:3" ht="13.2" x14ac:dyDescent="0.25">
      <c r="A600" s="6">
        <v>598</v>
      </c>
      <c r="B600" s="7">
        <v>59.631454467773438</v>
      </c>
      <c r="C600" s="3">
        <f t="shared" si="5"/>
        <v>-0.1008470138783736</v>
      </c>
    </row>
    <row r="601" spans="1:3" ht="13.2" x14ac:dyDescent="0.25">
      <c r="A601" s="6">
        <v>599</v>
      </c>
      <c r="B601" s="7">
        <v>64.242759704589844</v>
      </c>
      <c r="C601" s="3">
        <f t="shared" si="5"/>
        <v>-3.0463172833947807E-2</v>
      </c>
    </row>
    <row r="602" spans="1:3" ht="13.2" x14ac:dyDescent="0.25">
      <c r="A602" s="6">
        <v>600</v>
      </c>
      <c r="B602" s="7">
        <v>65.426277160644531</v>
      </c>
      <c r="C602" s="3">
        <f t="shared" si="5"/>
        <v>-1.4686356595110736E-2</v>
      </c>
    </row>
    <row r="603" spans="1:3" ht="13.2" x14ac:dyDescent="0.25">
      <c r="A603" s="6">
        <v>601</v>
      </c>
      <c r="B603" s="7">
        <v>64.295364379882813</v>
      </c>
      <c r="C603" s="3">
        <f t="shared" si="5"/>
        <v>-7.1790776940754308E-2</v>
      </c>
    </row>
    <row r="604" spans="1:3" ht="13.2" x14ac:dyDescent="0.25">
      <c r="A604" s="6">
        <v>602</v>
      </c>
      <c r="B604" s="7">
        <v>63.208293914794922</v>
      </c>
      <c r="C604" s="3">
        <f t="shared" si="5"/>
        <v>-9.5008350756704205E-2</v>
      </c>
    </row>
    <row r="605" spans="1:3" ht="13.2" x14ac:dyDescent="0.25">
      <c r="A605" s="6">
        <v>603</v>
      </c>
      <c r="B605" s="7">
        <v>60.262649536132813</v>
      </c>
      <c r="C605" s="3">
        <f t="shared" si="5"/>
        <v>-0.17575000541712463</v>
      </c>
    </row>
    <row r="606" spans="1:3" ht="13.2" x14ac:dyDescent="0.25">
      <c r="A606" s="6">
        <v>604</v>
      </c>
      <c r="B606" s="7">
        <v>58.237541198730469</v>
      </c>
      <c r="C606" s="3">
        <f t="shared" si="5"/>
        <v>-0.18445049610238609</v>
      </c>
    </row>
    <row r="607" spans="1:3" ht="13.2" x14ac:dyDescent="0.25">
      <c r="A607" s="6">
        <v>605</v>
      </c>
      <c r="B607" s="7">
        <v>59.254482269287109</v>
      </c>
      <c r="C607" s="3">
        <f t="shared" si="5"/>
        <v>-0.1841222882179222</v>
      </c>
    </row>
    <row r="608" spans="1:3" ht="13.2" x14ac:dyDescent="0.25">
      <c r="A608" s="6">
        <v>606</v>
      </c>
      <c r="B608" s="7">
        <v>57.492374420166016</v>
      </c>
      <c r="C608" s="3">
        <f t="shared" si="5"/>
        <v>-0.24576064963393346</v>
      </c>
    </row>
    <row r="609" spans="1:3" ht="13.2" x14ac:dyDescent="0.25">
      <c r="A609" s="6">
        <v>607</v>
      </c>
      <c r="B609" s="7">
        <v>57.983310699462891</v>
      </c>
      <c r="C609" s="3">
        <f t="shared" si="5"/>
        <v>-0.28398613345154228</v>
      </c>
    </row>
    <row r="610" spans="1:3" ht="13.2" x14ac:dyDescent="0.25">
      <c r="A610" s="6">
        <v>608</v>
      </c>
      <c r="B610" s="7">
        <v>56.983898162841797</v>
      </c>
      <c r="C610" s="3">
        <f t="shared" si="5"/>
        <v>-0.30955257297229005</v>
      </c>
    </row>
    <row r="611" spans="1:3" ht="13.2" x14ac:dyDescent="0.25">
      <c r="A611" s="6">
        <v>609</v>
      </c>
      <c r="B611" s="7">
        <v>57.273204803466797</v>
      </c>
      <c r="C611" s="3">
        <f t="shared" si="5"/>
        <v>-0.31354575309769411</v>
      </c>
    </row>
    <row r="612" spans="1:3" ht="13.2" x14ac:dyDescent="0.25">
      <c r="A612" s="6">
        <v>610</v>
      </c>
      <c r="B612" s="7">
        <v>57.746608734130859</v>
      </c>
      <c r="C612" s="3">
        <f t="shared" si="5"/>
        <v>-0.30026862856272835</v>
      </c>
    </row>
    <row r="613" spans="1:3" ht="13.2" x14ac:dyDescent="0.25">
      <c r="A613" s="6">
        <v>611</v>
      </c>
      <c r="B613" s="7">
        <v>55.905590057373047</v>
      </c>
      <c r="C613" s="3">
        <f t="shared" si="5"/>
        <v>-0.33309061705445348</v>
      </c>
    </row>
    <row r="614" spans="1:3" ht="13.2" x14ac:dyDescent="0.25">
      <c r="A614" s="6">
        <v>612</v>
      </c>
      <c r="B614" s="7">
        <v>55.852985382080078</v>
      </c>
      <c r="C614" s="3">
        <f t="shared" si="5"/>
        <v>-0.32853950254362835</v>
      </c>
    </row>
    <row r="615" spans="1:3" ht="13.2" x14ac:dyDescent="0.25">
      <c r="A615" s="6">
        <v>613</v>
      </c>
      <c r="B615" s="7">
        <v>56.641998291015625</v>
      </c>
      <c r="C615" s="3">
        <f t="shared" si="5"/>
        <v>-0.32515213579396751</v>
      </c>
    </row>
    <row r="616" spans="1:3" ht="13.2" x14ac:dyDescent="0.25">
      <c r="A616" s="6">
        <v>614</v>
      </c>
      <c r="B616" s="7">
        <v>54.371402740478516</v>
      </c>
      <c r="C616" s="3">
        <f t="shared" si="5"/>
        <v>-0.35732869149910912</v>
      </c>
    </row>
    <row r="617" spans="1:3" ht="13.2" x14ac:dyDescent="0.25">
      <c r="A617" s="6">
        <v>615</v>
      </c>
      <c r="B617" s="7">
        <v>56.598159790039063</v>
      </c>
      <c r="C617" s="3">
        <f t="shared" si="5"/>
        <v>-0.29603838725459597</v>
      </c>
    </row>
    <row r="618" spans="1:3" ht="13.2" x14ac:dyDescent="0.25">
      <c r="A618" s="6">
        <v>616</v>
      </c>
      <c r="B618" s="7">
        <v>62.918991088867188</v>
      </c>
      <c r="C618" s="3">
        <f t="shared" si="5"/>
        <v>-0.154222981280769</v>
      </c>
    </row>
    <row r="619" spans="1:3" ht="13.2" x14ac:dyDescent="0.25">
      <c r="A619" s="6">
        <v>617</v>
      </c>
      <c r="B619" s="7">
        <v>64.409339904785156</v>
      </c>
      <c r="C619" s="3">
        <f t="shared" si="5"/>
        <v>-0.1416101242243045</v>
      </c>
    </row>
    <row r="620" spans="1:3" ht="13.2" x14ac:dyDescent="0.25">
      <c r="A620" s="6">
        <v>618</v>
      </c>
      <c r="B620" s="7">
        <v>61.875751495361328</v>
      </c>
      <c r="C620" s="3">
        <f t="shared" si="5"/>
        <v>-0.17652313416421497</v>
      </c>
    </row>
    <row r="621" spans="1:3" ht="13.2" x14ac:dyDescent="0.25">
      <c r="A621" s="6">
        <v>619</v>
      </c>
      <c r="B621" s="7">
        <v>62.568325042724609</v>
      </c>
      <c r="C621" s="3">
        <f t="shared" si="5"/>
        <v>-0.15790734860981587</v>
      </c>
    </row>
    <row r="622" spans="1:3" ht="13.2" x14ac:dyDescent="0.25">
      <c r="A622" s="6">
        <v>620</v>
      </c>
      <c r="B622" s="7">
        <v>64.251533508300781</v>
      </c>
      <c r="C622" s="3">
        <f t="shared" si="5"/>
        <v>-0.12855381779866853</v>
      </c>
    </row>
    <row r="623" spans="1:3" ht="13.2" x14ac:dyDescent="0.25">
      <c r="A623" s="6">
        <v>621</v>
      </c>
      <c r="B623" s="7">
        <v>61.814373016357422</v>
      </c>
      <c r="C623" s="3">
        <f t="shared" si="5"/>
        <v>-0.1606799643073023</v>
      </c>
    </row>
    <row r="624" spans="1:3" ht="13.2" x14ac:dyDescent="0.25">
      <c r="A624" s="6">
        <v>622</v>
      </c>
      <c r="B624" s="7">
        <v>68.021224975585938</v>
      </c>
      <c r="C624" s="3">
        <f t="shared" si="5"/>
        <v>-6.9626311172218999E-2</v>
      </c>
    </row>
    <row r="625" spans="1:3" ht="13.2" x14ac:dyDescent="0.25">
      <c r="A625" s="6">
        <v>623</v>
      </c>
      <c r="B625" s="7">
        <v>64.277839660644531</v>
      </c>
      <c r="C625" s="3">
        <f t="shared" si="5"/>
        <v>-0.12024186908024574</v>
      </c>
    </row>
    <row r="626" spans="1:3" ht="13.2" x14ac:dyDescent="0.25">
      <c r="A626" s="6">
        <v>624</v>
      </c>
      <c r="B626" s="7">
        <v>66.451988220214844</v>
      </c>
      <c r="C626" s="3">
        <f t="shared" si="5"/>
        <v>-6.7290043795021057E-2</v>
      </c>
    </row>
    <row r="627" spans="1:3" ht="13.2" x14ac:dyDescent="0.25">
      <c r="A627" s="6">
        <v>625</v>
      </c>
      <c r="B627" s="7">
        <v>65.873374938964844</v>
      </c>
      <c r="C627" s="3">
        <f t="shared" si="5"/>
        <v>-9.3680277854302219E-2</v>
      </c>
    </row>
    <row r="628" spans="1:3" ht="13.2" x14ac:dyDescent="0.25">
      <c r="A628" s="6">
        <v>626</v>
      </c>
      <c r="B628" s="7">
        <v>66.899093627929688</v>
      </c>
      <c r="C628" s="3">
        <f t="shared" si="5"/>
        <v>-6.715162832638083E-2</v>
      </c>
    </row>
    <row r="629" spans="1:3" ht="13.2" x14ac:dyDescent="0.25">
      <c r="A629" s="6">
        <v>627</v>
      </c>
      <c r="B629" s="7">
        <v>72.036407470703125</v>
      </c>
      <c r="C629" s="3">
        <f t="shared" si="5"/>
        <v>1.1438556482506069E-2</v>
      </c>
    </row>
    <row r="630" spans="1:3" ht="13.2" x14ac:dyDescent="0.25">
      <c r="A630" s="6">
        <v>628</v>
      </c>
      <c r="B630" s="7">
        <v>71.010696411132813</v>
      </c>
      <c r="C630" s="3">
        <f t="shared" si="5"/>
        <v>-7.276699569276155E-3</v>
      </c>
    </row>
    <row r="631" spans="1:3" ht="13.2" x14ac:dyDescent="0.25">
      <c r="A631" s="6">
        <v>629</v>
      </c>
      <c r="B631" s="7">
        <v>71.072059631347656</v>
      </c>
      <c r="C631" s="3">
        <f t="shared" si="5"/>
        <v>3.746452797902478E-3</v>
      </c>
    </row>
    <row r="632" spans="1:3" ht="13.2" x14ac:dyDescent="0.25">
      <c r="A632" s="6">
        <v>630</v>
      </c>
      <c r="B632" s="7">
        <v>69.178436279296875</v>
      </c>
      <c r="C632" s="3">
        <f t="shared" si="5"/>
        <v>-4.5066105106471695E-2</v>
      </c>
    </row>
    <row r="633" spans="1:3" ht="13.2" x14ac:dyDescent="0.25">
      <c r="A633" s="6">
        <v>631</v>
      </c>
      <c r="B633" s="7">
        <v>66.785110473632813</v>
      </c>
      <c r="C633" s="3">
        <f t="shared" si="5"/>
        <v>-5.2415600628990637E-2</v>
      </c>
    </row>
    <row r="634" spans="1:3" ht="13.2" x14ac:dyDescent="0.25">
      <c r="A634" s="6">
        <v>632</v>
      </c>
      <c r="B634" s="7">
        <v>65.803237915039063</v>
      </c>
      <c r="C634" s="3">
        <f t="shared" si="5"/>
        <v>-9.71277497941785E-2</v>
      </c>
    </row>
    <row r="635" spans="1:3" ht="13.2" x14ac:dyDescent="0.25">
      <c r="A635" s="6">
        <v>633</v>
      </c>
      <c r="B635" s="7">
        <v>67.942329406738281</v>
      </c>
      <c r="C635" s="3">
        <f t="shared" si="5"/>
        <v>-5.477367385175564E-2</v>
      </c>
    </row>
    <row r="636" spans="1:3" ht="13.2" x14ac:dyDescent="0.25">
      <c r="A636" s="6">
        <v>634</v>
      </c>
      <c r="B636" s="7">
        <v>66.074478149414063</v>
      </c>
      <c r="C636" s="3">
        <f t="shared" si="5"/>
        <v>-7.1715052006929195E-2</v>
      </c>
    </row>
    <row r="637" spans="1:3" ht="13.2" x14ac:dyDescent="0.25">
      <c r="A637" s="6">
        <v>635</v>
      </c>
      <c r="B637" s="7">
        <v>64.702346801757813</v>
      </c>
      <c r="C637" s="3">
        <f t="shared" si="5"/>
        <v>-7.2237519633193539E-2</v>
      </c>
    </row>
    <row r="638" spans="1:3" ht="13.2" x14ac:dyDescent="0.25">
      <c r="A638" s="6">
        <v>636</v>
      </c>
      <c r="B638" s="7">
        <v>62.586627960205078</v>
      </c>
      <c r="C638" s="3">
        <f t="shared" si="5"/>
        <v>-0.16268197754749064</v>
      </c>
    </row>
    <row r="639" spans="1:3" ht="13.2" x14ac:dyDescent="0.25">
      <c r="A639" s="6">
        <v>637</v>
      </c>
      <c r="B639" s="7">
        <v>61.090568542480469</v>
      </c>
      <c r="C639" s="3">
        <f t="shared" ref="C639:C702" si="6">LN(B639/B387)</f>
        <v>-0.20873597028477625</v>
      </c>
    </row>
    <row r="640" spans="1:3" ht="13.2" x14ac:dyDescent="0.25">
      <c r="A640" s="6">
        <v>638</v>
      </c>
      <c r="B640" s="7">
        <v>64.082679748535156</v>
      </c>
      <c r="C640" s="3">
        <f t="shared" si="6"/>
        <v>-0.1665876722066604</v>
      </c>
    </row>
    <row r="641" spans="1:3" ht="13.2" x14ac:dyDescent="0.25">
      <c r="A641" s="6">
        <v>639</v>
      </c>
      <c r="B641" s="7">
        <v>69.491508483886719</v>
      </c>
      <c r="C641" s="3">
        <f t="shared" si="6"/>
        <v>-0.10780608918599549</v>
      </c>
    </row>
    <row r="642" spans="1:3" ht="13.2" x14ac:dyDescent="0.25">
      <c r="A642" s="6">
        <v>640</v>
      </c>
      <c r="B642" s="7">
        <v>71.253143310546875</v>
      </c>
      <c r="C642" s="3">
        <f t="shared" si="6"/>
        <v>-7.1763828753435802E-2</v>
      </c>
    </row>
    <row r="643" spans="1:3" ht="13.2" x14ac:dyDescent="0.25">
      <c r="A643" s="6">
        <v>641</v>
      </c>
      <c r="B643" s="7">
        <v>70.2174072265625</v>
      </c>
      <c r="C643" s="3">
        <f t="shared" si="6"/>
        <v>-9.9146925481358159E-2</v>
      </c>
    </row>
    <row r="644" spans="1:3" ht="13.2" x14ac:dyDescent="0.25">
      <c r="A644" s="6">
        <v>642</v>
      </c>
      <c r="B644" s="7">
        <v>69.827911376953125</v>
      </c>
      <c r="C644" s="3">
        <f t="shared" si="6"/>
        <v>-0.11579257335905169</v>
      </c>
    </row>
    <row r="645" spans="1:3" ht="13.2" x14ac:dyDescent="0.25">
      <c r="A645" s="6">
        <v>643</v>
      </c>
      <c r="B645" s="7">
        <v>70.42987060546875</v>
      </c>
      <c r="C645" s="3">
        <f t="shared" si="6"/>
        <v>-8.8522881958996436E-2</v>
      </c>
    </row>
    <row r="646" spans="1:3" ht="13.2" x14ac:dyDescent="0.25">
      <c r="A646" s="6">
        <v>644</v>
      </c>
      <c r="B646" s="7">
        <v>68.16363525390625</v>
      </c>
      <c r="C646" s="3">
        <f t="shared" si="6"/>
        <v>-0.13358154893839921</v>
      </c>
    </row>
    <row r="647" spans="1:3" ht="13.2" x14ac:dyDescent="0.25">
      <c r="A647" s="6">
        <v>645</v>
      </c>
      <c r="B647" s="7">
        <v>70.810516357421875</v>
      </c>
      <c r="C647" s="3">
        <f t="shared" si="6"/>
        <v>-8.618077632529271E-2</v>
      </c>
    </row>
    <row r="648" spans="1:3" ht="13.2" x14ac:dyDescent="0.25">
      <c r="A648" s="6">
        <v>646</v>
      </c>
      <c r="B648" s="7">
        <v>69.234786987304688</v>
      </c>
      <c r="C648" s="3">
        <f t="shared" si="6"/>
        <v>-8.1470082562743948E-2</v>
      </c>
    </row>
    <row r="649" spans="1:3" ht="13.2" x14ac:dyDescent="0.25">
      <c r="A649" s="6">
        <v>647</v>
      </c>
      <c r="B649" s="7">
        <v>67.774131774902344</v>
      </c>
      <c r="C649" s="3">
        <f t="shared" si="6"/>
        <v>-0.105358658236368</v>
      </c>
    </row>
    <row r="650" spans="1:3" ht="13.2" x14ac:dyDescent="0.25">
      <c r="A650" s="6">
        <v>648</v>
      </c>
      <c r="B650" s="7">
        <v>65.959388732910156</v>
      </c>
      <c r="C650" s="3">
        <f t="shared" si="6"/>
        <v>-0.11292464538744365</v>
      </c>
    </row>
    <row r="651" spans="1:3" ht="13.2" x14ac:dyDescent="0.25">
      <c r="A651" s="6">
        <v>649</v>
      </c>
      <c r="B651" s="7">
        <v>63.967609405517578</v>
      </c>
      <c r="C651" s="3">
        <f t="shared" si="6"/>
        <v>-0.15824836065399916</v>
      </c>
    </row>
    <row r="652" spans="1:3" ht="13.2" x14ac:dyDescent="0.25">
      <c r="A652" s="6">
        <v>650</v>
      </c>
      <c r="B652" s="7">
        <v>64.259727478027344</v>
      </c>
      <c r="C652" s="3">
        <f t="shared" si="6"/>
        <v>-0.14514697179315939</v>
      </c>
    </row>
    <row r="653" spans="1:3" ht="13.2" x14ac:dyDescent="0.25">
      <c r="A653" s="6">
        <v>651</v>
      </c>
      <c r="B653" s="7">
        <v>64.197761535644531</v>
      </c>
      <c r="C653" s="3">
        <f t="shared" si="6"/>
        <v>-0.10649344868110436</v>
      </c>
    </row>
    <row r="654" spans="1:3" ht="13.2" x14ac:dyDescent="0.25">
      <c r="A654" s="6">
        <v>652</v>
      </c>
      <c r="B654" s="7">
        <v>65.773490905761719</v>
      </c>
      <c r="C654" s="3">
        <f t="shared" si="6"/>
        <v>-0.10363107867715721</v>
      </c>
    </row>
    <row r="655" spans="1:3" ht="13.2" x14ac:dyDescent="0.25">
      <c r="A655" s="6">
        <v>653</v>
      </c>
      <c r="B655" s="7">
        <v>65.808891296386719</v>
      </c>
      <c r="C655" s="3">
        <f t="shared" si="6"/>
        <v>-0.10814016689600135</v>
      </c>
    </row>
    <row r="656" spans="1:3" ht="13.2" x14ac:dyDescent="0.25">
      <c r="A656" s="6">
        <v>654</v>
      </c>
      <c r="B656" s="7">
        <v>64.666946411132813</v>
      </c>
      <c r="C656" s="3">
        <f t="shared" si="6"/>
        <v>-0.13781308007418056</v>
      </c>
    </row>
    <row r="657" spans="1:3" ht="13.2" x14ac:dyDescent="0.25">
      <c r="A657" s="6">
        <v>655</v>
      </c>
      <c r="B657" s="7">
        <v>65.34857177734375</v>
      </c>
      <c r="C657" s="3">
        <f t="shared" si="6"/>
        <v>-0.129923909840546</v>
      </c>
    </row>
    <row r="658" spans="1:3" ht="13.2" x14ac:dyDescent="0.25">
      <c r="A658" s="6">
        <v>656</v>
      </c>
      <c r="B658" s="7">
        <v>64.631538391113281</v>
      </c>
      <c r="C658" s="3">
        <f t="shared" si="6"/>
        <v>-0.15761593463664494</v>
      </c>
    </row>
    <row r="659" spans="1:3" ht="13.2" x14ac:dyDescent="0.25">
      <c r="A659" s="6">
        <v>657</v>
      </c>
      <c r="B659" s="7">
        <v>64.959075927734375</v>
      </c>
      <c r="C659" s="3">
        <f t="shared" si="6"/>
        <v>-0.15211731243686455</v>
      </c>
    </row>
    <row r="660" spans="1:3" ht="13.2" x14ac:dyDescent="0.25">
      <c r="A660" s="6">
        <v>658</v>
      </c>
      <c r="B660" s="7">
        <v>64.268569946289063</v>
      </c>
      <c r="C660" s="3">
        <f t="shared" si="6"/>
        <v>-0.13787011798069432</v>
      </c>
    </row>
    <row r="661" spans="1:3" ht="13.2" x14ac:dyDescent="0.25">
      <c r="A661" s="6">
        <v>659</v>
      </c>
      <c r="B661" s="7">
        <v>62.878776550292969</v>
      </c>
      <c r="C661" s="3">
        <f t="shared" si="6"/>
        <v>-0.17205215709339916</v>
      </c>
    </row>
    <row r="662" spans="1:3" ht="13.2" x14ac:dyDescent="0.25">
      <c r="A662" s="6">
        <v>660</v>
      </c>
      <c r="B662" s="7">
        <v>60.816131591796875</v>
      </c>
      <c r="C662" s="3">
        <f t="shared" si="6"/>
        <v>-0.20843419908549912</v>
      </c>
    </row>
    <row r="663" spans="1:3" ht="13.2" x14ac:dyDescent="0.25">
      <c r="A663" s="6">
        <v>661</v>
      </c>
      <c r="B663" s="7">
        <v>61.789901733398438</v>
      </c>
      <c r="C663" s="3">
        <f t="shared" si="6"/>
        <v>-0.19030698869143695</v>
      </c>
    </row>
    <row r="664" spans="1:3" ht="13.2" x14ac:dyDescent="0.25">
      <c r="A664" s="6">
        <v>662</v>
      </c>
      <c r="B664" s="7">
        <v>62.444999694824219</v>
      </c>
      <c r="C664" s="3">
        <f t="shared" si="6"/>
        <v>-0.17006066118395816</v>
      </c>
    </row>
    <row r="665" spans="1:3" ht="13.2" x14ac:dyDescent="0.25">
      <c r="A665" s="6">
        <v>663</v>
      </c>
      <c r="B665" s="7">
        <v>64.976776123046875</v>
      </c>
      <c r="C665" s="3">
        <f t="shared" si="6"/>
        <v>-0.14505533081963357</v>
      </c>
    </row>
    <row r="666" spans="1:3" ht="13.2" x14ac:dyDescent="0.25">
      <c r="A666" s="6">
        <v>664</v>
      </c>
      <c r="B666" s="7">
        <v>67.384628295898438</v>
      </c>
      <c r="C666" s="3">
        <f t="shared" si="6"/>
        <v>-0.119443271547025</v>
      </c>
    </row>
    <row r="667" spans="1:3" ht="13.2" x14ac:dyDescent="0.25">
      <c r="A667" s="6">
        <v>665</v>
      </c>
      <c r="B667" s="7">
        <v>68.765609741210938</v>
      </c>
      <c r="C667" s="3">
        <f t="shared" si="6"/>
        <v>-9.7497834602796429E-2</v>
      </c>
    </row>
    <row r="668" spans="1:3" ht="13.2" x14ac:dyDescent="0.25">
      <c r="A668" s="6">
        <v>666</v>
      </c>
      <c r="B668" s="7">
        <v>71.483299255371094</v>
      </c>
      <c r="C668" s="3">
        <f t="shared" si="6"/>
        <v>-4.6377404820131592E-2</v>
      </c>
    </row>
    <row r="669" spans="1:3" ht="13.2" x14ac:dyDescent="0.25">
      <c r="A669" s="6">
        <v>667</v>
      </c>
      <c r="B669" s="7">
        <v>73.475105285644531</v>
      </c>
      <c r="C669" s="3">
        <f t="shared" si="6"/>
        <v>-2.6929509193952483E-2</v>
      </c>
    </row>
    <row r="670" spans="1:3" ht="13.2" x14ac:dyDescent="0.25">
      <c r="A670" s="6">
        <v>668</v>
      </c>
      <c r="B670" s="7">
        <v>76.228202819824219</v>
      </c>
      <c r="C670" s="3">
        <f t="shared" si="6"/>
        <v>-3.3750373321601919E-2</v>
      </c>
    </row>
    <row r="671" spans="1:3" ht="13.2" x14ac:dyDescent="0.25">
      <c r="A671" s="6">
        <v>669</v>
      </c>
      <c r="B671" s="7">
        <v>77.423271179199219</v>
      </c>
      <c r="C671" s="3">
        <f t="shared" si="6"/>
        <v>-1.8300825359218363E-2</v>
      </c>
    </row>
    <row r="672" spans="1:3" ht="13.2" x14ac:dyDescent="0.25">
      <c r="A672" s="6">
        <v>670</v>
      </c>
      <c r="B672" s="7">
        <v>76.307876586914063</v>
      </c>
      <c r="C672" s="3">
        <f t="shared" si="6"/>
        <v>-2.3190427260542136E-2</v>
      </c>
    </row>
    <row r="673" spans="1:3" ht="13.2" x14ac:dyDescent="0.25">
      <c r="A673" s="6">
        <v>671</v>
      </c>
      <c r="B673" s="7">
        <v>68.712486267089844</v>
      </c>
      <c r="C673" s="3">
        <f t="shared" si="6"/>
        <v>-0.1363797990548932</v>
      </c>
    </row>
    <row r="674" spans="1:3" ht="13.2" x14ac:dyDescent="0.25">
      <c r="A674" s="6">
        <v>672</v>
      </c>
      <c r="B674" s="7">
        <v>69.7216796875</v>
      </c>
      <c r="C674" s="3">
        <f t="shared" si="6"/>
        <v>-0.11806361429208825</v>
      </c>
    </row>
    <row r="675" spans="1:3" ht="13.2" x14ac:dyDescent="0.25">
      <c r="A675" s="6">
        <v>673</v>
      </c>
      <c r="B675" s="7">
        <v>70.810516357421875</v>
      </c>
      <c r="C675" s="3">
        <f t="shared" si="6"/>
        <v>-0.12184170972567548</v>
      </c>
    </row>
    <row r="676" spans="1:3" ht="13.2" x14ac:dyDescent="0.25">
      <c r="A676" s="6">
        <v>674</v>
      </c>
      <c r="B676" s="7">
        <v>71.146926879882813</v>
      </c>
      <c r="C676" s="3">
        <f t="shared" si="6"/>
        <v>-9.932418096134106E-2</v>
      </c>
    </row>
    <row r="677" spans="1:3" ht="13.2" x14ac:dyDescent="0.25">
      <c r="A677" s="6">
        <v>675</v>
      </c>
      <c r="B677" s="7">
        <v>73.103294372558594</v>
      </c>
      <c r="C677" s="3">
        <f t="shared" si="6"/>
        <v>-3.5109964909281199E-2</v>
      </c>
    </row>
    <row r="678" spans="1:3" ht="13.2" x14ac:dyDescent="0.25">
      <c r="A678" s="6">
        <v>676</v>
      </c>
      <c r="B678" s="7">
        <v>72.297721862792969</v>
      </c>
      <c r="C678" s="3">
        <f t="shared" si="6"/>
        <v>-7.5593078949217967E-3</v>
      </c>
    </row>
    <row r="679" spans="1:3" ht="13.2" x14ac:dyDescent="0.25">
      <c r="A679" s="6">
        <v>677</v>
      </c>
      <c r="B679" s="7">
        <v>74.094772338867188</v>
      </c>
      <c r="C679" s="3">
        <f t="shared" si="6"/>
        <v>4.8590070273361822E-3</v>
      </c>
    </row>
    <row r="680" spans="1:3" ht="13.2" x14ac:dyDescent="0.25">
      <c r="A680" s="6">
        <v>678</v>
      </c>
      <c r="B680" s="7">
        <v>74.183296203613281</v>
      </c>
      <c r="C680" s="3">
        <f t="shared" si="6"/>
        <v>6.1668552590531571E-3</v>
      </c>
    </row>
    <row r="681" spans="1:3" ht="13.2" x14ac:dyDescent="0.25">
      <c r="A681" s="6">
        <v>679</v>
      </c>
      <c r="B681" s="7">
        <v>74.077072143554688</v>
      </c>
      <c r="C681" s="3">
        <f t="shared" si="6"/>
        <v>3.1839209700282922E-2</v>
      </c>
    </row>
    <row r="682" spans="1:3" ht="13.2" x14ac:dyDescent="0.25">
      <c r="A682" s="6">
        <v>680</v>
      </c>
      <c r="B682" s="7">
        <v>73.448539733886719</v>
      </c>
      <c r="C682" s="3">
        <f t="shared" si="6"/>
        <v>1.146271096237101E-2</v>
      </c>
    </row>
    <row r="683" spans="1:3" ht="13.2" x14ac:dyDescent="0.25">
      <c r="A683" s="6">
        <v>681</v>
      </c>
      <c r="B683" s="7">
        <v>73.607879638671875</v>
      </c>
      <c r="C683" s="3">
        <f t="shared" si="6"/>
        <v>-9.6667106533991614E-3</v>
      </c>
    </row>
    <row r="684" spans="1:3" ht="13.2" x14ac:dyDescent="0.25">
      <c r="A684" s="6">
        <v>682</v>
      </c>
      <c r="B684" s="7">
        <v>74.139030456542969</v>
      </c>
      <c r="C684" s="3">
        <f t="shared" si="6"/>
        <v>-1.6376835064711038E-2</v>
      </c>
    </row>
    <row r="685" spans="1:3" ht="13.2" x14ac:dyDescent="0.25">
      <c r="A685" s="6">
        <v>683</v>
      </c>
      <c r="B685" s="7">
        <v>74.183296203613281</v>
      </c>
      <c r="C685" s="3">
        <f t="shared" si="6"/>
        <v>-1.9224706353306462E-2</v>
      </c>
    </row>
    <row r="686" spans="1:3" ht="13.2" x14ac:dyDescent="0.25">
      <c r="A686" s="6">
        <v>684</v>
      </c>
      <c r="B686" s="7">
        <v>72.30657958984375</v>
      </c>
      <c r="C686" s="3">
        <f t="shared" si="6"/>
        <v>-1.2606009859829627E-2</v>
      </c>
    </row>
    <row r="687" spans="1:3" ht="13.2" x14ac:dyDescent="0.25">
      <c r="A687" s="6">
        <v>685</v>
      </c>
      <c r="B687" s="7">
        <v>72.235748291015625</v>
      </c>
      <c r="C687" s="3">
        <f t="shared" si="6"/>
        <v>-3.1639308400400537E-2</v>
      </c>
    </row>
    <row r="688" spans="1:3" ht="13.2" x14ac:dyDescent="0.25">
      <c r="A688" s="6">
        <v>686</v>
      </c>
      <c r="B688" s="7">
        <v>73.599052429199219</v>
      </c>
      <c r="C688" s="3">
        <f t="shared" si="6"/>
        <v>-3.8712941509597344E-2</v>
      </c>
    </row>
    <row r="689" spans="1:3" ht="13.2" x14ac:dyDescent="0.25">
      <c r="A689" s="6">
        <v>687</v>
      </c>
      <c r="B689" s="7">
        <v>73.767234802246094</v>
      </c>
      <c r="C689" s="3">
        <f t="shared" si="6"/>
        <v>-6.1553490470243326E-2</v>
      </c>
    </row>
    <row r="690" spans="1:3" ht="13.2" x14ac:dyDescent="0.25">
      <c r="A690" s="6">
        <v>688</v>
      </c>
      <c r="B690" s="7">
        <v>73.563629150390625</v>
      </c>
      <c r="C690" s="3">
        <f t="shared" si="6"/>
        <v>-0.11111441744375719</v>
      </c>
    </row>
    <row r="691" spans="1:3" ht="13.2" x14ac:dyDescent="0.25">
      <c r="A691" s="6">
        <v>689</v>
      </c>
      <c r="B691" s="7">
        <v>71.8551025390625</v>
      </c>
      <c r="C691" s="3">
        <f t="shared" si="6"/>
        <v>-0.16773588738256046</v>
      </c>
    </row>
    <row r="692" spans="1:3" ht="13.2" x14ac:dyDescent="0.25">
      <c r="A692" s="6">
        <v>690</v>
      </c>
      <c r="B692" s="7">
        <v>72.324287414550781</v>
      </c>
      <c r="C692" s="3">
        <f t="shared" si="6"/>
        <v>-0.16997558239488478</v>
      </c>
    </row>
    <row r="693" spans="1:3" ht="13.2" x14ac:dyDescent="0.25">
      <c r="A693" s="6">
        <v>691</v>
      </c>
      <c r="B693" s="7">
        <v>71.368232727050781</v>
      </c>
      <c r="C693" s="3">
        <f t="shared" si="6"/>
        <v>-0.20678602442086827</v>
      </c>
    </row>
    <row r="694" spans="1:3" ht="13.2" x14ac:dyDescent="0.25">
      <c r="A694" s="6">
        <v>692</v>
      </c>
      <c r="B694" s="7">
        <v>73.032470703125</v>
      </c>
      <c r="C694" s="3">
        <f t="shared" si="6"/>
        <v>-0.19551862228186645</v>
      </c>
    </row>
    <row r="695" spans="1:3" ht="13.2" x14ac:dyDescent="0.25">
      <c r="A695" s="6">
        <v>693</v>
      </c>
      <c r="B695" s="7">
        <v>74.103622436523438</v>
      </c>
      <c r="C695" s="3">
        <f t="shared" si="6"/>
        <v>-0.12380559812409048</v>
      </c>
    </row>
    <row r="696" spans="1:3" ht="13.2" x14ac:dyDescent="0.25">
      <c r="A696" s="6">
        <v>694</v>
      </c>
      <c r="B696" s="7">
        <v>73.590179443359375</v>
      </c>
      <c r="C696" s="3">
        <f t="shared" si="6"/>
        <v>-0.11543711357470963</v>
      </c>
    </row>
    <row r="697" spans="1:3" ht="13.2" x14ac:dyDescent="0.25">
      <c r="A697" s="6">
        <v>695</v>
      </c>
      <c r="B697" s="7">
        <v>72.71380615234375</v>
      </c>
      <c r="C697" s="3">
        <f t="shared" si="6"/>
        <v>-0.10968887588093595</v>
      </c>
    </row>
    <row r="698" spans="1:3" ht="13.2" x14ac:dyDescent="0.25">
      <c r="A698" s="6">
        <v>696</v>
      </c>
      <c r="B698" s="7">
        <v>76.299026489257813</v>
      </c>
      <c r="C698" s="3">
        <f t="shared" si="6"/>
        <v>-8.233102720326943E-2</v>
      </c>
    </row>
    <row r="699" spans="1:3" ht="13.2" x14ac:dyDescent="0.25">
      <c r="A699" s="6">
        <v>697</v>
      </c>
      <c r="B699" s="7">
        <v>75.688201904296875</v>
      </c>
      <c r="C699" s="3">
        <f t="shared" si="6"/>
        <v>-8.0804281884535659E-2</v>
      </c>
    </row>
    <row r="700" spans="1:3" ht="13.2" x14ac:dyDescent="0.25">
      <c r="A700" s="6">
        <v>698</v>
      </c>
      <c r="B700" s="7">
        <v>74.395751953125</v>
      </c>
      <c r="C700" s="3">
        <f t="shared" si="6"/>
        <v>-0.13810923103266079</v>
      </c>
    </row>
    <row r="701" spans="1:3" ht="13.2" x14ac:dyDescent="0.25">
      <c r="A701" s="6">
        <v>699</v>
      </c>
      <c r="B701" s="7">
        <v>70.854789733886719</v>
      </c>
      <c r="C701" s="3">
        <f t="shared" si="6"/>
        <v>-0.18795554873032461</v>
      </c>
    </row>
    <row r="702" spans="1:3" ht="13.2" x14ac:dyDescent="0.25">
      <c r="A702" s="6">
        <v>700</v>
      </c>
      <c r="B702" s="7">
        <v>73.200675964355469</v>
      </c>
      <c r="C702" s="3">
        <f t="shared" si="6"/>
        <v>-0.18582202848521617</v>
      </c>
    </row>
    <row r="703" spans="1:3" ht="13.2" x14ac:dyDescent="0.25">
      <c r="A703" s="6">
        <v>701</v>
      </c>
      <c r="B703" s="7">
        <v>73.738334655761719</v>
      </c>
      <c r="C703" s="3">
        <f t="shared" ref="C703:C766" si="7">LN(B703/B451)</f>
        <v>-0.20924358821112285</v>
      </c>
    </row>
    <row r="704" spans="1:3" ht="13.2" x14ac:dyDescent="0.25">
      <c r="A704" s="6">
        <v>702</v>
      </c>
      <c r="B704" s="7">
        <v>76.847724914550781</v>
      </c>
      <c r="C704" s="3">
        <f t="shared" si="7"/>
        <v>-0.19405094213654686</v>
      </c>
    </row>
    <row r="705" spans="1:3" ht="13.2" x14ac:dyDescent="0.25">
      <c r="A705" s="6">
        <v>703</v>
      </c>
      <c r="B705" s="7">
        <v>75.978515625</v>
      </c>
      <c r="C705" s="3">
        <f t="shared" si="7"/>
        <v>-0.26123304290717103</v>
      </c>
    </row>
    <row r="706" spans="1:3" ht="13.2" x14ac:dyDescent="0.25">
      <c r="A706" s="6">
        <v>704</v>
      </c>
      <c r="B706" s="7">
        <v>79.73309326171875</v>
      </c>
      <c r="C706" s="3">
        <f t="shared" si="7"/>
        <v>-0.22400114846967251</v>
      </c>
    </row>
    <row r="707" spans="1:3" ht="13.2" x14ac:dyDescent="0.25">
      <c r="A707" s="6">
        <v>705</v>
      </c>
      <c r="B707" s="7">
        <v>76.453445434570313</v>
      </c>
      <c r="C707" s="3">
        <f t="shared" si="7"/>
        <v>-0.26788299273273064</v>
      </c>
    </row>
    <row r="708" spans="1:3" ht="13.2" x14ac:dyDescent="0.25">
      <c r="A708" s="6">
        <v>706</v>
      </c>
      <c r="B708" s="7">
        <v>73.245491027832031</v>
      </c>
      <c r="C708" s="3">
        <f t="shared" si="7"/>
        <v>-0.31151583625731188</v>
      </c>
    </row>
    <row r="709" spans="1:3" ht="13.2" x14ac:dyDescent="0.25">
      <c r="A709" s="6">
        <v>707</v>
      </c>
      <c r="B709" s="7">
        <v>74.580650329589844</v>
      </c>
      <c r="C709" s="3">
        <f t="shared" si="7"/>
        <v>-0.26867778957356964</v>
      </c>
    </row>
    <row r="710" spans="1:3" ht="13.2" x14ac:dyDescent="0.25">
      <c r="A710" s="6">
        <v>708</v>
      </c>
      <c r="B710" s="7">
        <v>72.564468383789063</v>
      </c>
      <c r="C710" s="3">
        <f t="shared" si="7"/>
        <v>-0.30608395632247548</v>
      </c>
    </row>
    <row r="711" spans="1:3" ht="13.2" x14ac:dyDescent="0.25">
      <c r="A711" s="6">
        <v>709</v>
      </c>
      <c r="B711" s="7">
        <v>72.725753784179688</v>
      </c>
      <c r="C711" s="3">
        <f t="shared" si="7"/>
        <v>-0.28737488566221114</v>
      </c>
    </row>
    <row r="712" spans="1:3" ht="13.2" x14ac:dyDescent="0.25">
      <c r="A712" s="6">
        <v>710</v>
      </c>
      <c r="B712" s="7">
        <v>74.607513427734375</v>
      </c>
      <c r="C712" s="3">
        <f t="shared" si="7"/>
        <v>-0.21436225274387075</v>
      </c>
    </row>
    <row r="713" spans="1:3" ht="13.2" x14ac:dyDescent="0.25">
      <c r="A713" s="6">
        <v>711</v>
      </c>
      <c r="B713" s="7">
        <v>73.747283935546875</v>
      </c>
      <c r="C713" s="3">
        <f t="shared" si="7"/>
        <v>-0.19008672006977326</v>
      </c>
    </row>
    <row r="714" spans="1:3" ht="13.2" x14ac:dyDescent="0.25">
      <c r="A714" s="6">
        <v>712</v>
      </c>
      <c r="B714" s="7">
        <v>71.327873229980469</v>
      </c>
      <c r="C714" s="3">
        <f t="shared" si="7"/>
        <v>-0.21142033847502292</v>
      </c>
    </row>
    <row r="715" spans="1:3" ht="13.2" x14ac:dyDescent="0.25">
      <c r="A715" s="6">
        <v>713</v>
      </c>
      <c r="B715" s="7">
        <v>71.238273620605469</v>
      </c>
      <c r="C715" s="3">
        <f t="shared" si="7"/>
        <v>-0.27021185567335143</v>
      </c>
    </row>
    <row r="716" spans="1:3" ht="13.2" x14ac:dyDescent="0.25">
      <c r="A716" s="6">
        <v>714</v>
      </c>
      <c r="B716" s="7">
        <v>71.614616394042969</v>
      </c>
      <c r="C716" s="3">
        <f t="shared" si="7"/>
        <v>-0.31152938040397632</v>
      </c>
    </row>
    <row r="717" spans="1:3" ht="13.2" x14ac:dyDescent="0.25">
      <c r="A717" s="6">
        <v>715</v>
      </c>
      <c r="B717" s="7">
        <v>74.034027099609375</v>
      </c>
      <c r="C717" s="3">
        <f t="shared" si="7"/>
        <v>-0.29644987746282853</v>
      </c>
    </row>
    <row r="718" spans="1:3" ht="13.2" x14ac:dyDescent="0.25">
      <c r="A718" s="6">
        <v>716</v>
      </c>
      <c r="B718" s="7">
        <v>73.478469848632813</v>
      </c>
      <c r="C718" s="3">
        <f t="shared" si="7"/>
        <v>-0.298573133369468</v>
      </c>
    </row>
    <row r="719" spans="1:3" ht="13.2" x14ac:dyDescent="0.25">
      <c r="A719" s="6">
        <v>717</v>
      </c>
      <c r="B719" s="7">
        <v>74.903221130371094</v>
      </c>
      <c r="C719" s="3">
        <f t="shared" si="7"/>
        <v>-0.30461749141567185</v>
      </c>
    </row>
    <row r="720" spans="1:3" ht="13.2" x14ac:dyDescent="0.25">
      <c r="A720" s="6">
        <v>718</v>
      </c>
      <c r="B720" s="7">
        <v>74.374542236328125</v>
      </c>
      <c r="C720" s="3">
        <f t="shared" si="7"/>
        <v>-0.27858618318706385</v>
      </c>
    </row>
    <row r="721" spans="1:3" ht="13.2" x14ac:dyDescent="0.25">
      <c r="A721" s="6">
        <v>719</v>
      </c>
      <c r="B721" s="7">
        <v>75.440879821777344</v>
      </c>
      <c r="C721" s="3">
        <f t="shared" si="7"/>
        <v>-0.27402253632961637</v>
      </c>
    </row>
    <row r="722" spans="1:3" ht="13.2" x14ac:dyDescent="0.25">
      <c r="A722" s="6">
        <v>720</v>
      </c>
      <c r="B722" s="7">
        <v>76.211502075195313</v>
      </c>
      <c r="C722" s="3">
        <f t="shared" si="7"/>
        <v>-0.2684895519851706</v>
      </c>
    </row>
    <row r="723" spans="1:3" ht="13.2" x14ac:dyDescent="0.25">
      <c r="A723" s="6">
        <v>721</v>
      </c>
      <c r="B723" s="7">
        <v>77.062767028808594</v>
      </c>
      <c r="C723" s="3">
        <f t="shared" si="7"/>
        <v>-0.2443804098770066</v>
      </c>
    </row>
    <row r="724" spans="1:3" ht="13.2" x14ac:dyDescent="0.25">
      <c r="A724" s="6">
        <v>722</v>
      </c>
      <c r="B724" s="7">
        <v>77.976768493652344</v>
      </c>
      <c r="C724" s="3">
        <f t="shared" si="7"/>
        <v>-0.26339564074172189</v>
      </c>
    </row>
    <row r="725" spans="1:3" ht="13.2" x14ac:dyDescent="0.25">
      <c r="A725" s="6">
        <v>723</v>
      </c>
      <c r="B725" s="7">
        <v>76.381759643554688</v>
      </c>
      <c r="C725" s="3">
        <f t="shared" si="7"/>
        <v>-0.27146261331000032</v>
      </c>
    </row>
    <row r="726" spans="1:3" ht="13.2" x14ac:dyDescent="0.25">
      <c r="A726" s="6">
        <v>724</v>
      </c>
      <c r="B726" s="7">
        <v>77.107582092285156</v>
      </c>
      <c r="C726" s="3">
        <f t="shared" si="7"/>
        <v>-0.27325937054372862</v>
      </c>
    </row>
    <row r="727" spans="1:3" ht="13.2" x14ac:dyDescent="0.25">
      <c r="A727" s="6">
        <v>725</v>
      </c>
      <c r="B727" s="7">
        <v>76.578895568847656</v>
      </c>
      <c r="C727" s="3">
        <f t="shared" si="7"/>
        <v>-0.23213580294279351</v>
      </c>
    </row>
    <row r="728" spans="1:3" ht="13.2" x14ac:dyDescent="0.25">
      <c r="A728" s="6">
        <v>726</v>
      </c>
      <c r="B728" s="7">
        <v>75.279579162597656</v>
      </c>
      <c r="C728" s="3">
        <f t="shared" si="7"/>
        <v>-0.21731466375887235</v>
      </c>
    </row>
    <row r="729" spans="1:3" ht="13.2" x14ac:dyDescent="0.25">
      <c r="A729" s="6">
        <v>727</v>
      </c>
      <c r="B729" s="7">
        <v>77.914031982421875</v>
      </c>
      <c r="C729" s="3">
        <f t="shared" si="7"/>
        <v>-0.21723215048505909</v>
      </c>
    </row>
    <row r="730" spans="1:3" ht="13.2" x14ac:dyDescent="0.25">
      <c r="A730" s="6">
        <v>728</v>
      </c>
      <c r="B730" s="7">
        <v>82.421333312988281</v>
      </c>
      <c r="C730" s="3">
        <f t="shared" si="7"/>
        <v>-0.14528192335181506</v>
      </c>
    </row>
    <row r="731" spans="1:3" ht="13.2" x14ac:dyDescent="0.25">
      <c r="A731" s="6">
        <v>729</v>
      </c>
      <c r="B731" s="7">
        <v>82.242118835449219</v>
      </c>
      <c r="C731" s="3">
        <f t="shared" si="7"/>
        <v>-0.16413896025934829</v>
      </c>
    </row>
    <row r="732" spans="1:3" ht="13.2" x14ac:dyDescent="0.25">
      <c r="A732" s="6">
        <v>730</v>
      </c>
      <c r="B732" s="7">
        <v>83.451812744140625</v>
      </c>
      <c r="C732" s="3">
        <f t="shared" si="7"/>
        <v>-9.5670353828510066E-2</v>
      </c>
    </row>
    <row r="733" spans="1:3" ht="13.2" x14ac:dyDescent="0.25">
      <c r="A733" s="6">
        <v>731</v>
      </c>
      <c r="B733" s="7">
        <v>81.794082641601563</v>
      </c>
      <c r="C733" s="3">
        <f t="shared" si="7"/>
        <v>-0.11415502570854479</v>
      </c>
    </row>
    <row r="734" spans="1:3" ht="13.2" x14ac:dyDescent="0.25">
      <c r="A734" s="6">
        <v>732</v>
      </c>
      <c r="B734" s="7">
        <v>82.125617980957031</v>
      </c>
      <c r="C734" s="3">
        <f t="shared" si="7"/>
        <v>-0.1130817025063184</v>
      </c>
    </row>
    <row r="735" spans="1:3" ht="13.2" x14ac:dyDescent="0.25">
      <c r="A735" s="6">
        <v>733</v>
      </c>
      <c r="B735" s="7">
        <v>83.478706359863281</v>
      </c>
      <c r="C735" s="3">
        <f t="shared" si="7"/>
        <v>-0.11729872684430716</v>
      </c>
    </row>
    <row r="736" spans="1:3" ht="13.2" x14ac:dyDescent="0.25">
      <c r="A736" s="6">
        <v>734</v>
      </c>
      <c r="B736" s="7">
        <v>83.308456420898438</v>
      </c>
      <c r="C736" s="3">
        <f t="shared" si="7"/>
        <v>-7.0663824487825558E-2</v>
      </c>
    </row>
    <row r="737" spans="1:3" ht="13.2" x14ac:dyDescent="0.25">
      <c r="A737" s="6">
        <v>735</v>
      </c>
      <c r="B737" s="7">
        <v>79.840629577636719</v>
      </c>
      <c r="C737" s="3">
        <f t="shared" si="7"/>
        <v>-8.914641349246831E-2</v>
      </c>
    </row>
    <row r="738" spans="1:3" ht="13.2" x14ac:dyDescent="0.25">
      <c r="A738" s="6">
        <v>736</v>
      </c>
      <c r="B738" s="7">
        <v>80.862144470214844</v>
      </c>
      <c r="C738" s="3">
        <f t="shared" si="7"/>
        <v>-4.214768907535877E-2</v>
      </c>
    </row>
    <row r="739" spans="1:3" ht="13.2" x14ac:dyDescent="0.25">
      <c r="A739" s="6">
        <v>737</v>
      </c>
      <c r="B739" s="7">
        <v>80.647087097167969</v>
      </c>
      <c r="C739" s="3">
        <f t="shared" si="7"/>
        <v>-3.4240350015731412E-2</v>
      </c>
    </row>
    <row r="740" spans="1:3" ht="13.2" x14ac:dyDescent="0.25">
      <c r="A740" s="6">
        <v>738</v>
      </c>
      <c r="B740" s="7">
        <v>79.294013977050781</v>
      </c>
      <c r="C740" s="3">
        <f t="shared" si="7"/>
        <v>-4.9421855188627822E-2</v>
      </c>
    </row>
    <row r="741" spans="1:3" ht="13.2" x14ac:dyDescent="0.25">
      <c r="A741" s="6">
        <v>739</v>
      </c>
      <c r="B741" s="7">
        <v>78.863899230957031</v>
      </c>
      <c r="C741" s="3">
        <f t="shared" si="7"/>
        <v>-7.3418439042576361E-2</v>
      </c>
    </row>
    <row r="742" spans="1:3" ht="13.2" x14ac:dyDescent="0.25">
      <c r="A742" s="6">
        <v>740</v>
      </c>
      <c r="B742" s="7">
        <v>79.867500305175781</v>
      </c>
      <c r="C742" s="3">
        <f t="shared" si="7"/>
        <v>-4.8134493223480249E-2</v>
      </c>
    </row>
    <row r="743" spans="1:3" ht="13.2" x14ac:dyDescent="0.25">
      <c r="A743" s="6">
        <v>741</v>
      </c>
      <c r="B743" s="7">
        <v>78.792205810546875</v>
      </c>
      <c r="C743" s="3">
        <f t="shared" si="7"/>
        <v>-3.3204628486641984E-2</v>
      </c>
    </row>
    <row r="744" spans="1:3" ht="13.2" x14ac:dyDescent="0.25">
      <c r="A744" s="6">
        <v>742</v>
      </c>
      <c r="B744" s="7">
        <v>79.742050170898438</v>
      </c>
      <c r="C744" s="3">
        <f t="shared" si="7"/>
        <v>-2.8834979539759605E-2</v>
      </c>
    </row>
    <row r="745" spans="1:3" ht="13.2" x14ac:dyDescent="0.25">
      <c r="A745" s="6">
        <v>743</v>
      </c>
      <c r="B745" s="7">
        <v>79.204391479492188</v>
      </c>
      <c r="C745" s="3">
        <f t="shared" si="7"/>
        <v>-6.6595311712105323E-2</v>
      </c>
    </row>
    <row r="746" spans="1:3" ht="13.2" x14ac:dyDescent="0.25">
      <c r="A746" s="6">
        <v>744</v>
      </c>
      <c r="B746" s="7">
        <v>78.326255798339844</v>
      </c>
      <c r="C746" s="3">
        <f t="shared" si="7"/>
        <v>-8.2667532747718542E-2</v>
      </c>
    </row>
    <row r="747" spans="1:3" ht="13.2" x14ac:dyDescent="0.25">
      <c r="A747" s="6">
        <v>745</v>
      </c>
      <c r="B747" s="7">
        <v>77.510826110839844</v>
      </c>
      <c r="C747" s="3">
        <f t="shared" si="7"/>
        <v>-7.5232928964661855E-2</v>
      </c>
    </row>
    <row r="748" spans="1:3" ht="13.2" x14ac:dyDescent="0.25">
      <c r="A748" s="6">
        <v>746</v>
      </c>
      <c r="B748" s="7">
        <v>78.0484619140625</v>
      </c>
      <c r="C748" s="3">
        <f t="shared" si="7"/>
        <v>-6.1049212425398298E-2</v>
      </c>
    </row>
    <row r="749" spans="1:3" ht="13.2" x14ac:dyDescent="0.25">
      <c r="A749" s="6">
        <v>747</v>
      </c>
      <c r="B749" s="7">
        <v>78.819084167480469</v>
      </c>
      <c r="C749" s="3">
        <f t="shared" si="7"/>
        <v>-1.8204639534175608E-2</v>
      </c>
    </row>
    <row r="750" spans="1:3" ht="13.2" x14ac:dyDescent="0.25">
      <c r="A750" s="6">
        <v>748</v>
      </c>
      <c r="B750" s="7">
        <v>75.270622253417969</v>
      </c>
      <c r="C750" s="3">
        <f t="shared" si="7"/>
        <v>-3.4838451750021079E-2</v>
      </c>
    </row>
    <row r="751" spans="1:3" ht="13.2" x14ac:dyDescent="0.25">
      <c r="A751" s="6">
        <v>749</v>
      </c>
      <c r="B751" s="7">
        <v>71.775901794433594</v>
      </c>
      <c r="C751" s="3">
        <f t="shared" si="7"/>
        <v>-8.8814226613937397E-2</v>
      </c>
    </row>
    <row r="752" spans="1:3" ht="13.2" x14ac:dyDescent="0.25">
      <c r="A752" s="6">
        <v>750</v>
      </c>
      <c r="B752" s="7">
        <v>73.666641235351563</v>
      </c>
      <c r="C752" s="3">
        <f t="shared" si="7"/>
        <v>-4.9682242869874674E-2</v>
      </c>
    </row>
    <row r="753" spans="1:3" ht="13.2" x14ac:dyDescent="0.25">
      <c r="A753" s="6">
        <v>751</v>
      </c>
      <c r="B753" s="7">
        <v>75.709701538085938</v>
      </c>
      <c r="C753" s="3">
        <f t="shared" si="7"/>
        <v>-1.4586020320911544E-2</v>
      </c>
    </row>
    <row r="754" spans="1:3" ht="13.2" x14ac:dyDescent="0.25">
      <c r="A754" s="6">
        <v>752</v>
      </c>
      <c r="B754" s="7">
        <v>75.288543701171875</v>
      </c>
      <c r="C754" s="3">
        <f t="shared" si="7"/>
        <v>-2.7573847360871682E-2</v>
      </c>
    </row>
    <row r="755" spans="1:3" ht="13.2" x14ac:dyDescent="0.25">
      <c r="A755" s="6">
        <v>753</v>
      </c>
      <c r="B755" s="7">
        <v>75.494644165039063</v>
      </c>
      <c r="C755" s="3">
        <f t="shared" si="7"/>
        <v>-7.1655375028082238E-2</v>
      </c>
    </row>
    <row r="756" spans="1:3" ht="13.2" x14ac:dyDescent="0.25">
      <c r="A756" s="6">
        <v>754</v>
      </c>
      <c r="B756" s="7">
        <v>75.055564880371094</v>
      </c>
      <c r="C756" s="3">
        <f t="shared" si="7"/>
        <v>-6.4471569697054962E-2</v>
      </c>
    </row>
    <row r="757" spans="1:3" ht="13.2" x14ac:dyDescent="0.25">
      <c r="A757" s="6">
        <v>755</v>
      </c>
      <c r="B757" s="7">
        <v>71.874488830566406</v>
      </c>
      <c r="C757" s="3">
        <f t="shared" si="7"/>
        <v>-0.18266271408034934</v>
      </c>
    </row>
    <row r="758" spans="1:3" ht="13.2" x14ac:dyDescent="0.25">
      <c r="A758" s="6">
        <v>756</v>
      </c>
      <c r="B758" s="7">
        <v>69.759735107421875</v>
      </c>
      <c r="C758" s="3">
        <f t="shared" si="7"/>
        <v>-0.22480559366380651</v>
      </c>
    </row>
    <row r="759" spans="1:3" ht="13.2" x14ac:dyDescent="0.25">
      <c r="A759" s="6">
        <v>757</v>
      </c>
      <c r="B759" s="7">
        <v>69.311691284179688</v>
      </c>
      <c r="C759" s="3">
        <f t="shared" si="7"/>
        <v>-0.19405316146348678</v>
      </c>
    </row>
    <row r="760" spans="1:3" ht="13.2" x14ac:dyDescent="0.25">
      <c r="A760" s="6">
        <v>758</v>
      </c>
      <c r="B760" s="7">
        <v>74.992835998535156</v>
      </c>
      <c r="C760" s="3">
        <f t="shared" si="7"/>
        <v>-0.10846216794153518</v>
      </c>
    </row>
    <row r="761" spans="1:3" ht="13.2" x14ac:dyDescent="0.25">
      <c r="A761" s="6">
        <v>759</v>
      </c>
      <c r="B761" s="7">
        <v>76.244392395019531</v>
      </c>
      <c r="C761" s="3">
        <f t="shared" si="7"/>
        <v>-0.11200922663801309</v>
      </c>
    </row>
    <row r="762" spans="1:3" ht="13.2" x14ac:dyDescent="0.25">
      <c r="A762" s="6">
        <v>760</v>
      </c>
      <c r="B762" s="7">
        <v>74.376129150390625</v>
      </c>
      <c r="C762" s="3">
        <f t="shared" si="7"/>
        <v>-0.11947041867067976</v>
      </c>
    </row>
    <row r="763" spans="1:3" ht="13.2" x14ac:dyDescent="0.25">
      <c r="A763" s="6">
        <v>761</v>
      </c>
      <c r="B763" s="7">
        <v>74.3670654296875</v>
      </c>
      <c r="C763" s="3">
        <f t="shared" si="7"/>
        <v>-0.15615242455471359</v>
      </c>
    </row>
    <row r="764" spans="1:3" ht="13.2" x14ac:dyDescent="0.25">
      <c r="A764" s="6">
        <v>762</v>
      </c>
      <c r="B764" s="7">
        <v>72.272079467773438</v>
      </c>
      <c r="C764" s="3">
        <f t="shared" si="7"/>
        <v>-0.18600187640244004</v>
      </c>
    </row>
    <row r="765" spans="1:3" ht="13.2" x14ac:dyDescent="0.25">
      <c r="A765" s="6">
        <v>763</v>
      </c>
      <c r="B765" s="7">
        <v>71.555610656738281</v>
      </c>
      <c r="C765" s="3">
        <f t="shared" si="7"/>
        <v>-0.1618851867791016</v>
      </c>
    </row>
    <row r="766" spans="1:3" ht="13.2" x14ac:dyDescent="0.25">
      <c r="A766" s="6">
        <v>764</v>
      </c>
      <c r="B766" s="7">
        <v>74.3670654296875</v>
      </c>
      <c r="C766" s="3">
        <f t="shared" si="7"/>
        <v>-0.13409026782164393</v>
      </c>
    </row>
    <row r="767" spans="1:3" ht="13.2" x14ac:dyDescent="0.25">
      <c r="A767" s="6">
        <v>765</v>
      </c>
      <c r="B767" s="7">
        <v>74.494041442871094</v>
      </c>
      <c r="C767" s="3">
        <f t="shared" ref="C767:C830" si="8">LN(B767/B515)</f>
        <v>-0.15899624213735913</v>
      </c>
    </row>
    <row r="768" spans="1:3" ht="13.2" x14ac:dyDescent="0.25">
      <c r="A768" s="6">
        <v>766</v>
      </c>
      <c r="B768" s="7">
        <v>75.02911376953125</v>
      </c>
      <c r="C768" s="3">
        <f t="shared" si="8"/>
        <v>-0.14077833660157979</v>
      </c>
    </row>
    <row r="769" spans="1:3" ht="13.2" x14ac:dyDescent="0.25">
      <c r="A769" s="6">
        <v>767</v>
      </c>
      <c r="B769" s="7">
        <v>75.990455627441406</v>
      </c>
      <c r="C769" s="3">
        <f t="shared" si="8"/>
        <v>-0.12994865601325584</v>
      </c>
    </row>
    <row r="770" spans="1:3" ht="13.2" x14ac:dyDescent="0.25">
      <c r="A770" s="6">
        <v>768</v>
      </c>
      <c r="B770" s="7">
        <v>75.455368041992188</v>
      </c>
      <c r="C770" s="3">
        <f t="shared" si="8"/>
        <v>-0.1562313210446919</v>
      </c>
    </row>
    <row r="771" spans="1:3" ht="13.2" x14ac:dyDescent="0.25">
      <c r="A771" s="6">
        <v>769</v>
      </c>
      <c r="B771" s="7">
        <v>76.416694641113281</v>
      </c>
      <c r="C771" s="3">
        <f t="shared" si="8"/>
        <v>-0.10046989535568508</v>
      </c>
    </row>
    <row r="772" spans="1:3" ht="13.2" x14ac:dyDescent="0.25">
      <c r="A772" s="6">
        <v>770</v>
      </c>
      <c r="B772" s="7">
        <v>77.133163452148438</v>
      </c>
      <c r="C772" s="3">
        <f t="shared" si="8"/>
        <v>-5.1224493787649067E-2</v>
      </c>
    </row>
    <row r="773" spans="1:3" ht="13.2" x14ac:dyDescent="0.25">
      <c r="A773" s="6">
        <v>771</v>
      </c>
      <c r="B773" s="7">
        <v>74.893081665039063</v>
      </c>
      <c r="C773" s="3">
        <f t="shared" si="8"/>
        <v>-7.2131974903554857E-2</v>
      </c>
    </row>
    <row r="774" spans="1:3" ht="13.2" x14ac:dyDescent="0.25">
      <c r="A774" s="6">
        <v>772</v>
      </c>
      <c r="B774" s="7">
        <v>76.443901062011719</v>
      </c>
      <c r="C774" s="3">
        <f t="shared" si="8"/>
        <v>-6.8269331398628355E-2</v>
      </c>
    </row>
    <row r="775" spans="1:3" ht="13.2" x14ac:dyDescent="0.25">
      <c r="A775" s="6">
        <v>773</v>
      </c>
      <c r="B775" s="7">
        <v>78.457267761230469</v>
      </c>
      <c r="C775" s="3">
        <f t="shared" si="8"/>
        <v>3.1553437830474746E-3</v>
      </c>
    </row>
    <row r="776" spans="1:3" ht="13.2" x14ac:dyDescent="0.25">
      <c r="A776" s="6">
        <v>774</v>
      </c>
      <c r="B776" s="7">
        <v>78.33935546875</v>
      </c>
      <c r="C776" s="3">
        <f t="shared" si="8"/>
        <v>6.5613038295373686E-4</v>
      </c>
    </row>
    <row r="777" spans="1:3" ht="13.2" x14ac:dyDescent="0.25">
      <c r="A777" s="6">
        <v>775</v>
      </c>
      <c r="B777" s="7">
        <v>78.838165283203125</v>
      </c>
      <c r="C777" s="3">
        <f t="shared" si="8"/>
        <v>8.7731869948772228E-3</v>
      </c>
    </row>
    <row r="778" spans="1:3" ht="13.2" x14ac:dyDescent="0.25">
      <c r="A778" s="6">
        <v>776</v>
      </c>
      <c r="B778" s="7">
        <v>77.595680236816406</v>
      </c>
      <c r="C778" s="3">
        <f t="shared" si="8"/>
        <v>-6.3728747948297915E-2</v>
      </c>
    </row>
    <row r="779" spans="1:3" ht="13.2" x14ac:dyDescent="0.25">
      <c r="A779" s="6">
        <v>777</v>
      </c>
      <c r="B779" s="7">
        <v>76.616218566894531</v>
      </c>
      <c r="C779" s="3">
        <f t="shared" si="8"/>
        <v>-2.4786064673710785E-2</v>
      </c>
    </row>
    <row r="780" spans="1:3" ht="13.2" x14ac:dyDescent="0.25">
      <c r="A780" s="6">
        <v>778</v>
      </c>
      <c r="B780" s="7">
        <v>75.926963806152344</v>
      </c>
      <c r="C780" s="3">
        <f t="shared" si="8"/>
        <v>-3.6903536082498599E-2</v>
      </c>
    </row>
    <row r="781" spans="1:3" ht="13.2" x14ac:dyDescent="0.25">
      <c r="A781" s="6">
        <v>779</v>
      </c>
      <c r="B781" s="7">
        <v>75.818138122558594</v>
      </c>
      <c r="C781" s="3">
        <f t="shared" si="8"/>
        <v>1.3169430233089596E-2</v>
      </c>
    </row>
    <row r="782" spans="1:3" ht="13.2" x14ac:dyDescent="0.25">
      <c r="A782" s="6">
        <v>780</v>
      </c>
      <c r="B782" s="7">
        <v>75.4100341796875</v>
      </c>
      <c r="C782" s="3">
        <f t="shared" si="8"/>
        <v>6.6605755135471137E-2</v>
      </c>
    </row>
    <row r="783" spans="1:3" ht="13.2" x14ac:dyDescent="0.25">
      <c r="A783" s="6">
        <v>781</v>
      </c>
      <c r="B783" s="7">
        <v>76.362281799316406</v>
      </c>
      <c r="C783" s="3">
        <f t="shared" si="8"/>
        <v>4.0296740583790028E-2</v>
      </c>
    </row>
    <row r="784" spans="1:3" ht="13.2" x14ac:dyDescent="0.25">
      <c r="A784" s="6">
        <v>782</v>
      </c>
      <c r="B784" s="7">
        <v>76.389503479003906</v>
      </c>
      <c r="C784" s="3">
        <f t="shared" si="8"/>
        <v>2.6476913164430564E-2</v>
      </c>
    </row>
    <row r="785" spans="1:3" ht="13.2" x14ac:dyDescent="0.25">
      <c r="A785" s="6">
        <v>783</v>
      </c>
      <c r="B785" s="7">
        <v>75.763717651367188</v>
      </c>
      <c r="C785" s="3">
        <f t="shared" si="8"/>
        <v>-4.8625346312316468E-3</v>
      </c>
    </row>
    <row r="786" spans="1:3" ht="13.2" x14ac:dyDescent="0.25">
      <c r="A786" s="6">
        <v>784</v>
      </c>
      <c r="B786" s="7">
        <v>74.512176513671875</v>
      </c>
      <c r="C786" s="3">
        <f t="shared" si="8"/>
        <v>-2.8168054881895863E-3</v>
      </c>
    </row>
    <row r="787" spans="1:3" ht="13.2" x14ac:dyDescent="0.25">
      <c r="A787" s="6">
        <v>785</v>
      </c>
      <c r="B787" s="7">
        <v>74.639144897460938</v>
      </c>
      <c r="C787" s="3">
        <f t="shared" si="8"/>
        <v>3.5090436364146195E-2</v>
      </c>
    </row>
    <row r="788" spans="1:3" ht="13.2" x14ac:dyDescent="0.25">
      <c r="A788" s="6">
        <v>786</v>
      </c>
      <c r="B788" s="7">
        <v>77.332672119140625</v>
      </c>
      <c r="C788" s="3">
        <f t="shared" si="8"/>
        <v>8.444843912623054E-2</v>
      </c>
    </row>
    <row r="789" spans="1:3" ht="13.2" x14ac:dyDescent="0.25">
      <c r="A789" s="6">
        <v>787</v>
      </c>
      <c r="B789" s="7">
        <v>76.616218566894531</v>
      </c>
      <c r="C789" s="3">
        <f t="shared" si="8"/>
        <v>5.0246262537033862E-2</v>
      </c>
    </row>
    <row r="790" spans="1:3" ht="13.2" x14ac:dyDescent="0.25">
      <c r="A790" s="6">
        <v>788</v>
      </c>
      <c r="B790" s="7">
        <v>75.500709533691406</v>
      </c>
      <c r="C790" s="3">
        <f t="shared" si="8"/>
        <v>7.531836597274133E-2</v>
      </c>
    </row>
    <row r="791" spans="1:3" ht="13.2" x14ac:dyDescent="0.25">
      <c r="A791" s="6">
        <v>789</v>
      </c>
      <c r="B791" s="7">
        <v>73.795707702636719</v>
      </c>
      <c r="C791" s="3">
        <f t="shared" si="8"/>
        <v>4.7545094518126371E-2</v>
      </c>
    </row>
    <row r="792" spans="1:3" ht="13.2" x14ac:dyDescent="0.25">
      <c r="A792" s="6">
        <v>790</v>
      </c>
      <c r="B792" s="7">
        <v>75.546058654785156</v>
      </c>
      <c r="C792" s="3">
        <f t="shared" si="8"/>
        <v>3.0376629205922469E-2</v>
      </c>
    </row>
    <row r="793" spans="1:3" ht="13.2" x14ac:dyDescent="0.25">
      <c r="A793" s="6">
        <v>791</v>
      </c>
      <c r="B793" s="7">
        <v>76.434829711914063</v>
      </c>
      <c r="C793" s="3">
        <f t="shared" si="8"/>
        <v>4.0302813287141581E-2</v>
      </c>
    </row>
    <row r="794" spans="1:3" ht="13.2" x14ac:dyDescent="0.25">
      <c r="A794" s="6">
        <v>792</v>
      </c>
      <c r="B794" s="7">
        <v>76.978981018066406</v>
      </c>
      <c r="C794" s="3">
        <f t="shared" si="8"/>
        <v>6.8844047508279591E-2</v>
      </c>
    </row>
    <row r="795" spans="1:3" ht="13.2" x14ac:dyDescent="0.25">
      <c r="A795" s="6">
        <v>793</v>
      </c>
      <c r="B795" s="7">
        <v>77.269187927246094</v>
      </c>
      <c r="C795" s="3">
        <f t="shared" si="8"/>
        <v>8.5577699159326781E-2</v>
      </c>
    </row>
    <row r="796" spans="1:3" ht="13.2" x14ac:dyDescent="0.25">
      <c r="A796" s="6">
        <v>794</v>
      </c>
      <c r="B796" s="7">
        <v>77.867759704589844</v>
      </c>
      <c r="C796" s="3">
        <f t="shared" si="8"/>
        <v>9.5492887881685432E-2</v>
      </c>
    </row>
    <row r="797" spans="1:3" ht="13.2" x14ac:dyDescent="0.25">
      <c r="A797" s="6">
        <v>795</v>
      </c>
      <c r="B797" s="7">
        <v>77.813346862792969</v>
      </c>
      <c r="C797" s="3">
        <f t="shared" si="8"/>
        <v>0.13866205881058977</v>
      </c>
    </row>
    <row r="798" spans="1:3" ht="13.2" x14ac:dyDescent="0.25">
      <c r="A798" s="6">
        <v>796</v>
      </c>
      <c r="B798" s="7">
        <v>77.105949401855469</v>
      </c>
      <c r="C798" s="3">
        <f t="shared" si="8"/>
        <v>0.13413963452652333</v>
      </c>
    </row>
    <row r="799" spans="1:3" ht="13.2" x14ac:dyDescent="0.25">
      <c r="A799" s="6">
        <v>797</v>
      </c>
      <c r="B799" s="7">
        <v>77.541275024414063</v>
      </c>
      <c r="C799" s="3">
        <f t="shared" si="8"/>
        <v>0.14582059554216234</v>
      </c>
    </row>
    <row r="800" spans="1:3" ht="13.2" x14ac:dyDescent="0.25">
      <c r="A800" s="6">
        <v>798</v>
      </c>
      <c r="B800" s="7">
        <v>76.462043762207031</v>
      </c>
      <c r="C800" s="3">
        <f t="shared" si="8"/>
        <v>0.14414815477764906</v>
      </c>
    </row>
    <row r="801" spans="1:3" ht="13.2" x14ac:dyDescent="0.25">
      <c r="A801" s="6">
        <v>799</v>
      </c>
      <c r="B801" s="7">
        <v>76.462043762207031</v>
      </c>
      <c r="C801" s="3">
        <f t="shared" si="8"/>
        <v>0.13490872241177579</v>
      </c>
    </row>
    <row r="802" spans="1:3" ht="13.2" x14ac:dyDescent="0.25">
      <c r="A802" s="6">
        <v>800</v>
      </c>
      <c r="B802" s="7">
        <v>77.6319580078125</v>
      </c>
      <c r="C802" s="3">
        <f t="shared" si="8"/>
        <v>0.13517918918097641</v>
      </c>
    </row>
    <row r="803" spans="1:3" ht="13.2" x14ac:dyDescent="0.25">
      <c r="A803" s="6">
        <v>801</v>
      </c>
      <c r="B803" s="7">
        <v>77.949371337890625</v>
      </c>
      <c r="C803" s="3">
        <f t="shared" si="8"/>
        <v>0.14028090449401806</v>
      </c>
    </row>
    <row r="804" spans="1:3" ht="13.2" x14ac:dyDescent="0.25">
      <c r="A804" s="6">
        <v>802</v>
      </c>
      <c r="B804" s="7">
        <v>81.531692504882813</v>
      </c>
      <c r="C804" s="3">
        <f t="shared" si="8"/>
        <v>0.18751567945572592</v>
      </c>
    </row>
    <row r="805" spans="1:3" ht="13.2" x14ac:dyDescent="0.25">
      <c r="A805" s="6">
        <v>803</v>
      </c>
      <c r="B805" s="7">
        <v>79.790420532226563</v>
      </c>
      <c r="C805" s="3">
        <f t="shared" si="8"/>
        <v>0.19542324915514409</v>
      </c>
    </row>
    <row r="806" spans="1:3" ht="13.2" x14ac:dyDescent="0.25">
      <c r="A806" s="6">
        <v>804</v>
      </c>
      <c r="B806" s="7">
        <v>79.808555603027344</v>
      </c>
      <c r="C806" s="3">
        <f t="shared" si="8"/>
        <v>0.20239867615149962</v>
      </c>
    </row>
    <row r="807" spans="1:3" ht="13.2" x14ac:dyDescent="0.25">
      <c r="A807" s="6">
        <v>805</v>
      </c>
      <c r="B807" s="7">
        <v>78.439109802246094</v>
      </c>
      <c r="C807" s="3">
        <f t="shared" si="8"/>
        <v>0.14195588755761185</v>
      </c>
    </row>
    <row r="808" spans="1:3" ht="13.2" x14ac:dyDescent="0.25">
      <c r="A808" s="6">
        <v>806</v>
      </c>
      <c r="B808" s="7">
        <v>79.00140380859375</v>
      </c>
      <c r="C808" s="3">
        <f t="shared" si="8"/>
        <v>0.12448071491968454</v>
      </c>
    </row>
    <row r="809" spans="1:3" ht="13.2" x14ac:dyDescent="0.25">
      <c r="A809" s="6">
        <v>807</v>
      </c>
      <c r="B809" s="7">
        <v>77.368949890136719</v>
      </c>
      <c r="C809" s="3">
        <f t="shared" si="8"/>
        <v>0.15685498022616298</v>
      </c>
    </row>
    <row r="810" spans="1:3" ht="13.2" x14ac:dyDescent="0.25">
      <c r="A810" s="6">
        <v>808</v>
      </c>
      <c r="B810" s="7">
        <v>75.446296691894531</v>
      </c>
      <c r="C810" s="3">
        <f t="shared" si="8"/>
        <v>0.13116696089960342</v>
      </c>
    </row>
    <row r="811" spans="1:3" ht="13.2" x14ac:dyDescent="0.25">
      <c r="A811" s="6">
        <v>809</v>
      </c>
      <c r="B811" s="7">
        <v>78.330284118652344</v>
      </c>
      <c r="C811" s="3">
        <f t="shared" si="8"/>
        <v>0.1735311424956785</v>
      </c>
    </row>
    <row r="812" spans="1:3" ht="13.2" x14ac:dyDescent="0.25">
      <c r="A812" s="6">
        <v>810</v>
      </c>
      <c r="B812" s="7">
        <v>77.396156311035156</v>
      </c>
      <c r="C812" s="3">
        <f t="shared" si="8"/>
        <v>0.1670689338861325</v>
      </c>
    </row>
    <row r="813" spans="1:3" ht="13.2" x14ac:dyDescent="0.25">
      <c r="A813" s="6">
        <v>811</v>
      </c>
      <c r="B813" s="7">
        <v>77.232925415039063</v>
      </c>
      <c r="C813" s="3">
        <f t="shared" si="8"/>
        <v>0.16047454859608148</v>
      </c>
    </row>
    <row r="814" spans="1:3" ht="13.2" x14ac:dyDescent="0.25">
      <c r="A814" s="6">
        <v>812</v>
      </c>
      <c r="B814" s="7">
        <v>76.634346008300781</v>
      </c>
      <c r="C814" s="3">
        <f t="shared" si="8"/>
        <v>0.13006035160152252</v>
      </c>
    </row>
    <row r="815" spans="1:3" ht="13.2" x14ac:dyDescent="0.25">
      <c r="A815" s="6">
        <v>813</v>
      </c>
      <c r="B815" s="7">
        <v>77.7861328125</v>
      </c>
      <c r="C815" s="3">
        <f t="shared" si="8"/>
        <v>0.17249151821643219</v>
      </c>
    </row>
    <row r="816" spans="1:3" ht="13.2" x14ac:dyDescent="0.25">
      <c r="A816" s="6">
        <v>814</v>
      </c>
      <c r="B816" s="7">
        <v>76.326011657714844</v>
      </c>
      <c r="C816" s="3">
        <f t="shared" si="8"/>
        <v>9.7000828166037431E-2</v>
      </c>
    </row>
    <row r="817" spans="1:3" ht="13.2" x14ac:dyDescent="0.25">
      <c r="A817" s="6">
        <v>815</v>
      </c>
      <c r="B817" s="7">
        <v>75.001899719238281</v>
      </c>
      <c r="C817" s="3">
        <f t="shared" si="8"/>
        <v>3.6581853641641335E-2</v>
      </c>
    </row>
    <row r="818" spans="1:3" ht="13.2" x14ac:dyDescent="0.25">
      <c r="A818" s="6">
        <v>816</v>
      </c>
      <c r="B818" s="7">
        <v>72.961341857910156</v>
      </c>
      <c r="C818" s="3">
        <f t="shared" si="8"/>
        <v>6.1296804070065146E-3</v>
      </c>
    </row>
    <row r="819" spans="1:3" ht="13.2" x14ac:dyDescent="0.25">
      <c r="A819" s="6">
        <v>817</v>
      </c>
      <c r="B819" s="7">
        <v>72.380912780761719</v>
      </c>
      <c r="C819" s="3">
        <f t="shared" si="8"/>
        <v>2.0835105459789081E-2</v>
      </c>
    </row>
    <row r="820" spans="1:3" ht="13.2" x14ac:dyDescent="0.25">
      <c r="A820" s="6">
        <v>818</v>
      </c>
      <c r="B820" s="7">
        <v>73.351318359375</v>
      </c>
      <c r="C820" s="3">
        <f t="shared" si="8"/>
        <v>6.3514128689083058E-2</v>
      </c>
    </row>
    <row r="821" spans="1:3" ht="13.2" x14ac:dyDescent="0.25">
      <c r="A821" s="6">
        <v>819</v>
      </c>
      <c r="B821" s="7">
        <v>73.469223022460938</v>
      </c>
      <c r="C821" s="3">
        <f t="shared" si="8"/>
        <v>7.6499819203640837E-2</v>
      </c>
    </row>
    <row r="822" spans="1:3" ht="13.2" x14ac:dyDescent="0.25">
      <c r="A822" s="6">
        <v>820</v>
      </c>
      <c r="B822" s="7">
        <v>74.004287719726563</v>
      </c>
      <c r="C822" s="3">
        <f t="shared" si="8"/>
        <v>7.2753695802057469E-2</v>
      </c>
    </row>
    <row r="823" spans="1:3" ht="13.2" x14ac:dyDescent="0.25">
      <c r="A823" s="6">
        <v>821</v>
      </c>
      <c r="B823" s="7">
        <v>74.475906372070313</v>
      </c>
      <c r="C823" s="3">
        <f t="shared" si="8"/>
        <v>8.1877248685355633E-2</v>
      </c>
    </row>
    <row r="824" spans="1:3" ht="13.2" x14ac:dyDescent="0.25">
      <c r="A824" s="6">
        <v>822</v>
      </c>
      <c r="B824" s="7">
        <v>75.827201843261719</v>
      </c>
      <c r="C824" s="3">
        <f t="shared" si="8"/>
        <v>0.1023843477524484</v>
      </c>
    </row>
    <row r="825" spans="1:3" ht="13.2" x14ac:dyDescent="0.25">
      <c r="A825" s="6">
        <v>823</v>
      </c>
      <c r="B825" s="7">
        <v>76.498313903808594</v>
      </c>
      <c r="C825" s="3">
        <f t="shared" si="8"/>
        <v>9.9880753722419988E-2</v>
      </c>
    </row>
    <row r="826" spans="1:3" ht="13.2" x14ac:dyDescent="0.25">
      <c r="A826" s="6">
        <v>824</v>
      </c>
      <c r="B826" s="7">
        <v>74.813613891601563</v>
      </c>
      <c r="C826" s="3">
        <f t="shared" si="8"/>
        <v>0.10216383945809134</v>
      </c>
    </row>
    <row r="827" spans="1:3" ht="13.2" x14ac:dyDescent="0.25">
      <c r="A827" s="6">
        <v>825</v>
      </c>
      <c r="B827" s="7">
        <v>74.712898254394531</v>
      </c>
      <c r="C827" s="3">
        <f t="shared" si="8"/>
        <v>6.0373562453029182E-2</v>
      </c>
    </row>
    <row r="828" spans="1:3" ht="13.2" x14ac:dyDescent="0.25">
      <c r="A828" s="6">
        <v>826</v>
      </c>
      <c r="B828" s="7">
        <v>74.987579345703125</v>
      </c>
      <c r="C828" s="3">
        <f t="shared" si="8"/>
        <v>5.9938841765380065E-2</v>
      </c>
    </row>
    <row r="829" spans="1:3" ht="13.2" x14ac:dyDescent="0.25">
      <c r="A829" s="6">
        <v>827</v>
      </c>
      <c r="B829" s="7">
        <v>77.771003723144531</v>
      </c>
      <c r="C829" s="3">
        <f t="shared" si="8"/>
        <v>0.14275116048696138</v>
      </c>
    </row>
    <row r="830" spans="1:3" ht="13.2" x14ac:dyDescent="0.25">
      <c r="A830" s="6">
        <v>828</v>
      </c>
      <c r="B830" s="7">
        <v>75.921493530273438</v>
      </c>
      <c r="C830" s="3">
        <f t="shared" si="8"/>
        <v>0.13045334225251162</v>
      </c>
    </row>
    <row r="831" spans="1:3" ht="13.2" x14ac:dyDescent="0.25">
      <c r="A831" s="6">
        <v>829</v>
      </c>
      <c r="B831" s="7">
        <v>74.621330261230469</v>
      </c>
      <c r="C831" s="3">
        <f t="shared" ref="C831:C894" si="9">LN(B831/B579)</f>
        <v>0.10963438867123314</v>
      </c>
    </row>
    <row r="832" spans="1:3" ht="13.2" x14ac:dyDescent="0.25">
      <c r="A832" s="6">
        <v>830</v>
      </c>
      <c r="B832" s="7">
        <v>75.637649536132813</v>
      </c>
      <c r="C832" s="3">
        <f t="shared" si="9"/>
        <v>0.14677364714453864</v>
      </c>
    </row>
    <row r="833" spans="1:3" ht="13.2" x14ac:dyDescent="0.25">
      <c r="A833" s="6">
        <v>831</v>
      </c>
      <c r="B833" s="7">
        <v>75.536933898925781</v>
      </c>
      <c r="C833" s="3">
        <f t="shared" si="9"/>
        <v>0.11960326065229357</v>
      </c>
    </row>
    <row r="834" spans="1:3" ht="13.2" x14ac:dyDescent="0.25">
      <c r="A834" s="6">
        <v>832</v>
      </c>
      <c r="B834" s="7">
        <v>74.731216430664063</v>
      </c>
      <c r="C834" s="3">
        <f t="shared" si="9"/>
        <v>0.11307413509194053</v>
      </c>
    </row>
    <row r="835" spans="1:3" ht="13.2" x14ac:dyDescent="0.25">
      <c r="A835" s="6">
        <v>833</v>
      </c>
      <c r="B835" s="7">
        <v>76.241958618164063</v>
      </c>
      <c r="C835" s="3">
        <f t="shared" si="9"/>
        <v>0.11538150826580709</v>
      </c>
    </row>
    <row r="836" spans="1:3" ht="13.2" x14ac:dyDescent="0.25">
      <c r="A836" s="6">
        <v>834</v>
      </c>
      <c r="B836" s="7">
        <v>75.582710266113281</v>
      </c>
      <c r="C836" s="3">
        <f t="shared" si="9"/>
        <v>0.11707468076277304</v>
      </c>
    </row>
    <row r="837" spans="1:3" ht="13.2" x14ac:dyDescent="0.25">
      <c r="A837" s="6">
        <v>835</v>
      </c>
      <c r="B837" s="7">
        <v>75.628494262695313</v>
      </c>
      <c r="C837" s="3">
        <f t="shared" si="9"/>
        <v>7.5550166270407101E-2</v>
      </c>
    </row>
    <row r="838" spans="1:3" ht="13.2" x14ac:dyDescent="0.25">
      <c r="A838" s="6">
        <v>836</v>
      </c>
      <c r="B838" s="7">
        <v>75.738365173339844</v>
      </c>
      <c r="C838" s="3">
        <f t="shared" si="9"/>
        <v>2.8086647118116547E-2</v>
      </c>
    </row>
    <row r="839" spans="1:3" ht="13.2" x14ac:dyDescent="0.25">
      <c r="A839" s="6">
        <v>837</v>
      </c>
      <c r="B839" s="7">
        <v>74.419914245605469</v>
      </c>
      <c r="C839" s="3">
        <f t="shared" si="9"/>
        <v>8.028457900235245E-3</v>
      </c>
    </row>
    <row r="840" spans="1:3" ht="13.2" x14ac:dyDescent="0.25">
      <c r="A840" s="6">
        <v>838</v>
      </c>
      <c r="B840" s="7">
        <v>74.777000427246094</v>
      </c>
      <c r="C840" s="3">
        <f t="shared" si="9"/>
        <v>3.2240284427114067E-2</v>
      </c>
    </row>
    <row r="841" spans="1:3" ht="13.2" x14ac:dyDescent="0.25">
      <c r="A841" s="6">
        <v>839</v>
      </c>
      <c r="B841" s="7">
        <v>74.291709899902344</v>
      </c>
      <c r="C841" s="3">
        <f t="shared" si="9"/>
        <v>7.9325793491414012E-2</v>
      </c>
    </row>
    <row r="842" spans="1:3" ht="13.2" x14ac:dyDescent="0.25">
      <c r="A842" s="6">
        <v>840</v>
      </c>
      <c r="B842" s="7">
        <v>73.678268432617188</v>
      </c>
      <c r="C842" s="3">
        <f t="shared" si="9"/>
        <v>8.7131558847915347E-2</v>
      </c>
    </row>
    <row r="843" spans="1:3" ht="13.2" x14ac:dyDescent="0.25">
      <c r="A843" s="6">
        <v>841</v>
      </c>
      <c r="B843" s="7">
        <v>73.595863342285156</v>
      </c>
      <c r="C843" s="3">
        <f t="shared" si="9"/>
        <v>9.829046525650624E-2</v>
      </c>
    </row>
    <row r="844" spans="1:3" ht="13.2" x14ac:dyDescent="0.25">
      <c r="A844" s="6">
        <v>842</v>
      </c>
      <c r="B844" s="7">
        <v>75.784133911132813</v>
      </c>
      <c r="C844" s="3">
        <f t="shared" si="9"/>
        <v>0.11804260360105889</v>
      </c>
    </row>
    <row r="845" spans="1:3" ht="13.2" x14ac:dyDescent="0.25">
      <c r="A845" s="6">
        <v>843</v>
      </c>
      <c r="B845" s="7">
        <v>77.358985900878906</v>
      </c>
      <c r="C845" s="3">
        <f t="shared" si="9"/>
        <v>0.17142627301366437</v>
      </c>
    </row>
    <row r="846" spans="1:3" ht="13.2" x14ac:dyDescent="0.25">
      <c r="A846" s="6">
        <v>844</v>
      </c>
      <c r="B846" s="7">
        <v>75.637649536132813</v>
      </c>
      <c r="C846" s="3">
        <f t="shared" si="9"/>
        <v>0.18257466584248155</v>
      </c>
    </row>
    <row r="847" spans="1:3" ht="13.2" x14ac:dyDescent="0.25">
      <c r="A847" s="6">
        <v>845</v>
      </c>
      <c r="B847" s="7">
        <v>74.447372436523438</v>
      </c>
      <c r="C847" s="3">
        <f t="shared" si="9"/>
        <v>0.21283543112837491</v>
      </c>
    </row>
    <row r="848" spans="1:3" ht="13.2" x14ac:dyDescent="0.25">
      <c r="A848" s="6">
        <v>846</v>
      </c>
      <c r="B848" s="7">
        <v>74.712898254394531</v>
      </c>
      <c r="C848" s="3">
        <f t="shared" si="9"/>
        <v>0.21116462775210318</v>
      </c>
    </row>
    <row r="849" spans="1:3" ht="13.2" x14ac:dyDescent="0.25">
      <c r="A849" s="6">
        <v>847</v>
      </c>
      <c r="B849" s="7">
        <v>73.605026245117188</v>
      </c>
      <c r="C849" s="3">
        <f t="shared" si="9"/>
        <v>0.19044490313651391</v>
      </c>
    </row>
    <row r="850" spans="1:3" ht="13.2" x14ac:dyDescent="0.25">
      <c r="A850" s="6">
        <v>848</v>
      </c>
      <c r="B850" s="7">
        <v>74.987579345703125</v>
      </c>
      <c r="C850" s="3">
        <f t="shared" si="9"/>
        <v>0.20761428957572295</v>
      </c>
    </row>
    <row r="851" spans="1:3" ht="13.2" x14ac:dyDescent="0.25">
      <c r="A851" s="6">
        <v>849</v>
      </c>
      <c r="B851" s="7">
        <v>75.38128662109375</v>
      </c>
      <c r="C851" s="3">
        <f t="shared" si="9"/>
        <v>0.22007093928479574</v>
      </c>
    </row>
    <row r="852" spans="1:3" ht="13.2" x14ac:dyDescent="0.25">
      <c r="A852" s="6">
        <v>850</v>
      </c>
      <c r="B852" s="7">
        <v>75.40875244140625</v>
      </c>
      <c r="C852" s="3">
        <f t="shared" si="9"/>
        <v>0.23474015402026052</v>
      </c>
    </row>
    <row r="853" spans="1:3" ht="13.2" x14ac:dyDescent="0.25">
      <c r="A853" s="6">
        <v>851</v>
      </c>
      <c r="B853" s="7">
        <v>76.379295349121094</v>
      </c>
      <c r="C853" s="3">
        <f t="shared" si="9"/>
        <v>0.17304262815802091</v>
      </c>
    </row>
    <row r="854" spans="1:3" ht="13.2" x14ac:dyDescent="0.25">
      <c r="A854" s="6">
        <v>852</v>
      </c>
      <c r="B854" s="7">
        <v>73.476837158203125</v>
      </c>
      <c r="C854" s="3">
        <f t="shared" si="9"/>
        <v>0.11604624663305639</v>
      </c>
    </row>
    <row r="855" spans="1:3" ht="13.2" x14ac:dyDescent="0.25">
      <c r="A855" s="6">
        <v>853</v>
      </c>
      <c r="B855" s="7">
        <v>73.421913146972656</v>
      </c>
      <c r="C855" s="3">
        <f t="shared" si="9"/>
        <v>0.13273490028244983</v>
      </c>
    </row>
    <row r="856" spans="1:3" ht="13.2" x14ac:dyDescent="0.25">
      <c r="A856" s="6">
        <v>854</v>
      </c>
      <c r="B856" s="7">
        <v>71.178672790527344</v>
      </c>
      <c r="C856" s="3">
        <f t="shared" si="9"/>
        <v>0.11875770871656922</v>
      </c>
    </row>
    <row r="857" spans="1:3" ht="13.2" x14ac:dyDescent="0.25">
      <c r="A857" s="6">
        <v>855</v>
      </c>
      <c r="B857" s="7">
        <v>72.561241149902344</v>
      </c>
      <c r="C857" s="3">
        <f t="shared" si="9"/>
        <v>0.18571840967223718</v>
      </c>
    </row>
    <row r="858" spans="1:3" ht="13.2" x14ac:dyDescent="0.25">
      <c r="A858" s="6">
        <v>856</v>
      </c>
      <c r="B858" s="7">
        <v>70.675117492675781</v>
      </c>
      <c r="C858" s="3">
        <f t="shared" si="9"/>
        <v>0.19356338144561874</v>
      </c>
    </row>
    <row r="859" spans="1:3" ht="13.2" x14ac:dyDescent="0.25">
      <c r="A859" s="6">
        <v>857</v>
      </c>
      <c r="B859" s="7">
        <v>71.883697509765625</v>
      </c>
      <c r="C859" s="3">
        <f t="shared" si="9"/>
        <v>0.19320807335959278</v>
      </c>
    </row>
    <row r="860" spans="1:3" ht="13.2" x14ac:dyDescent="0.25">
      <c r="A860" s="6">
        <v>858</v>
      </c>
      <c r="B860" s="7">
        <v>71.782989501953125</v>
      </c>
      <c r="C860" s="3">
        <f t="shared" si="9"/>
        <v>0.22199521274186723</v>
      </c>
    </row>
    <row r="861" spans="1:3" ht="13.2" x14ac:dyDescent="0.25">
      <c r="A861" s="6">
        <v>859</v>
      </c>
      <c r="B861" s="7">
        <v>70.290550231933594</v>
      </c>
      <c r="C861" s="3">
        <f t="shared" si="9"/>
        <v>0.19248214660452714</v>
      </c>
    </row>
    <row r="862" spans="1:3" ht="13.2" x14ac:dyDescent="0.25">
      <c r="A862" s="6">
        <v>860</v>
      </c>
      <c r="B862" s="7">
        <v>70.427886962890625</v>
      </c>
      <c r="C862" s="3">
        <f t="shared" si="9"/>
        <v>0.21182056680450681</v>
      </c>
    </row>
    <row r="863" spans="1:3" ht="13.2" x14ac:dyDescent="0.25">
      <c r="A863" s="6">
        <v>861</v>
      </c>
      <c r="B863" s="7">
        <v>70.79412841796875</v>
      </c>
      <c r="C863" s="3">
        <f t="shared" si="9"/>
        <v>0.21194318092027847</v>
      </c>
    </row>
    <row r="864" spans="1:3" ht="13.2" x14ac:dyDescent="0.25">
      <c r="A864" s="6">
        <v>862</v>
      </c>
      <c r="B864" s="7">
        <v>70.592697143554688</v>
      </c>
      <c r="C864" s="3">
        <f t="shared" si="9"/>
        <v>0.2008620747968147</v>
      </c>
    </row>
    <row r="865" spans="1:3" ht="13.2" x14ac:dyDescent="0.25">
      <c r="A865" s="6">
        <v>863</v>
      </c>
      <c r="B865" s="7">
        <v>69.814437866210938</v>
      </c>
      <c r="C865" s="3">
        <f t="shared" si="9"/>
        <v>0.22217645841174827</v>
      </c>
    </row>
    <row r="866" spans="1:3" ht="13.2" x14ac:dyDescent="0.25">
      <c r="A866" s="6">
        <v>864</v>
      </c>
      <c r="B866" s="7">
        <v>69.594696044921875</v>
      </c>
      <c r="C866" s="3">
        <f t="shared" si="9"/>
        <v>0.21996538052528739</v>
      </c>
    </row>
    <row r="867" spans="1:3" ht="13.2" x14ac:dyDescent="0.25">
      <c r="A867" s="6">
        <v>865</v>
      </c>
      <c r="B867" s="7">
        <v>68.303695678710938</v>
      </c>
      <c r="C867" s="3">
        <f t="shared" si="9"/>
        <v>0.1872131452860058</v>
      </c>
    </row>
    <row r="868" spans="1:3" ht="13.2" x14ac:dyDescent="0.25">
      <c r="A868" s="6">
        <v>866</v>
      </c>
      <c r="B868" s="7">
        <v>68.431892395019531</v>
      </c>
      <c r="C868" s="3">
        <f t="shared" si="9"/>
        <v>0.23000064832326658</v>
      </c>
    </row>
    <row r="869" spans="1:3" ht="13.2" x14ac:dyDescent="0.25">
      <c r="A869" s="6">
        <v>867</v>
      </c>
      <c r="B869" s="7">
        <v>68.514289855957031</v>
      </c>
      <c r="C869" s="3">
        <f t="shared" si="9"/>
        <v>0.19106586241067861</v>
      </c>
    </row>
    <row r="870" spans="1:3" ht="13.2" x14ac:dyDescent="0.25">
      <c r="A870" s="6">
        <v>868</v>
      </c>
      <c r="B870" s="7">
        <v>70.327178955078125</v>
      </c>
      <c r="C870" s="3">
        <f t="shared" si="9"/>
        <v>0.11131029473356641</v>
      </c>
    </row>
    <row r="871" spans="1:3" ht="13.2" x14ac:dyDescent="0.25">
      <c r="A871" s="6">
        <v>869</v>
      </c>
      <c r="B871" s="7">
        <v>70.977249145507813</v>
      </c>
      <c r="C871" s="3">
        <f t="shared" si="9"/>
        <v>9.7100738948931467E-2</v>
      </c>
    </row>
    <row r="872" spans="1:3" ht="13.2" x14ac:dyDescent="0.25">
      <c r="A872" s="6">
        <v>870</v>
      </c>
      <c r="B872" s="7">
        <v>69.677093505859375</v>
      </c>
      <c r="C872" s="3">
        <f t="shared" si="9"/>
        <v>0.11874325345117509</v>
      </c>
    </row>
    <row r="873" spans="1:3" ht="13.2" x14ac:dyDescent="0.25">
      <c r="A873" s="6">
        <v>871</v>
      </c>
      <c r="B873" s="7">
        <v>69.292549133300781</v>
      </c>
      <c r="C873" s="3">
        <f t="shared" si="9"/>
        <v>0.10207822398438428</v>
      </c>
    </row>
    <row r="874" spans="1:3" ht="13.2" x14ac:dyDescent="0.25">
      <c r="A874" s="6">
        <v>872</v>
      </c>
      <c r="B874" s="7">
        <v>68.550918579101563</v>
      </c>
      <c r="C874" s="3">
        <f t="shared" si="9"/>
        <v>6.4771214727342791E-2</v>
      </c>
    </row>
    <row r="875" spans="1:3" ht="13.2" x14ac:dyDescent="0.25">
      <c r="A875" s="6">
        <v>873</v>
      </c>
      <c r="B875" s="7">
        <v>67.223289489746094</v>
      </c>
      <c r="C875" s="3">
        <f t="shared" si="9"/>
        <v>8.3883846772619231E-2</v>
      </c>
    </row>
    <row r="876" spans="1:3" ht="13.2" x14ac:dyDescent="0.25">
      <c r="A876" s="6">
        <v>874</v>
      </c>
      <c r="B876" s="7">
        <v>68.752349853515625</v>
      </c>
      <c r="C876" s="3">
        <f t="shared" si="9"/>
        <v>1.0691127183107543E-2</v>
      </c>
    </row>
    <row r="877" spans="1:3" ht="13.2" x14ac:dyDescent="0.25">
      <c r="A877" s="6">
        <v>875</v>
      </c>
      <c r="B877" s="7">
        <v>69.741188049316406</v>
      </c>
      <c r="C877" s="3">
        <f t="shared" si="9"/>
        <v>8.1576144471589271E-2</v>
      </c>
    </row>
    <row r="878" spans="1:3" ht="13.2" x14ac:dyDescent="0.25">
      <c r="A878" s="6">
        <v>876</v>
      </c>
      <c r="B878" s="7">
        <v>69.12774658203125</v>
      </c>
      <c r="C878" s="3">
        <f t="shared" si="9"/>
        <v>3.9476487352110221E-2</v>
      </c>
    </row>
    <row r="879" spans="1:3" ht="13.2" x14ac:dyDescent="0.25">
      <c r="A879" s="6">
        <v>877</v>
      </c>
      <c r="B879" s="7">
        <v>68.624160766601563</v>
      </c>
      <c r="C879" s="3">
        <f t="shared" si="9"/>
        <v>4.0910332789610572E-2</v>
      </c>
    </row>
    <row r="880" spans="1:3" ht="13.2" x14ac:dyDescent="0.25">
      <c r="A880" s="6">
        <v>878</v>
      </c>
      <c r="B880" s="7">
        <v>68.990402221679688</v>
      </c>
      <c r="C880" s="3">
        <f t="shared" si="9"/>
        <v>3.0781977805756672E-2</v>
      </c>
    </row>
    <row r="881" spans="1:3" ht="13.2" x14ac:dyDescent="0.25">
      <c r="A881" s="6">
        <v>879</v>
      </c>
      <c r="B881" s="7">
        <v>67.241607666015625</v>
      </c>
      <c r="C881" s="3">
        <f t="shared" si="9"/>
        <v>-6.8879432904540419E-2</v>
      </c>
    </row>
    <row r="882" spans="1:3" ht="13.2" x14ac:dyDescent="0.25">
      <c r="A882" s="6">
        <v>880</v>
      </c>
      <c r="B882" s="7">
        <v>67.204994201660156</v>
      </c>
      <c r="C882" s="3">
        <f t="shared" si="9"/>
        <v>-5.5082956127408329E-2</v>
      </c>
    </row>
    <row r="883" spans="1:3" ht="13.2" x14ac:dyDescent="0.25">
      <c r="A883" s="6">
        <v>881</v>
      </c>
      <c r="B883" s="7">
        <v>69.677093505859375</v>
      </c>
      <c r="C883" s="3">
        <f t="shared" si="9"/>
        <v>-1.9822667093104492E-2</v>
      </c>
    </row>
    <row r="884" spans="1:3" ht="13.2" x14ac:dyDescent="0.25">
      <c r="A884" s="6">
        <v>882</v>
      </c>
      <c r="B884" s="7">
        <v>71.187850952148438</v>
      </c>
      <c r="C884" s="3">
        <f t="shared" si="9"/>
        <v>2.8632971563250027E-2</v>
      </c>
    </row>
    <row r="885" spans="1:3" ht="13.2" x14ac:dyDescent="0.25">
      <c r="A885" s="6">
        <v>883</v>
      </c>
      <c r="B885" s="7">
        <v>70.885696411132813</v>
      </c>
      <c r="C885" s="3">
        <f t="shared" si="9"/>
        <v>5.9588511445750753E-2</v>
      </c>
    </row>
    <row r="886" spans="1:3" ht="13.2" x14ac:dyDescent="0.25">
      <c r="A886" s="6">
        <v>884</v>
      </c>
      <c r="B886" s="7">
        <v>71.590705871582031</v>
      </c>
      <c r="C886" s="3">
        <f t="shared" si="9"/>
        <v>8.4296213722396818E-2</v>
      </c>
    </row>
    <row r="887" spans="1:3" ht="13.2" x14ac:dyDescent="0.25">
      <c r="A887" s="6">
        <v>885</v>
      </c>
      <c r="B887" s="7">
        <v>71.6090087890625</v>
      </c>
      <c r="C887" s="3">
        <f t="shared" si="9"/>
        <v>5.2561638749400959E-2</v>
      </c>
    </row>
    <row r="888" spans="1:3" ht="13.2" x14ac:dyDescent="0.25">
      <c r="A888" s="6">
        <v>886</v>
      </c>
      <c r="B888" s="7">
        <v>71.819610595703125</v>
      </c>
      <c r="C888" s="3">
        <f t="shared" si="9"/>
        <v>8.3375004228419078E-2</v>
      </c>
    </row>
    <row r="889" spans="1:3" ht="13.2" x14ac:dyDescent="0.25">
      <c r="A889" s="6">
        <v>887</v>
      </c>
      <c r="B889" s="7">
        <v>71.801055908203125</v>
      </c>
      <c r="C889" s="3">
        <f t="shared" si="9"/>
        <v>0.10410170928748806</v>
      </c>
    </row>
    <row r="890" spans="1:3" ht="13.2" x14ac:dyDescent="0.25">
      <c r="A890" s="6">
        <v>888</v>
      </c>
      <c r="B890" s="7">
        <v>71.680496215820313</v>
      </c>
      <c r="C890" s="3">
        <f t="shared" si="9"/>
        <v>0.13566704686779679</v>
      </c>
    </row>
    <row r="891" spans="1:3" ht="13.2" x14ac:dyDescent="0.25">
      <c r="A891" s="6">
        <v>889</v>
      </c>
      <c r="B891" s="7">
        <v>68.443794250488281</v>
      </c>
      <c r="C891" s="3">
        <f t="shared" si="9"/>
        <v>0.11365539330936018</v>
      </c>
    </row>
    <row r="892" spans="1:3" ht="13.2" x14ac:dyDescent="0.25">
      <c r="A892" s="6">
        <v>890</v>
      </c>
      <c r="B892" s="7">
        <v>67.516372680664063</v>
      </c>
      <c r="C892" s="3">
        <f t="shared" si="9"/>
        <v>5.2196006014965143E-2</v>
      </c>
    </row>
    <row r="893" spans="1:3" ht="13.2" x14ac:dyDescent="0.25">
      <c r="A893" s="6">
        <v>891</v>
      </c>
      <c r="B893" s="7">
        <v>70.001869201660156</v>
      </c>
      <c r="C893" s="3">
        <f t="shared" si="9"/>
        <v>7.3173795555122826E-3</v>
      </c>
    </row>
    <row r="894" spans="1:3" ht="13.2" x14ac:dyDescent="0.25">
      <c r="A894" s="6">
        <v>892</v>
      </c>
      <c r="B894" s="7">
        <v>73.999038696289063</v>
      </c>
      <c r="C894" s="3">
        <f t="shared" si="9"/>
        <v>3.7813167714198882E-2</v>
      </c>
    </row>
    <row r="895" spans="1:3" ht="13.2" x14ac:dyDescent="0.25">
      <c r="A895" s="6">
        <v>893</v>
      </c>
      <c r="B895" s="7">
        <v>73.618804931640625</v>
      </c>
      <c r="C895" s="3">
        <f t="shared" ref="C895:C958" si="10">LN(B895/B643)</f>
        <v>4.7304248404822863E-2</v>
      </c>
    </row>
    <row r="896" spans="1:3" ht="13.2" x14ac:dyDescent="0.25">
      <c r="A896" s="6">
        <v>894</v>
      </c>
      <c r="B896" s="7">
        <v>74.648239135742188</v>
      </c>
      <c r="C896" s="3">
        <f t="shared" si="10"/>
        <v>6.6753129138611797E-2</v>
      </c>
    </row>
    <row r="897" spans="1:3" ht="13.2" x14ac:dyDescent="0.25">
      <c r="A897" s="6">
        <v>895</v>
      </c>
      <c r="B897" s="7">
        <v>73.090171813964844</v>
      </c>
      <c r="C897" s="3">
        <f t="shared" si="10"/>
        <v>3.7076437659317354E-2</v>
      </c>
    </row>
    <row r="898" spans="1:3" ht="13.2" x14ac:dyDescent="0.25">
      <c r="A898" s="6">
        <v>896</v>
      </c>
      <c r="B898" s="7">
        <v>73.108734130859375</v>
      </c>
      <c r="C898" s="3">
        <f t="shared" si="10"/>
        <v>7.0036626349575401E-2</v>
      </c>
    </row>
    <row r="899" spans="1:3" ht="13.2" x14ac:dyDescent="0.25">
      <c r="A899" s="6">
        <v>897</v>
      </c>
      <c r="B899" s="7">
        <v>73.943397521972656</v>
      </c>
      <c r="C899" s="3">
        <f t="shared" si="10"/>
        <v>4.3292376377391653E-2</v>
      </c>
    </row>
    <row r="900" spans="1:3" ht="13.2" x14ac:dyDescent="0.25">
      <c r="A900" s="6">
        <v>898</v>
      </c>
      <c r="B900" s="7">
        <v>74.286544799804688</v>
      </c>
      <c r="C900" s="3">
        <f t="shared" si="10"/>
        <v>7.0426404015115698E-2</v>
      </c>
    </row>
    <row r="901" spans="1:3" ht="13.2" x14ac:dyDescent="0.25">
      <c r="A901" s="6">
        <v>899</v>
      </c>
      <c r="B901" s="7">
        <v>73.989768981933594</v>
      </c>
      <c r="C901" s="3">
        <f t="shared" si="10"/>
        <v>8.7746241745723347E-2</v>
      </c>
    </row>
    <row r="902" spans="1:3" ht="13.2" x14ac:dyDescent="0.25">
      <c r="A902" s="6">
        <v>900</v>
      </c>
      <c r="B902" s="7">
        <v>75.306716918945313</v>
      </c>
      <c r="C902" s="3">
        <f t="shared" si="10"/>
        <v>0.13253010252902861</v>
      </c>
    </row>
    <row r="903" spans="1:3" ht="13.2" x14ac:dyDescent="0.25">
      <c r="A903" s="6">
        <v>901</v>
      </c>
      <c r="B903" s="7">
        <v>78.932937622070313</v>
      </c>
      <c r="C903" s="3">
        <f t="shared" si="10"/>
        <v>0.21022174888775455</v>
      </c>
    </row>
    <row r="904" spans="1:3" ht="13.2" x14ac:dyDescent="0.25">
      <c r="A904" s="6">
        <v>902</v>
      </c>
      <c r="B904" s="7">
        <v>81.993431091308594</v>
      </c>
      <c r="C904" s="3">
        <f t="shared" si="10"/>
        <v>0.24370602266114325</v>
      </c>
    </row>
    <row r="905" spans="1:3" ht="13.2" x14ac:dyDescent="0.25">
      <c r="A905" s="6">
        <v>903</v>
      </c>
      <c r="B905" s="7">
        <v>82.586997985839844</v>
      </c>
      <c r="C905" s="3">
        <f t="shared" si="10"/>
        <v>0.25188391572236729</v>
      </c>
    </row>
    <row r="906" spans="1:3" ht="13.2" x14ac:dyDescent="0.25">
      <c r="A906" s="6">
        <v>904</v>
      </c>
      <c r="B906" s="7">
        <v>83.9039306640625</v>
      </c>
      <c r="C906" s="3">
        <f t="shared" si="10"/>
        <v>0.24345557838542844</v>
      </c>
    </row>
    <row r="907" spans="1:3" ht="13.2" x14ac:dyDescent="0.25">
      <c r="A907" s="6">
        <v>905</v>
      </c>
      <c r="B907" s="7">
        <v>81.325691223144531</v>
      </c>
      <c r="C907" s="3">
        <f t="shared" si="10"/>
        <v>0.21170701655189722</v>
      </c>
    </row>
    <row r="908" spans="1:3" ht="13.2" x14ac:dyDescent="0.25">
      <c r="A908" s="6">
        <v>906</v>
      </c>
      <c r="B908" s="7">
        <v>83.013595581054688</v>
      </c>
      <c r="C908" s="3">
        <f t="shared" si="10"/>
        <v>0.2497542002326528</v>
      </c>
    </row>
    <row r="909" spans="1:3" ht="13.2" x14ac:dyDescent="0.25">
      <c r="A909" s="6">
        <v>907</v>
      </c>
      <c r="B909" s="7">
        <v>85.87005615234375</v>
      </c>
      <c r="C909" s="3">
        <f t="shared" si="10"/>
        <v>0.27309959375110165</v>
      </c>
    </row>
    <row r="910" spans="1:3" ht="13.2" x14ac:dyDescent="0.25">
      <c r="A910" s="6">
        <v>908</v>
      </c>
      <c r="B910" s="7">
        <v>85.842239379882813</v>
      </c>
      <c r="C910" s="3">
        <f t="shared" si="10"/>
        <v>0.28380868377724516</v>
      </c>
    </row>
    <row r="911" spans="1:3" ht="13.2" x14ac:dyDescent="0.25">
      <c r="A911" s="6">
        <v>909</v>
      </c>
      <c r="B911" s="7">
        <v>86.96441650390625</v>
      </c>
      <c r="C911" s="3">
        <f t="shared" si="10"/>
        <v>0.2917415587848623</v>
      </c>
    </row>
    <row r="912" spans="1:3" ht="13.2" x14ac:dyDescent="0.25">
      <c r="A912" s="6">
        <v>910</v>
      </c>
      <c r="B912" s="7">
        <v>87.149894714355469</v>
      </c>
      <c r="C912" s="3">
        <f t="shared" si="10"/>
        <v>0.30455885545177241</v>
      </c>
    </row>
    <row r="913" spans="1:3" ht="13.2" x14ac:dyDescent="0.25">
      <c r="A913" s="6">
        <v>911</v>
      </c>
      <c r="B913" s="7">
        <v>87.530136108398438</v>
      </c>
      <c r="C913" s="3">
        <f t="shared" si="10"/>
        <v>0.33077445570026448</v>
      </c>
    </row>
    <row r="914" spans="1:3" ht="13.2" x14ac:dyDescent="0.25">
      <c r="A914" s="6">
        <v>912</v>
      </c>
      <c r="B914" s="7">
        <v>86.686195373535156</v>
      </c>
      <c r="C914" s="3">
        <f t="shared" si="10"/>
        <v>0.35443957218334338</v>
      </c>
    </row>
    <row r="915" spans="1:3" ht="13.2" x14ac:dyDescent="0.25">
      <c r="A915" s="6">
        <v>913</v>
      </c>
      <c r="B915" s="7">
        <v>83.477310180664063</v>
      </c>
      <c r="C915" s="3">
        <f t="shared" si="10"/>
        <v>0.30083491182720407</v>
      </c>
    </row>
    <row r="916" spans="1:3" ht="13.2" x14ac:dyDescent="0.25">
      <c r="A916" s="6">
        <v>914</v>
      </c>
      <c r="B916" s="7">
        <v>82.030525207519531</v>
      </c>
      <c r="C916" s="3">
        <f t="shared" si="10"/>
        <v>0.27280527219355233</v>
      </c>
    </row>
    <row r="917" spans="1:3" ht="13.2" x14ac:dyDescent="0.25">
      <c r="A917" s="6">
        <v>915</v>
      </c>
      <c r="B917" s="7">
        <v>84.395454406738281</v>
      </c>
      <c r="C917" s="3">
        <f t="shared" si="10"/>
        <v>0.26148362677391762</v>
      </c>
    </row>
    <row r="918" spans="1:3" ht="13.2" x14ac:dyDescent="0.25">
      <c r="A918" s="6">
        <v>916</v>
      </c>
      <c r="B918" s="7">
        <v>85.193038940429688</v>
      </c>
      <c r="C918" s="3">
        <f t="shared" si="10"/>
        <v>0.2345028028396812</v>
      </c>
    </row>
    <row r="919" spans="1:3" ht="13.2" x14ac:dyDescent="0.25">
      <c r="A919" s="6">
        <v>917</v>
      </c>
      <c r="B919" s="7">
        <v>81.492630004882813</v>
      </c>
      <c r="C919" s="3">
        <f t="shared" si="10"/>
        <v>0.16980882521408944</v>
      </c>
    </row>
    <row r="920" spans="1:3" ht="13.2" x14ac:dyDescent="0.25">
      <c r="A920" s="6">
        <v>918</v>
      </c>
      <c r="B920" s="7">
        <v>80.2498779296875</v>
      </c>
      <c r="C920" s="3">
        <f t="shared" si="10"/>
        <v>0.11568139531489416</v>
      </c>
    </row>
    <row r="921" spans="1:3" ht="13.2" x14ac:dyDescent="0.25">
      <c r="A921" s="6">
        <v>919</v>
      </c>
      <c r="B921" s="7">
        <v>78.7845458984375</v>
      </c>
      <c r="C921" s="3">
        <f t="shared" si="10"/>
        <v>6.9770214340943132E-2</v>
      </c>
    </row>
    <row r="922" spans="1:3" ht="13.2" x14ac:dyDescent="0.25">
      <c r="A922" s="6">
        <v>920</v>
      </c>
      <c r="B922" s="7">
        <v>79.786163330078125</v>
      </c>
      <c r="C922" s="3">
        <f t="shared" si="10"/>
        <v>4.5618587605612083E-2</v>
      </c>
    </row>
    <row r="923" spans="1:3" ht="13.2" x14ac:dyDescent="0.25">
      <c r="A923" s="6">
        <v>921</v>
      </c>
      <c r="B923" s="7">
        <v>80.481735229492188</v>
      </c>
      <c r="C923" s="3">
        <f t="shared" si="10"/>
        <v>3.8742870485515002E-2</v>
      </c>
    </row>
    <row r="924" spans="1:3" ht="13.2" x14ac:dyDescent="0.25">
      <c r="A924" s="6">
        <v>922</v>
      </c>
      <c r="B924" s="7">
        <v>77.903488159179688</v>
      </c>
      <c r="C924" s="3">
        <f t="shared" si="10"/>
        <v>2.0694564500727708E-2</v>
      </c>
    </row>
    <row r="925" spans="1:3" ht="13.2" x14ac:dyDescent="0.25">
      <c r="A925" s="6">
        <v>923</v>
      </c>
      <c r="B925" s="7">
        <v>77.523246765136719</v>
      </c>
      <c r="C925" s="3">
        <f t="shared" si="10"/>
        <v>0.12064691631432174</v>
      </c>
    </row>
    <row r="926" spans="1:3" ht="13.2" x14ac:dyDescent="0.25">
      <c r="A926" s="6">
        <v>924</v>
      </c>
      <c r="B926" s="7">
        <v>77.597450256347656</v>
      </c>
      <c r="C926" s="3">
        <f t="shared" si="10"/>
        <v>0.10702325686311719</v>
      </c>
    </row>
    <row r="927" spans="1:3" ht="13.2" x14ac:dyDescent="0.25">
      <c r="A927" s="6">
        <v>925</v>
      </c>
      <c r="B927" s="7">
        <v>78.7845458984375</v>
      </c>
      <c r="C927" s="3">
        <f t="shared" si="10"/>
        <v>0.10670933379898813</v>
      </c>
    </row>
    <row r="928" spans="1:3" ht="13.2" x14ac:dyDescent="0.25">
      <c r="A928" s="6">
        <v>926</v>
      </c>
      <c r="B928" s="7">
        <v>76.252685546875</v>
      </c>
      <c r="C928" s="3">
        <f t="shared" si="10"/>
        <v>6.9305503682083464E-2</v>
      </c>
    </row>
    <row r="929" spans="1:3" ht="13.2" x14ac:dyDescent="0.25">
      <c r="A929" s="6">
        <v>927</v>
      </c>
      <c r="B929" s="7">
        <v>78.756721496582031</v>
      </c>
      <c r="C929" s="3">
        <f t="shared" si="10"/>
        <v>7.44901940046587E-2</v>
      </c>
    </row>
    <row r="930" spans="1:3" ht="13.2" x14ac:dyDescent="0.25">
      <c r="A930" s="6">
        <v>928</v>
      </c>
      <c r="B930" s="7">
        <v>80.963996887207031</v>
      </c>
      <c r="C930" s="3">
        <f t="shared" si="10"/>
        <v>0.11321195382331169</v>
      </c>
    </row>
    <row r="931" spans="1:3" ht="13.2" x14ac:dyDescent="0.25">
      <c r="A931" s="6">
        <v>929</v>
      </c>
      <c r="B931" s="7">
        <v>81.158760070800781</v>
      </c>
      <c r="C931" s="3">
        <f t="shared" si="10"/>
        <v>9.1062256170848233E-2</v>
      </c>
    </row>
    <row r="932" spans="1:3" ht="13.2" x14ac:dyDescent="0.25">
      <c r="A932" s="6">
        <v>930</v>
      </c>
      <c r="B932" s="7">
        <v>81.798667907714844</v>
      </c>
      <c r="C932" s="3">
        <f t="shared" si="10"/>
        <v>9.772195244867686E-2</v>
      </c>
    </row>
    <row r="933" spans="1:3" ht="13.2" x14ac:dyDescent="0.25">
      <c r="A933" s="6">
        <v>931</v>
      </c>
      <c r="B933" s="7">
        <v>83.078506469726563</v>
      </c>
      <c r="C933" s="3">
        <f t="shared" si="10"/>
        <v>0.11467995517622737</v>
      </c>
    </row>
    <row r="934" spans="1:3" ht="13.2" x14ac:dyDescent="0.25">
      <c r="A934" s="6">
        <v>932</v>
      </c>
      <c r="B934" s="7">
        <v>82.271659851074219</v>
      </c>
      <c r="C934" s="3">
        <f t="shared" si="10"/>
        <v>0.1134416753000156</v>
      </c>
    </row>
    <row r="935" spans="1:3" ht="13.2" x14ac:dyDescent="0.25">
      <c r="A935" s="6">
        <v>933</v>
      </c>
      <c r="B935" s="7">
        <v>82.280937194824219</v>
      </c>
      <c r="C935" s="3">
        <f t="shared" si="10"/>
        <v>0.11138737471898791</v>
      </c>
    </row>
    <row r="936" spans="1:3" ht="13.2" x14ac:dyDescent="0.25">
      <c r="A936" s="6">
        <v>934</v>
      </c>
      <c r="B936" s="7">
        <v>84.5809326171875</v>
      </c>
      <c r="C936" s="3">
        <f t="shared" si="10"/>
        <v>0.13176673799498623</v>
      </c>
    </row>
    <row r="937" spans="1:3" ht="13.2" x14ac:dyDescent="0.25">
      <c r="A937" s="6">
        <v>935</v>
      </c>
      <c r="B937" s="7">
        <v>82.726097106933594</v>
      </c>
      <c r="C937" s="3">
        <f t="shared" si="10"/>
        <v>0.10899610953557846</v>
      </c>
    </row>
    <row r="938" spans="1:3" ht="13.2" x14ac:dyDescent="0.25">
      <c r="A938" s="6">
        <v>936</v>
      </c>
      <c r="B938" s="7">
        <v>82.7724609375</v>
      </c>
      <c r="C938" s="3">
        <f t="shared" si="10"/>
        <v>0.13518027966224286</v>
      </c>
    </row>
    <row r="939" spans="1:3" ht="13.2" x14ac:dyDescent="0.25">
      <c r="A939" s="6">
        <v>937</v>
      </c>
      <c r="B939" s="7">
        <v>83.375297546386719</v>
      </c>
      <c r="C939" s="3">
        <f t="shared" si="10"/>
        <v>0.14341702095422823</v>
      </c>
    </row>
    <row r="940" spans="1:3" ht="13.2" x14ac:dyDescent="0.25">
      <c r="A940" s="6">
        <v>938</v>
      </c>
      <c r="B940" s="7">
        <v>80.778511047363281</v>
      </c>
      <c r="C940" s="3">
        <f t="shared" si="10"/>
        <v>9.3078826722644281E-2</v>
      </c>
    </row>
    <row r="941" spans="1:3" ht="13.2" x14ac:dyDescent="0.25">
      <c r="A941" s="6">
        <v>939</v>
      </c>
      <c r="B941" s="7">
        <v>79.211166381835938</v>
      </c>
      <c r="C941" s="3">
        <f t="shared" si="10"/>
        <v>7.1202618399918635E-2</v>
      </c>
    </row>
    <row r="942" spans="1:3" ht="13.2" x14ac:dyDescent="0.25">
      <c r="A942" s="6">
        <v>940</v>
      </c>
      <c r="B942" s="7">
        <v>79.971656799316406</v>
      </c>
      <c r="C942" s="3">
        <f t="shared" si="10"/>
        <v>8.3521547449091182E-2</v>
      </c>
    </row>
    <row r="943" spans="1:3" ht="13.2" x14ac:dyDescent="0.25">
      <c r="A943" s="6">
        <v>941</v>
      </c>
      <c r="B943" s="7">
        <v>78.571243286132813</v>
      </c>
      <c r="C943" s="3">
        <f t="shared" si="10"/>
        <v>8.9354144439218658E-2</v>
      </c>
    </row>
    <row r="944" spans="1:3" ht="13.2" x14ac:dyDescent="0.25">
      <c r="A944" s="6">
        <v>942</v>
      </c>
      <c r="B944" s="7">
        <v>79.387374877929688</v>
      </c>
      <c r="C944" s="3">
        <f t="shared" si="10"/>
        <v>9.3179350768175767E-2</v>
      </c>
    </row>
    <row r="945" spans="1:3" ht="13.2" x14ac:dyDescent="0.25">
      <c r="A945" s="6">
        <v>943</v>
      </c>
      <c r="B945" s="7">
        <v>79.758331298828125</v>
      </c>
      <c r="C945" s="3">
        <f t="shared" si="10"/>
        <v>0.11114835335533162</v>
      </c>
    </row>
    <row r="946" spans="1:3" ht="13.2" x14ac:dyDescent="0.25">
      <c r="A946" s="6">
        <v>944</v>
      </c>
      <c r="B946" s="7">
        <v>80.361175537109375</v>
      </c>
      <c r="C946" s="3">
        <f t="shared" si="10"/>
        <v>9.5627021821122843E-2</v>
      </c>
    </row>
    <row r="947" spans="1:3" ht="13.2" x14ac:dyDescent="0.25">
      <c r="A947" s="6">
        <v>945</v>
      </c>
      <c r="B947" s="7">
        <v>81.613189697265625</v>
      </c>
      <c r="C947" s="3">
        <f t="shared" si="10"/>
        <v>9.6526470464645214E-2</v>
      </c>
    </row>
    <row r="948" spans="1:3" ht="13.2" x14ac:dyDescent="0.25">
      <c r="A948" s="6">
        <v>946</v>
      </c>
      <c r="B948" s="7">
        <v>80.472450256347656</v>
      </c>
      <c r="C948" s="3">
        <f t="shared" si="10"/>
        <v>8.9403307653128969E-2</v>
      </c>
    </row>
    <row r="949" spans="1:3" ht="13.2" x14ac:dyDescent="0.25">
      <c r="A949" s="6">
        <v>947</v>
      </c>
      <c r="B949" s="7">
        <v>79.860366821289063</v>
      </c>
      <c r="C949" s="3">
        <f t="shared" si="10"/>
        <v>9.3748422609868903E-2</v>
      </c>
    </row>
    <row r="950" spans="1:3" ht="13.2" x14ac:dyDescent="0.25">
      <c r="A950" s="6">
        <v>948</v>
      </c>
      <c r="B950" s="7">
        <v>79.804710388183594</v>
      </c>
      <c r="C950" s="3">
        <f t="shared" si="10"/>
        <v>4.4922350912992515E-2</v>
      </c>
    </row>
    <row r="951" spans="1:3" ht="13.2" x14ac:dyDescent="0.25">
      <c r="A951" s="6">
        <v>949</v>
      </c>
      <c r="B951" s="7">
        <v>79.238998413085938</v>
      </c>
      <c r="C951" s="3">
        <f t="shared" si="10"/>
        <v>4.5846286849626119E-2</v>
      </c>
    </row>
    <row r="952" spans="1:3" ht="13.2" x14ac:dyDescent="0.25">
      <c r="A952" s="6">
        <v>950</v>
      </c>
      <c r="B952" s="7">
        <v>78.812370300292969</v>
      </c>
      <c r="C952" s="3">
        <f t="shared" si="10"/>
        <v>5.7671125244774718E-2</v>
      </c>
    </row>
    <row r="953" spans="1:3" ht="13.2" x14ac:dyDescent="0.25">
      <c r="A953" s="6">
        <v>951</v>
      </c>
      <c r="B953" s="7">
        <v>79.266815185546875</v>
      </c>
      <c r="C953" s="3">
        <f t="shared" si="10"/>
        <v>0.11218700153066953</v>
      </c>
    </row>
    <row r="954" spans="1:3" ht="13.2" x14ac:dyDescent="0.25">
      <c r="A954" s="6">
        <v>952</v>
      </c>
      <c r="B954" s="7">
        <v>76.465980529785156</v>
      </c>
      <c r="C954" s="3">
        <f t="shared" si="10"/>
        <v>4.3641287557169527E-2</v>
      </c>
    </row>
    <row r="955" spans="1:3" ht="13.2" x14ac:dyDescent="0.25">
      <c r="A955" s="6">
        <v>953</v>
      </c>
      <c r="B955" s="7">
        <v>77.833297729492188</v>
      </c>
      <c r="C955" s="3">
        <f t="shared" si="10"/>
        <v>5.4046522453892097E-2</v>
      </c>
    </row>
    <row r="956" spans="1:3" ht="13.2" x14ac:dyDescent="0.25">
      <c r="A956" s="6">
        <v>954</v>
      </c>
      <c r="B956" s="7">
        <v>77.833297729492188</v>
      </c>
      <c r="C956" s="3">
        <f t="shared" si="10"/>
        <v>1.2743465692278584E-2</v>
      </c>
    </row>
    <row r="957" spans="1:3" ht="13.2" x14ac:dyDescent="0.25">
      <c r="A957" s="6">
        <v>955</v>
      </c>
      <c r="B957" s="7">
        <v>78.854080200195313</v>
      </c>
      <c r="C957" s="3">
        <f t="shared" si="10"/>
        <v>3.7148447249078162E-2</v>
      </c>
    </row>
    <row r="958" spans="1:3" ht="13.2" x14ac:dyDescent="0.25">
      <c r="A958" s="6">
        <v>956</v>
      </c>
      <c r="B958" s="7">
        <v>78.32965087890625</v>
      </c>
      <c r="C958" s="3">
        <f t="shared" si="10"/>
        <v>-1.7758508157687095E-2</v>
      </c>
    </row>
    <row r="959" spans="1:3" ht="13.2" x14ac:dyDescent="0.25">
      <c r="A959" s="6">
        <v>957</v>
      </c>
      <c r="B959" s="7">
        <v>76.887428283691406</v>
      </c>
      <c r="C959" s="3">
        <f t="shared" ref="C959:C1022" si="11">LN(B959/B707)</f>
        <v>5.6603826146129528E-3</v>
      </c>
    </row>
    <row r="960" spans="1:3" ht="13.2" x14ac:dyDescent="0.25">
      <c r="A960" s="6">
        <v>958</v>
      </c>
      <c r="B960" s="7">
        <v>78.516944885253906</v>
      </c>
      <c r="C960" s="3">
        <f t="shared" si="11"/>
        <v>6.9497769836667167E-2</v>
      </c>
    </row>
    <row r="961" spans="1:3" ht="13.2" x14ac:dyDescent="0.25">
      <c r="A961" s="6">
        <v>959</v>
      </c>
      <c r="B961" s="7">
        <v>79.041389465332031</v>
      </c>
      <c r="C961" s="3">
        <f t="shared" si="11"/>
        <v>5.8090537947710533E-2</v>
      </c>
    </row>
    <row r="962" spans="1:3" ht="13.2" x14ac:dyDescent="0.25">
      <c r="A962" s="6">
        <v>960</v>
      </c>
      <c r="B962" s="7">
        <v>79.228691101074219</v>
      </c>
      <c r="C962" s="3">
        <f t="shared" si="11"/>
        <v>8.7863108770471779E-2</v>
      </c>
    </row>
    <row r="963" spans="1:3" ht="13.2" x14ac:dyDescent="0.25">
      <c r="A963" s="6">
        <v>961</v>
      </c>
      <c r="B963" s="7">
        <v>78.919654846191406</v>
      </c>
      <c r="C963" s="3">
        <f t="shared" si="11"/>
        <v>8.1734738496551468E-2</v>
      </c>
    </row>
    <row r="964" spans="1:3" ht="13.2" x14ac:dyDescent="0.25">
      <c r="A964" s="6">
        <v>962</v>
      </c>
      <c r="B964" s="7">
        <v>84.529342651367188</v>
      </c>
      <c r="C964" s="3">
        <f t="shared" si="11"/>
        <v>0.124857506070081</v>
      </c>
    </row>
    <row r="965" spans="1:3" ht="13.2" x14ac:dyDescent="0.25">
      <c r="A965" s="6">
        <v>963</v>
      </c>
      <c r="B965" s="7">
        <v>84.641716003417969</v>
      </c>
      <c r="C965" s="3">
        <f t="shared" si="11"/>
        <v>0.13778307549775623</v>
      </c>
    </row>
    <row r="966" spans="1:3" ht="13.2" x14ac:dyDescent="0.25">
      <c r="A966" s="6">
        <v>964</v>
      </c>
      <c r="B966" s="7">
        <v>90.850784301757813</v>
      </c>
      <c r="C966" s="3">
        <f t="shared" si="11"/>
        <v>0.24193124781646613</v>
      </c>
    </row>
    <row r="967" spans="1:3" ht="13.2" x14ac:dyDescent="0.25">
      <c r="A967" s="6">
        <v>965</v>
      </c>
      <c r="B967" s="7">
        <v>86.261871337890625</v>
      </c>
      <c r="C967" s="3">
        <f t="shared" si="11"/>
        <v>0.19135746029988565</v>
      </c>
    </row>
    <row r="968" spans="1:3" ht="13.2" x14ac:dyDescent="0.25">
      <c r="A968" s="6">
        <v>966</v>
      </c>
      <c r="B968" s="7">
        <v>89.108871459960938</v>
      </c>
      <c r="C968" s="3">
        <f t="shared" si="11"/>
        <v>0.21855970425755974</v>
      </c>
    </row>
    <row r="969" spans="1:3" ht="13.2" x14ac:dyDescent="0.25">
      <c r="A969" s="6">
        <v>967</v>
      </c>
      <c r="B969" s="7">
        <v>90.485542297363281</v>
      </c>
      <c r="C969" s="3">
        <f t="shared" si="11"/>
        <v>0.20066527113647595</v>
      </c>
    </row>
    <row r="970" spans="1:3" ht="13.2" x14ac:dyDescent="0.25">
      <c r="A970" s="6">
        <v>968</v>
      </c>
      <c r="B970" s="7">
        <v>91.731086730957031</v>
      </c>
      <c r="C970" s="3">
        <f t="shared" si="11"/>
        <v>0.22186889043520533</v>
      </c>
    </row>
    <row r="971" spans="1:3" ht="13.2" x14ac:dyDescent="0.25">
      <c r="A971" s="6">
        <v>969</v>
      </c>
      <c r="B971" s="7">
        <v>91.890312194824219</v>
      </c>
      <c r="C971" s="3">
        <f t="shared" si="11"/>
        <v>0.2043987116468382</v>
      </c>
    </row>
    <row r="972" spans="1:3" ht="13.2" x14ac:dyDescent="0.25">
      <c r="A972" s="6">
        <v>970</v>
      </c>
      <c r="B972" s="7">
        <v>91.787284851074219</v>
      </c>
      <c r="C972" s="3">
        <f t="shared" si="11"/>
        <v>0.21036006974441496</v>
      </c>
    </row>
    <row r="973" spans="1:3" ht="13.2" x14ac:dyDescent="0.25">
      <c r="A973" s="6">
        <v>971</v>
      </c>
      <c r="B973" s="7">
        <v>92.058876037597656</v>
      </c>
      <c r="C973" s="3">
        <f t="shared" si="11"/>
        <v>0.19907902850032447</v>
      </c>
    </row>
    <row r="974" spans="1:3" ht="13.2" x14ac:dyDescent="0.25">
      <c r="A974" s="6">
        <v>972</v>
      </c>
      <c r="B974" s="7">
        <v>93.641578674316406</v>
      </c>
      <c r="C974" s="3">
        <f t="shared" si="11"/>
        <v>0.20596210428437939</v>
      </c>
    </row>
    <row r="975" spans="1:3" ht="13.2" x14ac:dyDescent="0.25">
      <c r="A975" s="6">
        <v>973</v>
      </c>
      <c r="B975" s="7">
        <v>92.845542907714844</v>
      </c>
      <c r="C975" s="3">
        <f t="shared" si="11"/>
        <v>0.18631703748600992</v>
      </c>
    </row>
    <row r="976" spans="1:3" ht="13.2" x14ac:dyDescent="0.25">
      <c r="A976" s="6">
        <v>974</v>
      </c>
      <c r="B976" s="7">
        <v>95.589515686035156</v>
      </c>
      <c r="C976" s="3">
        <f t="shared" si="11"/>
        <v>0.20365220298566994</v>
      </c>
    </row>
    <row r="977" spans="1:3" ht="13.2" x14ac:dyDescent="0.25">
      <c r="A977" s="6">
        <v>975</v>
      </c>
      <c r="B977" s="7">
        <v>95.626968383789063</v>
      </c>
      <c r="C977" s="3">
        <f t="shared" si="11"/>
        <v>0.224710956793888</v>
      </c>
    </row>
    <row r="978" spans="1:3" ht="13.2" x14ac:dyDescent="0.25">
      <c r="A978" s="6">
        <v>976</v>
      </c>
      <c r="B978" s="7">
        <v>97.116020202636719</v>
      </c>
      <c r="C978" s="3">
        <f t="shared" si="11"/>
        <v>0.23070473157788091</v>
      </c>
    </row>
    <row r="979" spans="1:3" ht="13.2" x14ac:dyDescent="0.25">
      <c r="A979" s="6">
        <v>977</v>
      </c>
      <c r="B979" s="7">
        <v>98.960952758789063</v>
      </c>
      <c r="C979" s="3">
        <f t="shared" si="11"/>
        <v>0.25640383173564718</v>
      </c>
    </row>
    <row r="980" spans="1:3" ht="13.2" x14ac:dyDescent="0.25">
      <c r="A980" s="6">
        <v>978</v>
      </c>
      <c r="B980" s="7">
        <v>101.98587799072266</v>
      </c>
      <c r="C980" s="3">
        <f t="shared" si="11"/>
        <v>0.30362544766112204</v>
      </c>
    </row>
    <row r="981" spans="1:3" ht="13.2" x14ac:dyDescent="0.25">
      <c r="A981" s="6">
        <v>979</v>
      </c>
      <c r="B981" s="7">
        <v>99.710159301757813</v>
      </c>
      <c r="C981" s="3">
        <f t="shared" si="11"/>
        <v>0.24666150569055942</v>
      </c>
    </row>
    <row r="982" spans="1:3" ht="13.2" x14ac:dyDescent="0.25">
      <c r="A982" s="6">
        <v>980</v>
      </c>
      <c r="B982" s="7">
        <v>98.736190795898438</v>
      </c>
      <c r="C982" s="3">
        <f t="shared" si="11"/>
        <v>0.18060725112494458</v>
      </c>
    </row>
    <row r="983" spans="1:3" ht="13.2" x14ac:dyDescent="0.25">
      <c r="A983" s="6">
        <v>981</v>
      </c>
      <c r="B983" s="7">
        <v>96.750785827636719</v>
      </c>
      <c r="C983" s="3">
        <f t="shared" si="11"/>
        <v>0.16247088870169052</v>
      </c>
    </row>
    <row r="984" spans="1:3" ht="13.2" x14ac:dyDescent="0.25">
      <c r="A984" s="6">
        <v>982</v>
      </c>
      <c r="B984" s="7">
        <v>97.490623474121094</v>
      </c>
      <c r="C984" s="3">
        <f t="shared" si="11"/>
        <v>0.15548683149294948</v>
      </c>
    </row>
    <row r="985" spans="1:3" ht="13.2" x14ac:dyDescent="0.25">
      <c r="A985" s="6">
        <v>983</v>
      </c>
      <c r="B985" s="7">
        <v>97.734123229980469</v>
      </c>
      <c r="C985" s="3">
        <f t="shared" si="11"/>
        <v>0.17804586182651225</v>
      </c>
    </row>
    <row r="986" spans="1:3" ht="13.2" x14ac:dyDescent="0.25">
      <c r="A986" s="6">
        <v>984</v>
      </c>
      <c r="B986" s="7">
        <v>96.132698059082031</v>
      </c>
      <c r="C986" s="3">
        <f t="shared" si="11"/>
        <v>0.15747950680013331</v>
      </c>
    </row>
    <row r="987" spans="1:3" ht="13.2" x14ac:dyDescent="0.25">
      <c r="A987" s="6">
        <v>985</v>
      </c>
      <c r="B987" s="7">
        <v>97.396980285644531</v>
      </c>
      <c r="C987" s="3">
        <f t="shared" si="11"/>
        <v>0.15420362125944381</v>
      </c>
    </row>
    <row r="988" spans="1:3" ht="13.2" x14ac:dyDescent="0.25">
      <c r="A988" s="6">
        <v>986</v>
      </c>
      <c r="B988" s="7">
        <v>96.507301330566406</v>
      </c>
      <c r="C988" s="3">
        <f t="shared" si="11"/>
        <v>0.14706860526133061</v>
      </c>
    </row>
    <row r="989" spans="1:3" ht="13.2" x14ac:dyDescent="0.25">
      <c r="A989" s="6">
        <v>987</v>
      </c>
      <c r="B989" s="7">
        <v>94.325233459472656</v>
      </c>
      <c r="C989" s="3">
        <f t="shared" si="11"/>
        <v>0.16671622343779466</v>
      </c>
    </row>
    <row r="990" spans="1:3" ht="13.2" x14ac:dyDescent="0.25">
      <c r="A990" s="6">
        <v>988</v>
      </c>
      <c r="B990" s="7">
        <v>93.201416015625</v>
      </c>
      <c r="C990" s="3">
        <f t="shared" si="11"/>
        <v>0.14201713023656279</v>
      </c>
    </row>
    <row r="991" spans="1:3" ht="13.2" x14ac:dyDescent="0.25">
      <c r="A991" s="6">
        <v>989</v>
      </c>
      <c r="B991" s="7">
        <v>93.978713989257813</v>
      </c>
      <c r="C991" s="3">
        <f t="shared" si="11"/>
        <v>0.15298562361333309</v>
      </c>
    </row>
    <row r="992" spans="1:3" ht="13.2" x14ac:dyDescent="0.25">
      <c r="A992" s="6">
        <v>990</v>
      </c>
      <c r="B992" s="7">
        <v>96.750785827636719</v>
      </c>
      <c r="C992" s="3">
        <f t="shared" si="11"/>
        <v>0.19897581412228016</v>
      </c>
    </row>
    <row r="993" spans="1:3" ht="13.2" x14ac:dyDescent="0.25">
      <c r="A993" s="6">
        <v>991</v>
      </c>
      <c r="B993" s="7">
        <v>99.916191101074219</v>
      </c>
      <c r="C993" s="3">
        <f t="shared" si="11"/>
        <v>0.23660817340089416</v>
      </c>
    </row>
    <row r="994" spans="1:3" ht="13.2" x14ac:dyDescent="0.25">
      <c r="A994" s="6">
        <v>992</v>
      </c>
      <c r="B994" s="7">
        <v>101.9296875</v>
      </c>
      <c r="C994" s="3">
        <f t="shared" si="11"/>
        <v>0.24391422194959361</v>
      </c>
    </row>
    <row r="995" spans="1:3" ht="13.2" x14ac:dyDescent="0.25">
      <c r="A995" s="6">
        <v>993</v>
      </c>
      <c r="B995" s="7">
        <v>99.138885498046875</v>
      </c>
      <c r="C995" s="3">
        <f t="shared" si="11"/>
        <v>0.22970766989295877</v>
      </c>
    </row>
    <row r="996" spans="1:3" ht="13.2" x14ac:dyDescent="0.25">
      <c r="A996" s="6">
        <v>994</v>
      </c>
      <c r="B996" s="7">
        <v>98.324111938476563</v>
      </c>
      <c r="C996" s="3">
        <f t="shared" si="11"/>
        <v>0.20947223405884646</v>
      </c>
    </row>
    <row r="997" spans="1:3" ht="13.2" x14ac:dyDescent="0.25">
      <c r="A997" s="6">
        <v>995</v>
      </c>
      <c r="B997" s="7">
        <v>98.408401489257813</v>
      </c>
      <c r="C997" s="3">
        <f t="shared" si="11"/>
        <v>0.21709443614526677</v>
      </c>
    </row>
    <row r="998" spans="1:3" ht="13.2" x14ac:dyDescent="0.25">
      <c r="A998" s="6">
        <v>996</v>
      </c>
      <c r="B998" s="7">
        <v>99.260635375976563</v>
      </c>
      <c r="C998" s="3">
        <f t="shared" si="11"/>
        <v>0.23686620138337089</v>
      </c>
    </row>
    <row r="999" spans="1:3" ht="13.2" x14ac:dyDescent="0.25">
      <c r="A999" s="6">
        <v>997</v>
      </c>
      <c r="B999" s="7">
        <v>97.846519470214844</v>
      </c>
      <c r="C999" s="3">
        <f t="shared" si="11"/>
        <v>0.2329825047993539</v>
      </c>
    </row>
    <row r="1000" spans="1:3" ht="13.2" x14ac:dyDescent="0.25">
      <c r="A1000" s="6">
        <v>998</v>
      </c>
      <c r="B1000" s="7">
        <v>95.261734008789063</v>
      </c>
      <c r="C1000" s="3">
        <f t="shared" si="11"/>
        <v>0.19929825776355475</v>
      </c>
    </row>
    <row r="1001" spans="1:3" ht="13.2" x14ac:dyDescent="0.25">
      <c r="A1001" s="6">
        <v>999</v>
      </c>
      <c r="B1001" s="7">
        <v>97.443801879882813</v>
      </c>
      <c r="C1001" s="3">
        <f t="shared" si="11"/>
        <v>0.21212066844278768</v>
      </c>
    </row>
    <row r="1002" spans="1:3" ht="13.2" x14ac:dyDescent="0.25">
      <c r="A1002" s="6">
        <v>1000</v>
      </c>
      <c r="B1002" s="7">
        <v>97.209678649902344</v>
      </c>
      <c r="C1002" s="3">
        <f t="shared" si="11"/>
        <v>0.2557803651331611</v>
      </c>
    </row>
    <row r="1003" spans="1:3" ht="13.2" x14ac:dyDescent="0.25">
      <c r="A1003" s="6">
        <v>1001</v>
      </c>
      <c r="B1003" s="7">
        <v>95.814277648925781</v>
      </c>
      <c r="C1003" s="3">
        <f t="shared" si="11"/>
        <v>0.28886291975939804</v>
      </c>
    </row>
    <row r="1004" spans="1:3" ht="13.2" x14ac:dyDescent="0.25">
      <c r="A1004" s="6">
        <v>1002</v>
      </c>
      <c r="B1004" s="7">
        <v>96.94744873046875</v>
      </c>
      <c r="C1004" s="3">
        <f t="shared" si="11"/>
        <v>0.27461899840195664</v>
      </c>
    </row>
    <row r="1005" spans="1:3" ht="13.2" x14ac:dyDescent="0.25">
      <c r="A1005" s="6">
        <v>1003</v>
      </c>
      <c r="B1005" s="7">
        <v>97.6966552734375</v>
      </c>
      <c r="C1005" s="3">
        <f t="shared" si="11"/>
        <v>0.25496101386535192</v>
      </c>
    </row>
    <row r="1006" spans="1:3" ht="13.2" x14ac:dyDescent="0.25">
      <c r="A1006" s="6">
        <v>1004</v>
      </c>
      <c r="B1006" s="7">
        <v>98.792373657226563</v>
      </c>
      <c r="C1006" s="3">
        <f t="shared" si="11"/>
        <v>0.27169243092200257</v>
      </c>
    </row>
    <row r="1007" spans="1:3" ht="13.2" x14ac:dyDescent="0.25">
      <c r="A1007" s="6">
        <v>1005</v>
      </c>
      <c r="B1007" s="7">
        <v>105.44158172607422</v>
      </c>
      <c r="C1007" s="3">
        <f t="shared" si="11"/>
        <v>0.33409535631003473</v>
      </c>
    </row>
    <row r="1008" spans="1:3" ht="13.2" x14ac:dyDescent="0.25">
      <c r="A1008" s="6">
        <v>1006</v>
      </c>
      <c r="B1008" s="7">
        <v>107.67985534667969</v>
      </c>
      <c r="C1008" s="3">
        <f t="shared" si="11"/>
        <v>0.36093381822971377</v>
      </c>
    </row>
    <row r="1009" spans="1:3" ht="13.2" x14ac:dyDescent="0.25">
      <c r="A1009" s="6">
        <v>1007</v>
      </c>
      <c r="B1009" s="7">
        <v>106.86509704589844</v>
      </c>
      <c r="C1009" s="3">
        <f t="shared" si="11"/>
        <v>0.39664587657445954</v>
      </c>
    </row>
    <row r="1010" spans="1:3" ht="13.2" x14ac:dyDescent="0.25">
      <c r="A1010" s="6">
        <v>1008</v>
      </c>
      <c r="B1010" s="7">
        <v>102.50961303710938</v>
      </c>
      <c r="C1010" s="3">
        <f t="shared" si="11"/>
        <v>0.3848995975138923</v>
      </c>
    </row>
    <row r="1011" spans="1:3" ht="13.2" x14ac:dyDescent="0.25">
      <c r="A1011" s="6">
        <v>1009</v>
      </c>
      <c r="B1011" s="7">
        <v>100.26101684570313</v>
      </c>
      <c r="C1011" s="3">
        <f t="shared" si="11"/>
        <v>0.36916335650540988</v>
      </c>
    </row>
    <row r="1012" spans="1:3" ht="13.2" x14ac:dyDescent="0.25">
      <c r="A1012" s="6">
        <v>1010</v>
      </c>
      <c r="B1012" s="7">
        <v>98.276954650878906</v>
      </c>
      <c r="C1012" s="3">
        <f t="shared" si="11"/>
        <v>0.27039697176014305</v>
      </c>
    </row>
    <row r="1013" spans="1:3" ht="13.2" x14ac:dyDescent="0.25">
      <c r="A1013" s="6">
        <v>1011</v>
      </c>
      <c r="B1013" s="7">
        <v>99.675247192382813</v>
      </c>
      <c r="C1013" s="3">
        <f t="shared" si="11"/>
        <v>0.26797350282536947</v>
      </c>
    </row>
    <row r="1014" spans="1:3" ht="13.2" x14ac:dyDescent="0.25">
      <c r="A1014" s="6">
        <v>1012</v>
      </c>
      <c r="B1014" s="7">
        <v>99.486297607421875</v>
      </c>
      <c r="C1014" s="3">
        <f t="shared" si="11"/>
        <v>0.29088487658854711</v>
      </c>
    </row>
    <row r="1015" spans="1:3" ht="13.2" x14ac:dyDescent="0.25">
      <c r="A1015" s="6">
        <v>1013</v>
      </c>
      <c r="B1015" s="7">
        <v>99.713035583496094</v>
      </c>
      <c r="C1015" s="3">
        <f t="shared" si="11"/>
        <v>0.29328324162379937</v>
      </c>
    </row>
    <row r="1016" spans="1:3" ht="13.2" x14ac:dyDescent="0.25">
      <c r="A1016" s="6">
        <v>1014</v>
      </c>
      <c r="B1016" s="7">
        <v>99.873649597167969</v>
      </c>
      <c r="C1016" s="3">
        <f t="shared" si="11"/>
        <v>0.32346800458874148</v>
      </c>
    </row>
    <row r="1017" spans="1:3" ht="13.2" x14ac:dyDescent="0.25">
      <c r="A1017" s="6">
        <v>1015</v>
      </c>
      <c r="B1017" s="7">
        <v>98.900520324707031</v>
      </c>
      <c r="C1017" s="3">
        <f t="shared" si="11"/>
        <v>0.32363958091878792</v>
      </c>
    </row>
    <row r="1018" spans="1:3" ht="13.2" x14ac:dyDescent="0.25">
      <c r="A1018" s="6">
        <v>1016</v>
      </c>
      <c r="B1018" s="7">
        <v>92.466506958007813</v>
      </c>
      <c r="C1018" s="3">
        <f t="shared" si="11"/>
        <v>0.21783331713221218</v>
      </c>
    </row>
    <row r="1019" spans="1:3" ht="13.2" x14ac:dyDescent="0.25">
      <c r="A1019" s="6">
        <v>1017</v>
      </c>
      <c r="B1019" s="7">
        <v>89.991165161132813</v>
      </c>
      <c r="C1019" s="3">
        <f t="shared" si="11"/>
        <v>0.18899235908118653</v>
      </c>
    </row>
    <row r="1020" spans="1:3" ht="13.2" x14ac:dyDescent="0.25">
      <c r="A1020" s="6">
        <v>1018</v>
      </c>
      <c r="B1020" s="7">
        <v>92.882209777832031</v>
      </c>
      <c r="C1020" s="3">
        <f t="shared" si="11"/>
        <v>0.2134559070513061</v>
      </c>
    </row>
    <row r="1021" spans="1:3" ht="13.2" x14ac:dyDescent="0.25">
      <c r="A1021" s="6">
        <v>1019</v>
      </c>
      <c r="B1021" s="7">
        <v>93.959274291992188</v>
      </c>
      <c r="C1021" s="3">
        <f t="shared" si="11"/>
        <v>0.21225368762573382</v>
      </c>
    </row>
    <row r="1022" spans="1:3" ht="13.2" x14ac:dyDescent="0.25">
      <c r="A1022" s="6">
        <v>1020</v>
      </c>
      <c r="B1022" s="7">
        <v>90.189567565917969</v>
      </c>
      <c r="C1022" s="3">
        <f t="shared" si="11"/>
        <v>0.17837243177094353</v>
      </c>
    </row>
    <row r="1023" spans="1:3" ht="13.2" x14ac:dyDescent="0.25">
      <c r="A1023" s="6">
        <v>1021</v>
      </c>
      <c r="B1023" s="7">
        <v>90.898162841796875</v>
      </c>
      <c r="C1023" s="3">
        <f t="shared" ref="C1023:C1086" si="12">LN(B1023/B771)</f>
        <v>0.1735386016716666</v>
      </c>
    </row>
    <row r="1024" spans="1:3" ht="13.2" x14ac:dyDescent="0.25">
      <c r="A1024" s="6">
        <v>1022</v>
      </c>
      <c r="B1024" s="7">
        <v>90.652511596679688</v>
      </c>
      <c r="C1024" s="3">
        <f t="shared" si="12"/>
        <v>0.1615003196904925</v>
      </c>
    </row>
    <row r="1025" spans="1:3" ht="13.2" x14ac:dyDescent="0.25">
      <c r="A1025" s="6">
        <v>1023</v>
      </c>
      <c r="B1025" s="7">
        <v>89.405380249023438</v>
      </c>
      <c r="C1025" s="3">
        <f t="shared" si="12"/>
        <v>0.17711934349098771</v>
      </c>
    </row>
    <row r="1026" spans="1:3" ht="13.2" x14ac:dyDescent="0.25">
      <c r="A1026" s="6">
        <v>1024</v>
      </c>
      <c r="B1026" s="7">
        <v>89.197540283203125</v>
      </c>
      <c r="C1026" s="3">
        <f t="shared" si="12"/>
        <v>0.15429631153391182</v>
      </c>
    </row>
    <row r="1027" spans="1:3" ht="13.2" x14ac:dyDescent="0.25">
      <c r="A1027" s="6">
        <v>1025</v>
      </c>
      <c r="B1027" s="7">
        <v>88.385017395019531</v>
      </c>
      <c r="C1027" s="3">
        <f t="shared" si="12"/>
        <v>0.119148351956196</v>
      </c>
    </row>
    <row r="1028" spans="1:3" ht="13.2" x14ac:dyDescent="0.25">
      <c r="A1028" s="6">
        <v>1026</v>
      </c>
      <c r="B1028" s="7">
        <v>88.630653381347656</v>
      </c>
      <c r="C1028" s="3">
        <f t="shared" si="12"/>
        <v>0.12342767188874665</v>
      </c>
    </row>
    <row r="1029" spans="1:3" ht="13.2" x14ac:dyDescent="0.25">
      <c r="A1029" s="6">
        <v>1027</v>
      </c>
      <c r="B1029" s="7">
        <v>92.258651733398438</v>
      </c>
      <c r="C1029" s="3">
        <f t="shared" si="12"/>
        <v>0.1571988536323814</v>
      </c>
    </row>
    <row r="1030" spans="1:3" ht="13.2" x14ac:dyDescent="0.25">
      <c r="A1030" s="6">
        <v>1028</v>
      </c>
      <c r="B1030" s="7">
        <v>90.22735595703125</v>
      </c>
      <c r="C1030" s="3">
        <f t="shared" si="12"/>
        <v>0.15082090361986553</v>
      </c>
    </row>
    <row r="1031" spans="1:3" ht="13.2" x14ac:dyDescent="0.25">
      <c r="A1031" s="6">
        <v>1029</v>
      </c>
      <c r="B1031" s="7">
        <v>94.469459533691406</v>
      </c>
      <c r="C1031" s="3">
        <f t="shared" si="12"/>
        <v>0.20946781775519166</v>
      </c>
    </row>
    <row r="1032" spans="1:3" ht="13.2" x14ac:dyDescent="0.25">
      <c r="A1032" s="6">
        <v>1030</v>
      </c>
      <c r="B1032" s="7">
        <v>91.550064086914063</v>
      </c>
      <c r="C1032" s="3">
        <f t="shared" si="12"/>
        <v>0.18711409546447935</v>
      </c>
    </row>
    <row r="1033" spans="1:3" ht="13.2" x14ac:dyDescent="0.25">
      <c r="A1033" s="6">
        <v>1031</v>
      </c>
      <c r="B1033" s="7">
        <v>90.841461181640625</v>
      </c>
      <c r="C1033" s="3">
        <f t="shared" si="12"/>
        <v>0.18077824909176762</v>
      </c>
    </row>
    <row r="1034" spans="1:3" ht="13.2" x14ac:dyDescent="0.25">
      <c r="A1034" s="6">
        <v>1032</v>
      </c>
      <c r="B1034" s="7">
        <v>89.594345092773438</v>
      </c>
      <c r="C1034" s="3">
        <f t="shared" si="12"/>
        <v>0.1723518597194747</v>
      </c>
    </row>
    <row r="1035" spans="1:3" ht="13.2" x14ac:dyDescent="0.25">
      <c r="A1035" s="6">
        <v>1033</v>
      </c>
      <c r="B1035" s="7">
        <v>91.162696838378906</v>
      </c>
      <c r="C1035" s="3">
        <f t="shared" si="12"/>
        <v>0.17715690697203149</v>
      </c>
    </row>
    <row r="1036" spans="1:3" ht="13.2" x14ac:dyDescent="0.25">
      <c r="A1036" s="6">
        <v>1034</v>
      </c>
      <c r="B1036" s="7">
        <v>90.813133239746094</v>
      </c>
      <c r="C1036" s="3">
        <f t="shared" si="12"/>
        <v>0.17295861663679296</v>
      </c>
    </row>
    <row r="1037" spans="1:3" ht="13.2" x14ac:dyDescent="0.25">
      <c r="A1037" s="6">
        <v>1035</v>
      </c>
      <c r="B1037" s="7">
        <v>93.2601318359375</v>
      </c>
      <c r="C1037" s="3">
        <f t="shared" si="12"/>
        <v>0.20777318591617258</v>
      </c>
    </row>
    <row r="1038" spans="1:3" ht="13.2" x14ac:dyDescent="0.25">
      <c r="A1038" s="6">
        <v>1036</v>
      </c>
      <c r="B1038" s="7">
        <v>95.433143615722656</v>
      </c>
      <c r="C1038" s="3">
        <f t="shared" si="12"/>
        <v>0.24746338030771395</v>
      </c>
    </row>
    <row r="1039" spans="1:3" ht="13.2" x14ac:dyDescent="0.25">
      <c r="A1039" s="6">
        <v>1037</v>
      </c>
      <c r="B1039" s="7">
        <v>96.028358459472656</v>
      </c>
      <c r="C1039" s="3">
        <f t="shared" si="12"/>
        <v>0.2519784483494113</v>
      </c>
    </row>
    <row r="1040" spans="1:3" ht="13.2" x14ac:dyDescent="0.25">
      <c r="A1040" s="6">
        <v>1038</v>
      </c>
      <c r="B1040" s="7">
        <v>100.44051361083984</v>
      </c>
      <c r="C1040" s="3">
        <f t="shared" si="12"/>
        <v>0.26144911510670982</v>
      </c>
    </row>
    <row r="1041" spans="1:3" ht="13.2" x14ac:dyDescent="0.25">
      <c r="A1041" s="6">
        <v>1039</v>
      </c>
      <c r="B1041" s="7">
        <v>100.06261444091797</v>
      </c>
      <c r="C1041" s="3">
        <f t="shared" si="12"/>
        <v>0.26698734947756286</v>
      </c>
    </row>
    <row r="1042" spans="1:3" ht="13.2" x14ac:dyDescent="0.25">
      <c r="A1042" s="6">
        <v>1040</v>
      </c>
      <c r="B1042" s="7">
        <v>100.73341369628906</v>
      </c>
      <c r="C1042" s="3">
        <f t="shared" si="12"/>
        <v>0.28833550494133087</v>
      </c>
    </row>
    <row r="1043" spans="1:3" ht="13.2" x14ac:dyDescent="0.25">
      <c r="A1043" s="6">
        <v>1041</v>
      </c>
      <c r="B1043" s="7">
        <v>102.207275390625</v>
      </c>
      <c r="C1043" s="3">
        <f t="shared" si="12"/>
        <v>0.32570229430695685</v>
      </c>
    </row>
    <row r="1044" spans="1:3" ht="13.2" x14ac:dyDescent="0.25">
      <c r="A1044" s="6">
        <v>1042</v>
      </c>
      <c r="B1044" s="7">
        <v>103.45440673828125</v>
      </c>
      <c r="C1044" s="3">
        <f t="shared" si="12"/>
        <v>0.3143884823855394</v>
      </c>
    </row>
    <row r="1045" spans="1:3" ht="13.2" x14ac:dyDescent="0.25">
      <c r="A1045" s="6">
        <v>1043</v>
      </c>
      <c r="B1045" s="7">
        <v>105.71244812011719</v>
      </c>
      <c r="C1045" s="3">
        <f t="shared" si="12"/>
        <v>0.32428417577478852</v>
      </c>
    </row>
    <row r="1046" spans="1:3" ht="13.2" x14ac:dyDescent="0.25">
      <c r="A1046" s="6">
        <v>1044</v>
      </c>
      <c r="B1046" s="7">
        <v>105.46680450439453</v>
      </c>
      <c r="C1046" s="3">
        <f t="shared" si="12"/>
        <v>0.3148638433580036</v>
      </c>
    </row>
    <row r="1047" spans="1:3" ht="13.2" x14ac:dyDescent="0.25">
      <c r="A1047" s="6">
        <v>1045</v>
      </c>
      <c r="B1047" s="7">
        <v>105.41011810302734</v>
      </c>
      <c r="C1047" s="3">
        <f t="shared" si="12"/>
        <v>0.3105633563397236</v>
      </c>
    </row>
    <row r="1048" spans="1:3" ht="13.2" x14ac:dyDescent="0.25">
      <c r="A1048" s="6">
        <v>1046</v>
      </c>
      <c r="B1048" s="7">
        <v>103.62445831298828</v>
      </c>
      <c r="C1048" s="3">
        <f t="shared" si="12"/>
        <v>0.28576138657458389</v>
      </c>
    </row>
    <row r="1049" spans="1:3" ht="13.2" x14ac:dyDescent="0.25">
      <c r="A1049" s="6">
        <v>1047</v>
      </c>
      <c r="B1049" s="7">
        <v>100.33659362792969</v>
      </c>
      <c r="C1049" s="3">
        <f t="shared" si="12"/>
        <v>0.25421750020629313</v>
      </c>
    </row>
    <row r="1050" spans="1:3" ht="13.2" x14ac:dyDescent="0.25">
      <c r="A1050" s="6">
        <v>1048</v>
      </c>
      <c r="B1050" s="7">
        <v>99.864204406738281</v>
      </c>
      <c r="C1050" s="3">
        <f t="shared" si="12"/>
        <v>0.25863086486031028</v>
      </c>
    </row>
    <row r="1051" spans="1:3" ht="13.2" x14ac:dyDescent="0.25">
      <c r="A1051" s="6">
        <v>1049</v>
      </c>
      <c r="B1051" s="7">
        <v>96.122833251953125</v>
      </c>
      <c r="C1051" s="3">
        <f t="shared" si="12"/>
        <v>0.21481651108120975</v>
      </c>
    </row>
    <row r="1052" spans="1:3" ht="13.2" x14ac:dyDescent="0.25">
      <c r="A1052" s="6">
        <v>1050</v>
      </c>
      <c r="B1052" s="7">
        <v>97.549468994140625</v>
      </c>
      <c r="C1052" s="3">
        <f t="shared" si="12"/>
        <v>0.24356516589860852</v>
      </c>
    </row>
    <row r="1053" spans="1:3" ht="13.2" x14ac:dyDescent="0.25">
      <c r="A1053" s="6">
        <v>1051</v>
      </c>
      <c r="B1053" s="7">
        <v>98.154144287109375</v>
      </c>
      <c r="C1053" s="3">
        <f t="shared" si="12"/>
        <v>0.24974468611318706</v>
      </c>
    </row>
    <row r="1054" spans="1:3" ht="13.2" x14ac:dyDescent="0.25">
      <c r="A1054" s="6">
        <v>1052</v>
      </c>
      <c r="B1054" s="7">
        <v>96.60467529296875</v>
      </c>
      <c r="C1054" s="3">
        <f t="shared" si="12"/>
        <v>0.21864796611718232</v>
      </c>
    </row>
    <row r="1055" spans="1:3" ht="13.2" x14ac:dyDescent="0.25">
      <c r="A1055" s="6">
        <v>1053</v>
      </c>
      <c r="B1055" s="7">
        <v>97.540023803710938</v>
      </c>
      <c r="C1055" s="3">
        <f t="shared" si="12"/>
        <v>0.22420326379158548</v>
      </c>
    </row>
    <row r="1056" spans="1:3" ht="13.2" x14ac:dyDescent="0.25">
      <c r="A1056" s="6">
        <v>1054</v>
      </c>
      <c r="B1056" s="7">
        <v>96.151176452636719</v>
      </c>
      <c r="C1056" s="3">
        <f t="shared" si="12"/>
        <v>0.16492989780781073</v>
      </c>
    </row>
    <row r="1057" spans="1:3" ht="13.2" x14ac:dyDescent="0.25">
      <c r="A1057" s="6">
        <v>1055</v>
      </c>
      <c r="B1057" s="7">
        <v>97.549468994140625</v>
      </c>
      <c r="C1057" s="3">
        <f t="shared" si="12"/>
        <v>0.20095616983769776</v>
      </c>
    </row>
    <row r="1058" spans="1:3" ht="13.2" x14ac:dyDescent="0.25">
      <c r="A1058" s="6">
        <v>1056</v>
      </c>
      <c r="B1058" s="7">
        <v>96.878669738769531</v>
      </c>
      <c r="C1058" s="3">
        <f t="shared" si="12"/>
        <v>0.19382865635106195</v>
      </c>
    </row>
    <row r="1059" spans="1:3" ht="13.2" x14ac:dyDescent="0.25">
      <c r="A1059" s="6">
        <v>1057</v>
      </c>
      <c r="B1059" s="7">
        <v>97.303825378417969</v>
      </c>
      <c r="C1059" s="3">
        <f t="shared" si="12"/>
        <v>0.21551565122558713</v>
      </c>
    </row>
    <row r="1060" spans="1:3" ht="13.2" x14ac:dyDescent="0.25">
      <c r="A1060" s="6">
        <v>1058</v>
      </c>
      <c r="B1060" s="7">
        <v>98.9949951171875</v>
      </c>
      <c r="C1060" s="3">
        <f t="shared" si="12"/>
        <v>0.22560367244665458</v>
      </c>
    </row>
    <row r="1061" spans="1:3" ht="13.2" x14ac:dyDescent="0.25">
      <c r="A1061" s="6">
        <v>1059</v>
      </c>
      <c r="B1061" s="7">
        <v>95.196945190429688</v>
      </c>
      <c r="C1061" s="3">
        <f t="shared" si="12"/>
        <v>0.20736231704898225</v>
      </c>
    </row>
    <row r="1062" spans="1:3" ht="13.2" x14ac:dyDescent="0.25">
      <c r="A1062" s="6">
        <v>1060</v>
      </c>
      <c r="B1062" s="7">
        <v>95.537071228027344</v>
      </c>
      <c r="C1062" s="3">
        <f t="shared" si="12"/>
        <v>0.23609325149685073</v>
      </c>
    </row>
    <row r="1063" spans="1:3" ht="13.2" x14ac:dyDescent="0.25">
      <c r="A1063" s="6">
        <v>1061</v>
      </c>
      <c r="B1063" s="7">
        <v>95.584304809570313</v>
      </c>
      <c r="C1063" s="3">
        <f t="shared" si="12"/>
        <v>0.1990743323734081</v>
      </c>
    </row>
    <row r="1064" spans="1:3" ht="13.2" x14ac:dyDescent="0.25">
      <c r="A1064" s="6">
        <v>1062</v>
      </c>
      <c r="B1064" s="7">
        <v>95.017440795898438</v>
      </c>
      <c r="C1064" s="3">
        <f t="shared" si="12"/>
        <v>0.20512334277726246</v>
      </c>
    </row>
    <row r="1065" spans="1:3" ht="13.2" x14ac:dyDescent="0.25">
      <c r="A1065" s="6">
        <v>1063</v>
      </c>
      <c r="B1065" s="7">
        <v>97.284927368164063</v>
      </c>
      <c r="C1065" s="3">
        <f t="shared" si="12"/>
        <v>0.2308182072137881</v>
      </c>
    </row>
    <row r="1066" spans="1:3" ht="13.2" x14ac:dyDescent="0.25">
      <c r="A1066" s="6">
        <v>1064</v>
      </c>
      <c r="B1066" s="7">
        <v>98.947761535644531</v>
      </c>
      <c r="C1066" s="3">
        <f t="shared" si="12"/>
        <v>0.25554669205318814</v>
      </c>
    </row>
    <row r="1067" spans="1:3" ht="13.2" x14ac:dyDescent="0.25">
      <c r="A1067" s="6">
        <v>1065</v>
      </c>
      <c r="B1067" s="7">
        <v>99.287879943847656</v>
      </c>
      <c r="C1067" s="3">
        <f t="shared" si="12"/>
        <v>0.24406033484280043</v>
      </c>
    </row>
    <row r="1068" spans="1:3" ht="13.2" x14ac:dyDescent="0.25">
      <c r="A1068" s="6">
        <v>1066</v>
      </c>
      <c r="B1068" s="7">
        <v>100.20432281494141</v>
      </c>
      <c r="C1068" s="3">
        <f t="shared" si="12"/>
        <v>0.27219753644791783</v>
      </c>
    </row>
    <row r="1069" spans="1:3" ht="13.2" x14ac:dyDescent="0.25">
      <c r="A1069" s="6">
        <v>1067</v>
      </c>
      <c r="B1069" s="7">
        <v>101.27194213867188</v>
      </c>
      <c r="C1069" s="3">
        <f t="shared" si="12"/>
        <v>0.30029595218323529</v>
      </c>
    </row>
    <row r="1070" spans="1:3" ht="13.2" x14ac:dyDescent="0.25">
      <c r="A1070" s="6">
        <v>1068</v>
      </c>
      <c r="B1070" s="7">
        <v>99.646903991699219</v>
      </c>
      <c r="C1070" s="3">
        <f t="shared" si="12"/>
        <v>0.31170324006246808</v>
      </c>
    </row>
    <row r="1071" spans="1:3" ht="13.2" x14ac:dyDescent="0.25">
      <c r="A1071" s="6">
        <v>1069</v>
      </c>
      <c r="B1071" s="7">
        <v>102.78359985351563</v>
      </c>
      <c r="C1071" s="3">
        <f t="shared" si="12"/>
        <v>0.35068317678635563</v>
      </c>
    </row>
    <row r="1072" spans="1:3" ht="13.2" x14ac:dyDescent="0.25">
      <c r="A1072" s="6">
        <v>1070</v>
      </c>
      <c r="B1072" s="7">
        <v>102.02776336669922</v>
      </c>
      <c r="C1072" s="3">
        <f t="shared" si="12"/>
        <v>0.32998448814651599</v>
      </c>
    </row>
    <row r="1073" spans="1:3" ht="13.2" x14ac:dyDescent="0.25">
      <c r="A1073" s="6">
        <v>1071</v>
      </c>
      <c r="B1073" s="7">
        <v>100.57279968261719</v>
      </c>
      <c r="C1073" s="3">
        <f t="shared" si="12"/>
        <v>0.31401525608085984</v>
      </c>
    </row>
    <row r="1074" spans="1:3" ht="13.2" x14ac:dyDescent="0.25">
      <c r="A1074" s="6">
        <v>1072</v>
      </c>
      <c r="B1074" s="7">
        <v>97.795120239257813</v>
      </c>
      <c r="C1074" s="3">
        <f t="shared" si="12"/>
        <v>0.27875164680779241</v>
      </c>
    </row>
    <row r="1075" spans="1:3" ht="13.2" x14ac:dyDescent="0.25">
      <c r="A1075" s="6">
        <v>1073</v>
      </c>
      <c r="B1075" s="7">
        <v>100.14763641357422</v>
      </c>
      <c r="C1075" s="3">
        <f t="shared" si="12"/>
        <v>0.29616979269247773</v>
      </c>
    </row>
    <row r="1076" spans="1:3" ht="13.2" x14ac:dyDescent="0.25">
      <c r="A1076" s="6">
        <v>1074</v>
      </c>
      <c r="B1076" s="7">
        <v>98.361991882324219</v>
      </c>
      <c r="C1076" s="3">
        <f t="shared" si="12"/>
        <v>0.26019737644174257</v>
      </c>
    </row>
    <row r="1077" spans="1:3" ht="13.2" x14ac:dyDescent="0.25">
      <c r="A1077" s="6">
        <v>1075</v>
      </c>
      <c r="B1077" s="7">
        <v>100.59169006347656</v>
      </c>
      <c r="C1077" s="3">
        <f t="shared" si="12"/>
        <v>0.27380095039447905</v>
      </c>
    </row>
    <row r="1078" spans="1:3" ht="13.2" x14ac:dyDescent="0.25">
      <c r="A1078" s="6">
        <v>1076</v>
      </c>
      <c r="B1078" s="7">
        <v>99.22174072265625</v>
      </c>
      <c r="C1078" s="3">
        <f t="shared" si="12"/>
        <v>0.28235727847117037</v>
      </c>
    </row>
    <row r="1079" spans="1:3" ht="13.2" x14ac:dyDescent="0.25">
      <c r="A1079" s="6">
        <v>1077</v>
      </c>
      <c r="B1079" s="7">
        <v>97.683059692382813</v>
      </c>
      <c r="C1079" s="3">
        <f t="shared" si="12"/>
        <v>0.26807540831565457</v>
      </c>
    </row>
    <row r="1080" spans="1:3" ht="13.2" x14ac:dyDescent="0.25">
      <c r="A1080" s="6">
        <v>1078</v>
      </c>
      <c r="B1080" s="7">
        <v>94.901939392089844</v>
      </c>
      <c r="C1080" s="3">
        <f t="shared" si="12"/>
        <v>0.23552165047468376</v>
      </c>
    </row>
    <row r="1081" spans="1:3" ht="13.2" x14ac:dyDescent="0.25">
      <c r="A1081" s="6">
        <v>1079</v>
      </c>
      <c r="B1081" s="7">
        <v>97.1383056640625</v>
      </c>
      <c r="C1081" s="3">
        <f t="shared" si="12"/>
        <v>0.22236713563294655</v>
      </c>
    </row>
    <row r="1082" spans="1:3" ht="13.2" x14ac:dyDescent="0.25">
      <c r="A1082" s="6">
        <v>1080</v>
      </c>
      <c r="B1082" s="7">
        <v>96.670005798339844</v>
      </c>
      <c r="C1082" s="3">
        <f t="shared" si="12"/>
        <v>0.2416033499271604</v>
      </c>
    </row>
    <row r="1083" spans="1:3" ht="13.2" x14ac:dyDescent="0.25">
      <c r="A1083" s="6">
        <v>1081</v>
      </c>
      <c r="B1083" s="7">
        <v>98.743896484375</v>
      </c>
      <c r="C1083" s="3">
        <f t="shared" si="12"/>
        <v>0.28010319934319344</v>
      </c>
    </row>
    <row r="1084" spans="1:3" ht="13.2" x14ac:dyDescent="0.25">
      <c r="A1084" s="6">
        <v>1082</v>
      </c>
      <c r="B1084" s="7">
        <v>95.94366455078125</v>
      </c>
      <c r="C1084" s="3">
        <f t="shared" si="12"/>
        <v>0.23780702266410247</v>
      </c>
    </row>
    <row r="1085" spans="1:3" ht="13.2" x14ac:dyDescent="0.25">
      <c r="A1085" s="6">
        <v>1083</v>
      </c>
      <c r="B1085" s="7">
        <v>96.507537841796875</v>
      </c>
      <c r="C1085" s="3">
        <f t="shared" si="12"/>
        <v>0.24499939029009779</v>
      </c>
    </row>
    <row r="1086" spans="1:3" ht="13.2" x14ac:dyDescent="0.25">
      <c r="A1086" s="6">
        <v>1084</v>
      </c>
      <c r="B1086" s="7">
        <v>96.144363403320313</v>
      </c>
      <c r="C1086" s="3">
        <f t="shared" si="12"/>
        <v>0.25195295188113942</v>
      </c>
    </row>
    <row r="1087" spans="1:3" ht="13.2" x14ac:dyDescent="0.25">
      <c r="A1087" s="6">
        <v>1085</v>
      </c>
      <c r="B1087" s="7">
        <v>94.854156494140625</v>
      </c>
      <c r="C1087" s="3">
        <f t="shared" ref="C1087:C1150" si="13">LN(B1087/B835)</f>
        <v>0.218428568002279</v>
      </c>
    </row>
    <row r="1088" spans="1:3" ht="13.2" x14ac:dyDescent="0.25">
      <c r="A1088" s="6">
        <v>1086</v>
      </c>
      <c r="B1088" s="7">
        <v>95.542266845703125</v>
      </c>
      <c r="C1088" s="3">
        <f t="shared" si="13"/>
        <v>0.23434117750076783</v>
      </c>
    </row>
    <row r="1089" spans="1:3" ht="13.2" x14ac:dyDescent="0.25">
      <c r="A1089" s="6">
        <v>1087</v>
      </c>
      <c r="B1089" s="7">
        <v>96.087013244628906</v>
      </c>
      <c r="C1089" s="3">
        <f t="shared" si="13"/>
        <v>0.23942104850106058</v>
      </c>
    </row>
    <row r="1090" spans="1:3" ht="13.2" x14ac:dyDescent="0.25">
      <c r="A1090" s="6">
        <v>1088</v>
      </c>
      <c r="B1090" s="7">
        <v>96.316390991210938</v>
      </c>
      <c r="C1090" s="3">
        <f t="shared" si="13"/>
        <v>0.24035367439233696</v>
      </c>
    </row>
    <row r="1091" spans="1:3" ht="13.2" x14ac:dyDescent="0.25">
      <c r="A1091" s="6">
        <v>1089</v>
      </c>
      <c r="B1091" s="7">
        <v>98.256477355957031</v>
      </c>
      <c r="C1091" s="3">
        <f t="shared" si="13"/>
        <v>0.27785760524861525</v>
      </c>
    </row>
    <row r="1092" spans="1:3" ht="13.2" x14ac:dyDescent="0.25">
      <c r="A1092" s="6">
        <v>1090</v>
      </c>
      <c r="B1092" s="7">
        <v>98.590980529785156</v>
      </c>
      <c r="C1092" s="3">
        <f t="shared" si="13"/>
        <v>0.27646942528800411</v>
      </c>
    </row>
    <row r="1093" spans="1:3" ht="13.2" x14ac:dyDescent="0.25">
      <c r="A1093" s="6">
        <v>1091</v>
      </c>
      <c r="B1093" s="7">
        <v>98.629203796386719</v>
      </c>
      <c r="C1093" s="3">
        <f t="shared" si="13"/>
        <v>0.2833680328478777</v>
      </c>
    </row>
    <row r="1094" spans="1:3" ht="13.2" x14ac:dyDescent="0.25">
      <c r="A1094" s="6">
        <v>1092</v>
      </c>
      <c r="B1094" s="7">
        <v>99.871627807617188</v>
      </c>
      <c r="C1094" s="3">
        <f t="shared" si="13"/>
        <v>0.30417774890251154</v>
      </c>
    </row>
    <row r="1095" spans="1:3" ht="13.2" x14ac:dyDescent="0.25">
      <c r="A1095" s="6">
        <v>1093</v>
      </c>
      <c r="B1095" s="7">
        <v>101.3338623046875</v>
      </c>
      <c r="C1095" s="3">
        <f t="shared" si="13"/>
        <v>0.3198318132697584</v>
      </c>
    </row>
    <row r="1096" spans="1:3" ht="13.2" x14ac:dyDescent="0.25">
      <c r="A1096" s="6">
        <v>1094</v>
      </c>
      <c r="B1096" s="7">
        <v>98.199142456054688</v>
      </c>
      <c r="C1096" s="3">
        <f t="shared" si="13"/>
        <v>0.25910852711326415</v>
      </c>
    </row>
    <row r="1097" spans="1:3" ht="13.2" x14ac:dyDescent="0.25">
      <c r="A1097" s="6">
        <v>1095</v>
      </c>
      <c r="B1097" s="7">
        <v>100.25390625</v>
      </c>
      <c r="C1097" s="3">
        <f t="shared" si="13"/>
        <v>0.25924928828614113</v>
      </c>
    </row>
    <row r="1098" spans="1:3" ht="13.2" x14ac:dyDescent="0.25">
      <c r="A1098" s="6">
        <v>1096</v>
      </c>
      <c r="B1098" s="7">
        <v>104.84132385253906</v>
      </c>
      <c r="C1098" s="3">
        <f t="shared" si="13"/>
        <v>0.32649383677959348</v>
      </c>
    </row>
    <row r="1099" spans="1:3" ht="13.2" x14ac:dyDescent="0.25">
      <c r="A1099" s="6">
        <v>1097</v>
      </c>
      <c r="B1099" s="7">
        <v>102.92990112304688</v>
      </c>
      <c r="C1099" s="3">
        <f t="shared" si="13"/>
        <v>0.32395571940251561</v>
      </c>
    </row>
    <row r="1100" spans="1:3" ht="13.2" x14ac:dyDescent="0.25">
      <c r="A1100" s="6">
        <v>1098</v>
      </c>
      <c r="B1100" s="7">
        <v>107.6893310546875</v>
      </c>
      <c r="C1100" s="3">
        <f t="shared" si="13"/>
        <v>0.36559777292502993</v>
      </c>
    </row>
    <row r="1101" spans="1:3" ht="13.2" x14ac:dyDescent="0.25">
      <c r="A1101" s="6">
        <v>1099</v>
      </c>
      <c r="B1101" s="7">
        <v>106.46602630615234</v>
      </c>
      <c r="C1101" s="3">
        <f t="shared" si="13"/>
        <v>0.36911261766045428</v>
      </c>
    </row>
    <row r="1102" spans="1:3" ht="13.2" x14ac:dyDescent="0.25">
      <c r="A1102" s="6">
        <v>1100</v>
      </c>
      <c r="B1102" s="7">
        <v>105.12802886962891</v>
      </c>
      <c r="C1102" s="3">
        <f t="shared" si="13"/>
        <v>0.33785643885766514</v>
      </c>
    </row>
    <row r="1103" spans="1:3" ht="13.2" x14ac:dyDescent="0.25">
      <c r="A1103" s="6">
        <v>1101</v>
      </c>
      <c r="B1103" s="7">
        <v>107.03945159912109</v>
      </c>
      <c r="C1103" s="3">
        <f t="shared" si="13"/>
        <v>0.35063841687919217</v>
      </c>
    </row>
    <row r="1104" spans="1:3" ht="13.2" x14ac:dyDescent="0.25">
      <c r="A1104" s="6">
        <v>1102</v>
      </c>
      <c r="B1104" s="7">
        <v>102.92990112304688</v>
      </c>
      <c r="C1104" s="3">
        <f t="shared" si="13"/>
        <v>0.31112483651285183</v>
      </c>
    </row>
    <row r="1105" spans="1:3" ht="13.2" x14ac:dyDescent="0.25">
      <c r="A1105" s="6">
        <v>1103</v>
      </c>
      <c r="B1105" s="7">
        <v>105.07070159912109</v>
      </c>
      <c r="C1105" s="3">
        <f t="shared" si="13"/>
        <v>0.31892181596245756</v>
      </c>
    </row>
    <row r="1106" spans="1:3" ht="13.2" x14ac:dyDescent="0.25">
      <c r="A1106" s="6">
        <v>1104</v>
      </c>
      <c r="B1106" s="7">
        <v>105.02290344238281</v>
      </c>
      <c r="C1106" s="3">
        <f t="shared" si="13"/>
        <v>0.35720823854695399</v>
      </c>
    </row>
    <row r="1107" spans="1:3" ht="13.2" x14ac:dyDescent="0.25">
      <c r="A1107" s="6">
        <v>1105</v>
      </c>
      <c r="B1107" s="7">
        <v>102.2513427734375</v>
      </c>
      <c r="C1107" s="3">
        <f t="shared" si="13"/>
        <v>0.33121149179354958</v>
      </c>
    </row>
    <row r="1108" spans="1:3" ht="13.2" x14ac:dyDescent="0.25">
      <c r="A1108" s="6">
        <v>1106</v>
      </c>
      <c r="B1108" s="7">
        <v>102.52849578857422</v>
      </c>
      <c r="C1108" s="3">
        <f t="shared" si="13"/>
        <v>0.36494753354675163</v>
      </c>
    </row>
    <row r="1109" spans="1:3" ht="13.2" x14ac:dyDescent="0.25">
      <c r="A1109" s="6">
        <v>1107</v>
      </c>
      <c r="B1109" s="7">
        <v>104.32523345947266</v>
      </c>
      <c r="C1109" s="3">
        <f t="shared" si="13"/>
        <v>0.36308235347098072</v>
      </c>
    </row>
    <row r="1110" spans="1:3" ht="13.2" x14ac:dyDescent="0.25">
      <c r="A1110" s="6">
        <v>1108</v>
      </c>
      <c r="B1110" s="7">
        <v>107.77533721923828</v>
      </c>
      <c r="C1110" s="3">
        <f t="shared" si="13"/>
        <v>0.42195528353280415</v>
      </c>
    </row>
    <row r="1111" spans="1:3" ht="13.2" x14ac:dyDescent="0.25">
      <c r="A1111" s="6">
        <v>1109</v>
      </c>
      <c r="B1111" s="7">
        <v>105.29049682617188</v>
      </c>
      <c r="C1111" s="3">
        <f t="shared" si="13"/>
        <v>0.38167366587485524</v>
      </c>
    </row>
    <row r="1112" spans="1:3" ht="13.2" x14ac:dyDescent="0.25">
      <c r="A1112" s="6">
        <v>1110</v>
      </c>
      <c r="B1112" s="7">
        <v>104.94643402099609</v>
      </c>
      <c r="C1112" s="3">
        <f t="shared" si="13"/>
        <v>0.37980253483383375</v>
      </c>
    </row>
    <row r="1113" spans="1:3" ht="13.2" x14ac:dyDescent="0.25">
      <c r="A1113" s="6">
        <v>1111</v>
      </c>
      <c r="B1113" s="7">
        <v>104.43992614746094</v>
      </c>
      <c r="C1113" s="3">
        <f t="shared" si="13"/>
        <v>0.39597466751883248</v>
      </c>
    </row>
    <row r="1114" spans="1:3" ht="13.2" x14ac:dyDescent="0.25">
      <c r="A1114" s="6">
        <v>1112</v>
      </c>
      <c r="B1114" s="7">
        <v>104.28701019287109</v>
      </c>
      <c r="C1114" s="3">
        <f t="shared" si="13"/>
        <v>0.39255750515639332</v>
      </c>
    </row>
    <row r="1115" spans="1:3" ht="13.2" x14ac:dyDescent="0.25">
      <c r="A1115" s="6">
        <v>1113</v>
      </c>
      <c r="B1115" s="7">
        <v>105.31916809082031</v>
      </c>
      <c r="C1115" s="3">
        <f t="shared" si="13"/>
        <v>0.3972193704140603</v>
      </c>
    </row>
    <row r="1116" spans="1:3" ht="13.2" x14ac:dyDescent="0.25">
      <c r="A1116" s="6">
        <v>1114</v>
      </c>
      <c r="B1116" s="7">
        <v>107.36439514160156</v>
      </c>
      <c r="C1116" s="3">
        <f t="shared" si="13"/>
        <v>0.41930191148271023</v>
      </c>
    </row>
    <row r="1117" spans="1:3" ht="13.2" x14ac:dyDescent="0.25">
      <c r="A1117" s="6">
        <v>1115</v>
      </c>
      <c r="B1117" s="7">
        <v>105.52943420410156</v>
      </c>
      <c r="C1117" s="3">
        <f t="shared" si="13"/>
        <v>0.41314907659953276</v>
      </c>
    </row>
    <row r="1118" spans="1:3" ht="13.2" x14ac:dyDescent="0.25">
      <c r="A1118" s="6">
        <v>1116</v>
      </c>
      <c r="B1118" s="7">
        <v>105.31916809082031</v>
      </c>
      <c r="C1118" s="3">
        <f t="shared" si="13"/>
        <v>0.41430707753968854</v>
      </c>
    </row>
    <row r="1119" spans="1:3" ht="13.2" x14ac:dyDescent="0.25">
      <c r="A1119" s="6">
        <v>1117</v>
      </c>
      <c r="B1119" s="7">
        <v>104.20099639892578</v>
      </c>
      <c r="C1119" s="3">
        <f t="shared" si="13"/>
        <v>0.42235781703243436</v>
      </c>
    </row>
    <row r="1120" spans="1:3" ht="13.2" x14ac:dyDescent="0.25">
      <c r="A1120" s="6">
        <v>1118</v>
      </c>
      <c r="B1120" s="7">
        <v>105.11846923828125</v>
      </c>
      <c r="C1120" s="3">
        <f t="shared" si="13"/>
        <v>0.42924901354283901</v>
      </c>
    </row>
    <row r="1121" spans="1:3" ht="13.2" x14ac:dyDescent="0.25">
      <c r="A1121" s="6">
        <v>1119</v>
      </c>
      <c r="B1121" s="7">
        <v>103.97162628173828</v>
      </c>
      <c r="C1121" s="3">
        <f t="shared" si="13"/>
        <v>0.41707570315622916</v>
      </c>
    </row>
    <row r="1122" spans="1:3" ht="13.2" x14ac:dyDescent="0.25">
      <c r="A1122" s="6">
        <v>1120</v>
      </c>
      <c r="B1122" s="7">
        <v>101.20006561279297</v>
      </c>
      <c r="C1122" s="3">
        <f t="shared" si="13"/>
        <v>0.36394106722993436</v>
      </c>
    </row>
    <row r="1123" spans="1:3" ht="13.2" x14ac:dyDescent="0.25">
      <c r="A1123" s="6">
        <v>1121</v>
      </c>
      <c r="B1123" s="7">
        <v>102.81521606445313</v>
      </c>
      <c r="C1123" s="3">
        <f t="shared" si="13"/>
        <v>0.37057396713805135</v>
      </c>
    </row>
    <row r="1124" spans="1:3" ht="13.2" x14ac:dyDescent="0.25">
      <c r="A1124" s="6">
        <v>1122</v>
      </c>
      <c r="B1124" s="7">
        <v>100.33992767333984</v>
      </c>
      <c r="C1124" s="3">
        <f t="shared" si="13"/>
        <v>0.36469207859416741</v>
      </c>
    </row>
    <row r="1125" spans="1:3" ht="13.2" x14ac:dyDescent="0.25">
      <c r="A1125" s="6">
        <v>1123</v>
      </c>
      <c r="B1125" s="7">
        <v>99.890739440917969</v>
      </c>
      <c r="C1125" s="3">
        <f t="shared" si="13"/>
        <v>0.36573959876704643</v>
      </c>
    </row>
    <row r="1126" spans="1:3" ht="13.2" x14ac:dyDescent="0.25">
      <c r="A1126" s="6">
        <v>1124</v>
      </c>
      <c r="B1126" s="7">
        <v>101.60146331787109</v>
      </c>
      <c r="C1126" s="3">
        <f t="shared" si="13"/>
        <v>0.39348113172429983</v>
      </c>
    </row>
    <row r="1127" spans="1:3" ht="13.2" x14ac:dyDescent="0.25">
      <c r="A1127" s="6">
        <v>1125</v>
      </c>
      <c r="B1127" s="7">
        <v>103.66579437255859</v>
      </c>
      <c r="C1127" s="3">
        <f t="shared" si="13"/>
        <v>0.43315245178754985</v>
      </c>
    </row>
    <row r="1128" spans="1:3" ht="13.2" x14ac:dyDescent="0.25">
      <c r="A1128" s="6">
        <v>1126</v>
      </c>
      <c r="B1128" s="7">
        <v>102.19400024414063</v>
      </c>
      <c r="C1128" s="3">
        <f t="shared" si="13"/>
        <v>0.39636205437024813</v>
      </c>
    </row>
    <row r="1129" spans="1:3" ht="13.2" x14ac:dyDescent="0.25">
      <c r="A1129" s="6">
        <v>1127</v>
      </c>
      <c r="B1129" s="7">
        <v>104.73619079589844</v>
      </c>
      <c r="C1129" s="3">
        <f t="shared" si="13"/>
        <v>0.40665364349127325</v>
      </c>
    </row>
    <row r="1130" spans="1:3" ht="13.2" x14ac:dyDescent="0.25">
      <c r="A1130" s="6">
        <v>1128</v>
      </c>
      <c r="B1130" s="7">
        <v>101.7926025390625</v>
      </c>
      <c r="C1130" s="3">
        <f t="shared" si="13"/>
        <v>0.38698124225694042</v>
      </c>
    </row>
    <row r="1131" spans="1:3" ht="13.2" x14ac:dyDescent="0.25">
      <c r="A1131" s="6">
        <v>1129</v>
      </c>
      <c r="B1131" s="7">
        <v>101.18095397949219</v>
      </c>
      <c r="C1131" s="3">
        <f t="shared" si="13"/>
        <v>0.38826586686887604</v>
      </c>
    </row>
    <row r="1132" spans="1:3" ht="13.2" x14ac:dyDescent="0.25">
      <c r="A1132" s="6">
        <v>1130</v>
      </c>
      <c r="B1132" s="7">
        <v>98.92547607421875</v>
      </c>
      <c r="C1132" s="3">
        <f t="shared" si="13"/>
        <v>0.36039940305053975</v>
      </c>
    </row>
    <row r="1133" spans="1:3" ht="13.2" x14ac:dyDescent="0.25">
      <c r="A1133" s="6">
        <v>1131</v>
      </c>
      <c r="B1133" s="7">
        <v>97.855079650878906</v>
      </c>
      <c r="C1133" s="3">
        <f t="shared" si="13"/>
        <v>0.37519538750076686</v>
      </c>
    </row>
    <row r="1134" spans="1:3" ht="13.2" x14ac:dyDescent="0.25">
      <c r="A1134" s="6">
        <v>1132</v>
      </c>
      <c r="B1134" s="7">
        <v>98.180030822753906</v>
      </c>
      <c r="C1134" s="3">
        <f t="shared" si="13"/>
        <v>0.37905527932641903</v>
      </c>
    </row>
    <row r="1135" spans="1:3" ht="13.2" x14ac:dyDescent="0.25">
      <c r="A1135" s="6">
        <v>1133</v>
      </c>
      <c r="B1135" s="7">
        <v>97.472801208496094</v>
      </c>
      <c r="C1135" s="3">
        <f t="shared" si="13"/>
        <v>0.33570175747668052</v>
      </c>
    </row>
    <row r="1136" spans="1:3" ht="13.2" x14ac:dyDescent="0.25">
      <c r="A1136" s="6">
        <v>1134</v>
      </c>
      <c r="B1136" s="7">
        <v>98.915924072265625</v>
      </c>
      <c r="C1136" s="3">
        <f t="shared" si="13"/>
        <v>0.32894806635671764</v>
      </c>
    </row>
    <row r="1137" spans="1:3" ht="13.2" x14ac:dyDescent="0.25">
      <c r="A1137" s="6">
        <v>1135</v>
      </c>
      <c r="B1137" s="7">
        <v>100.21568298339844</v>
      </c>
      <c r="C1137" s="3">
        <f t="shared" si="13"/>
        <v>0.34625602316187698</v>
      </c>
    </row>
    <row r="1138" spans="1:3" ht="13.2" x14ac:dyDescent="0.25">
      <c r="A1138" s="6">
        <v>1136</v>
      </c>
      <c r="B1138" s="7">
        <v>99.231300354003906</v>
      </c>
      <c r="C1138" s="3">
        <f t="shared" si="13"/>
        <v>0.32648823300633051</v>
      </c>
    </row>
    <row r="1139" spans="1:3" ht="13.2" x14ac:dyDescent="0.25">
      <c r="A1139" s="6">
        <v>1137</v>
      </c>
      <c r="B1139" s="7">
        <v>97.788177490234375</v>
      </c>
      <c r="C1139" s="3">
        <f t="shared" si="13"/>
        <v>0.31158279804762967</v>
      </c>
    </row>
    <row r="1140" spans="1:3" ht="13.2" x14ac:dyDescent="0.25">
      <c r="A1140" s="6">
        <v>1138</v>
      </c>
      <c r="B1140" s="7">
        <v>96.810501098632813</v>
      </c>
      <c r="C1140" s="3">
        <f t="shared" si="13"/>
        <v>0.29859790398727526</v>
      </c>
    </row>
    <row r="1141" spans="1:3" ht="13.2" x14ac:dyDescent="0.25">
      <c r="A1141" s="6">
        <v>1139</v>
      </c>
      <c r="B1141" s="7">
        <v>96.800819396972656</v>
      </c>
      <c r="C1141" s="3">
        <f t="shared" si="13"/>
        <v>0.29875627690303741</v>
      </c>
    </row>
    <row r="1142" spans="1:3" ht="13.2" x14ac:dyDescent="0.25">
      <c r="A1142" s="6">
        <v>1140</v>
      </c>
      <c r="B1142" s="7">
        <v>96.510414123535156</v>
      </c>
      <c r="C1142" s="3">
        <f t="shared" si="13"/>
        <v>0.29743222960431687</v>
      </c>
    </row>
    <row r="1143" spans="1:3" ht="13.2" x14ac:dyDescent="0.25">
      <c r="A1143" s="6">
        <v>1141</v>
      </c>
      <c r="B1143" s="7">
        <v>96.907302856445313</v>
      </c>
      <c r="C1143" s="3">
        <f t="shared" si="13"/>
        <v>0.34774199436737041</v>
      </c>
    </row>
    <row r="1144" spans="1:3" ht="13.2" x14ac:dyDescent="0.25">
      <c r="A1144" s="6">
        <v>1142</v>
      </c>
      <c r="B1144" s="7">
        <v>95.687606811523438</v>
      </c>
      <c r="C1144" s="3">
        <f t="shared" si="13"/>
        <v>0.34871866297290111</v>
      </c>
    </row>
    <row r="1145" spans="1:3" ht="13.2" x14ac:dyDescent="0.25">
      <c r="A1145" s="6">
        <v>1143</v>
      </c>
      <c r="B1145" s="7">
        <v>98.417388916015625</v>
      </c>
      <c r="C1145" s="3">
        <f t="shared" si="13"/>
        <v>0.34069556049813626</v>
      </c>
    </row>
    <row r="1146" spans="1:3" ht="13.2" x14ac:dyDescent="0.25">
      <c r="A1146" s="6">
        <v>1144</v>
      </c>
      <c r="B1146" s="7">
        <v>99.850044250488281</v>
      </c>
      <c r="C1146" s="3">
        <f t="shared" si="13"/>
        <v>0.29961740050226038</v>
      </c>
    </row>
    <row r="1147" spans="1:3" ht="13.2" x14ac:dyDescent="0.25">
      <c r="A1147" s="6">
        <v>1145</v>
      </c>
      <c r="B1147" s="7">
        <v>102.08614349365234</v>
      </c>
      <c r="C1147" s="3">
        <f t="shared" si="13"/>
        <v>0.32691650602461719</v>
      </c>
    </row>
    <row r="1148" spans="1:3" ht="13.2" x14ac:dyDescent="0.25">
      <c r="A1148" s="6">
        <v>1146</v>
      </c>
      <c r="B1148" s="7">
        <v>101.61182403564453</v>
      </c>
      <c r="C1148" s="3">
        <f t="shared" si="13"/>
        <v>0.30837297123823959</v>
      </c>
    </row>
    <row r="1149" spans="1:3" ht="13.2" x14ac:dyDescent="0.25">
      <c r="A1149" s="6">
        <v>1147</v>
      </c>
      <c r="B1149" s="7">
        <v>98.533554077148438</v>
      </c>
      <c r="C1149" s="3">
        <f t="shared" si="13"/>
        <v>0.29870323149190176</v>
      </c>
    </row>
    <row r="1150" spans="1:3" ht="13.2" x14ac:dyDescent="0.25">
      <c r="A1150" s="6">
        <v>1148</v>
      </c>
      <c r="B1150" s="7">
        <v>104.83528900146484</v>
      </c>
      <c r="C1150" s="3">
        <f t="shared" si="13"/>
        <v>0.36044260074767176</v>
      </c>
    </row>
    <row r="1151" spans="1:3" ht="13.2" x14ac:dyDescent="0.25">
      <c r="A1151" s="6">
        <v>1149</v>
      </c>
      <c r="B1151" s="7">
        <v>102.01837921142578</v>
      </c>
      <c r="C1151" s="3">
        <f t="shared" ref="C1151:C1214" si="14">LN(B1151/B899)</f>
        <v>0.32185308323116607</v>
      </c>
    </row>
    <row r="1152" spans="1:3" ht="13.2" x14ac:dyDescent="0.25">
      <c r="A1152" s="6">
        <v>1150</v>
      </c>
      <c r="B1152" s="7">
        <v>102.62822723388672</v>
      </c>
      <c r="C1152" s="3">
        <f t="shared" si="14"/>
        <v>0.3231831716819385</v>
      </c>
    </row>
    <row r="1153" spans="1:3" ht="13.2" x14ac:dyDescent="0.25">
      <c r="A1153" s="6">
        <v>1151</v>
      </c>
      <c r="B1153" s="7">
        <v>102.58950805664063</v>
      </c>
      <c r="C1153" s="3">
        <f t="shared" si="14"/>
        <v>0.32680884020627538</v>
      </c>
    </row>
    <row r="1154" spans="1:3" ht="13.2" x14ac:dyDescent="0.25">
      <c r="A1154" s="6">
        <v>1152</v>
      </c>
      <c r="B1154" s="7">
        <v>100.16948699951172</v>
      </c>
      <c r="C1154" s="3">
        <f t="shared" si="14"/>
        <v>0.28529428837348014</v>
      </c>
    </row>
    <row r="1155" spans="1:3" ht="13.2" x14ac:dyDescent="0.25">
      <c r="A1155" s="6">
        <v>1153</v>
      </c>
      <c r="B1155" s="7">
        <v>97.865623474121094</v>
      </c>
      <c r="C1155" s="3">
        <f t="shared" si="14"/>
        <v>0.21499674759579604</v>
      </c>
    </row>
    <row r="1156" spans="1:3" ht="13.2" x14ac:dyDescent="0.25">
      <c r="A1156" s="6">
        <v>1154</v>
      </c>
      <c r="B1156" s="7">
        <v>96.229690551757813</v>
      </c>
      <c r="C1156" s="3">
        <f t="shared" si="14"/>
        <v>0.16009880823546013</v>
      </c>
    </row>
    <row r="1157" spans="1:3" ht="13.2" x14ac:dyDescent="0.25">
      <c r="A1157" s="6">
        <v>1155</v>
      </c>
      <c r="B1157" s="7">
        <v>94.700248718261719</v>
      </c>
      <c r="C1157" s="3">
        <f t="shared" si="14"/>
        <v>0.13686436780500524</v>
      </c>
    </row>
    <row r="1158" spans="1:3" ht="13.2" x14ac:dyDescent="0.25">
      <c r="A1158" s="6">
        <v>1156</v>
      </c>
      <c r="B1158" s="7">
        <v>95.890892028808594</v>
      </c>
      <c r="C1158" s="3">
        <f t="shared" si="14"/>
        <v>0.13353854197969536</v>
      </c>
    </row>
    <row r="1159" spans="1:3" ht="13.2" x14ac:dyDescent="0.25">
      <c r="A1159" s="6">
        <v>1157</v>
      </c>
      <c r="B1159" s="7">
        <v>96.83953857421875</v>
      </c>
      <c r="C1159" s="3">
        <f t="shared" si="14"/>
        <v>0.17459339539281532</v>
      </c>
    </row>
    <row r="1160" spans="1:3" ht="13.2" x14ac:dyDescent="0.25">
      <c r="A1160" s="6">
        <v>1158</v>
      </c>
      <c r="B1160" s="7">
        <v>96.229690551757813</v>
      </c>
      <c r="C1160" s="3">
        <f t="shared" si="14"/>
        <v>0.14773354708439931</v>
      </c>
    </row>
    <row r="1161" spans="1:3" ht="13.2" x14ac:dyDescent="0.25">
      <c r="A1161" s="6">
        <v>1159</v>
      </c>
      <c r="B1161" s="7">
        <v>95.832809448242188</v>
      </c>
      <c r="C1161" s="3">
        <f t="shared" si="14"/>
        <v>0.10976992632041829</v>
      </c>
    </row>
    <row r="1162" spans="1:3" ht="13.2" x14ac:dyDescent="0.25">
      <c r="A1162" s="6">
        <v>1160</v>
      </c>
      <c r="B1162" s="7">
        <v>95.745689392089844</v>
      </c>
      <c r="C1162" s="3">
        <f t="shared" si="14"/>
        <v>0.10918442182495613</v>
      </c>
    </row>
    <row r="1163" spans="1:3" ht="13.2" x14ac:dyDescent="0.25">
      <c r="A1163" s="6">
        <v>1161</v>
      </c>
      <c r="B1163" s="7">
        <v>94.051681518554688</v>
      </c>
      <c r="C1163" s="3">
        <f t="shared" si="14"/>
        <v>7.8345405285665873E-2</v>
      </c>
    </row>
    <row r="1164" spans="1:3" ht="13.2" x14ac:dyDescent="0.25">
      <c r="A1164" s="6">
        <v>1162</v>
      </c>
      <c r="B1164" s="7">
        <v>96.103851318359375</v>
      </c>
      <c r="C1164" s="3">
        <f t="shared" si="14"/>
        <v>9.7799827458399061E-2</v>
      </c>
    </row>
    <row r="1165" spans="1:3" ht="13.2" x14ac:dyDescent="0.25">
      <c r="A1165" s="6">
        <v>1163</v>
      </c>
      <c r="B1165" s="7">
        <v>96.762100219726563</v>
      </c>
      <c r="C1165" s="3">
        <f t="shared" si="14"/>
        <v>0.10027224422568963</v>
      </c>
    </row>
    <row r="1166" spans="1:3" ht="13.2" x14ac:dyDescent="0.25">
      <c r="A1166" s="6">
        <v>1164</v>
      </c>
      <c r="B1166" s="7">
        <v>94.400154113769531</v>
      </c>
      <c r="C1166" s="3">
        <f t="shared" si="14"/>
        <v>8.5248057513993516E-2</v>
      </c>
    </row>
    <row r="1167" spans="1:3" ht="13.2" x14ac:dyDescent="0.25">
      <c r="A1167" s="6">
        <v>1165</v>
      </c>
      <c r="B1167" s="7">
        <v>96.800819396972656</v>
      </c>
      <c r="C1167" s="3">
        <f t="shared" si="14"/>
        <v>0.1480805985244302</v>
      </c>
    </row>
    <row r="1168" spans="1:3" ht="13.2" x14ac:dyDescent="0.25">
      <c r="A1168" s="6">
        <v>1166</v>
      </c>
      <c r="B1168" s="7">
        <v>97.691383361816406</v>
      </c>
      <c r="C1168" s="3">
        <f t="shared" si="14"/>
        <v>0.17472192367415279</v>
      </c>
    </row>
    <row r="1169" spans="1:3" ht="13.2" x14ac:dyDescent="0.25">
      <c r="A1169" s="6">
        <v>1167</v>
      </c>
      <c r="B1169" s="7">
        <v>99.133720397949219</v>
      </c>
      <c r="C1169" s="3">
        <f t="shared" si="14"/>
        <v>0.16095610742388813</v>
      </c>
    </row>
    <row r="1170" spans="1:3" ht="13.2" x14ac:dyDescent="0.25">
      <c r="A1170" s="6">
        <v>1168</v>
      </c>
      <c r="B1170" s="7">
        <v>100.43083953857422</v>
      </c>
      <c r="C1170" s="3">
        <f t="shared" si="14"/>
        <v>0.16454959889014087</v>
      </c>
    </row>
    <row r="1171" spans="1:3" ht="13.2" x14ac:dyDescent="0.25">
      <c r="A1171" s="6">
        <v>1169</v>
      </c>
      <c r="B1171" s="7">
        <v>98.930427551269531</v>
      </c>
      <c r="C1171" s="3">
        <f t="shared" si="14"/>
        <v>0.19390426431137897</v>
      </c>
    </row>
    <row r="1172" spans="1:3" ht="13.2" x14ac:dyDescent="0.25">
      <c r="A1172" s="6">
        <v>1170</v>
      </c>
      <c r="B1172" s="7">
        <v>97.962425231933594</v>
      </c>
      <c r="C1172" s="3">
        <f t="shared" si="14"/>
        <v>0.19943874826360672</v>
      </c>
    </row>
    <row r="1173" spans="1:3" ht="13.2" x14ac:dyDescent="0.25">
      <c r="A1173" s="6">
        <v>1171</v>
      </c>
      <c r="B1173" s="7">
        <v>98.039871215820313</v>
      </c>
      <c r="C1173" s="3">
        <f t="shared" si="14"/>
        <v>0.21865738548088229</v>
      </c>
    </row>
    <row r="1174" spans="1:3" ht="13.2" x14ac:dyDescent="0.25">
      <c r="A1174" s="6">
        <v>1172</v>
      </c>
      <c r="B1174" s="7">
        <v>99.230522155761719</v>
      </c>
      <c r="C1174" s="3">
        <f t="shared" si="14"/>
        <v>0.21809555241990455</v>
      </c>
    </row>
    <row r="1175" spans="1:3" ht="13.2" x14ac:dyDescent="0.25">
      <c r="A1175" s="6">
        <v>1173</v>
      </c>
      <c r="B1175" s="7">
        <v>99.6370849609375</v>
      </c>
      <c r="C1175" s="3">
        <f t="shared" si="14"/>
        <v>0.21350416713320716</v>
      </c>
    </row>
    <row r="1176" spans="1:3" ht="13.2" x14ac:dyDescent="0.25">
      <c r="A1176" s="6">
        <v>1174</v>
      </c>
      <c r="B1176" s="7">
        <v>99.346672058105469</v>
      </c>
      <c r="C1176" s="3">
        <f t="shared" si="14"/>
        <v>0.24314474201573424</v>
      </c>
    </row>
    <row r="1177" spans="1:3" ht="13.2" x14ac:dyDescent="0.25">
      <c r="A1177" s="6">
        <v>1175</v>
      </c>
      <c r="B1177" s="7">
        <v>100.56637573242188</v>
      </c>
      <c r="C1177" s="3">
        <f t="shared" si="14"/>
        <v>0.26024011490300597</v>
      </c>
    </row>
    <row r="1178" spans="1:3" ht="13.2" x14ac:dyDescent="0.25">
      <c r="A1178" s="6">
        <v>1176</v>
      </c>
      <c r="B1178" s="7">
        <v>100.97293090820313</v>
      </c>
      <c r="C1178" s="3">
        <f t="shared" si="14"/>
        <v>0.26331790098201413</v>
      </c>
    </row>
    <row r="1179" spans="1:3" ht="13.2" x14ac:dyDescent="0.25">
      <c r="A1179" s="6">
        <v>1177</v>
      </c>
      <c r="B1179" s="7">
        <v>101.93126678466797</v>
      </c>
      <c r="C1179" s="3">
        <f t="shared" si="14"/>
        <v>0.2575818714995915</v>
      </c>
    </row>
    <row r="1180" spans="1:3" ht="13.2" x14ac:dyDescent="0.25">
      <c r="A1180" s="6">
        <v>1178</v>
      </c>
      <c r="B1180" s="7">
        <v>101.94094085693359</v>
      </c>
      <c r="C1180" s="3">
        <f t="shared" si="14"/>
        <v>0.29034099923182916</v>
      </c>
    </row>
    <row r="1181" spans="1:3" ht="13.2" x14ac:dyDescent="0.25">
      <c r="A1181" s="6">
        <v>1179</v>
      </c>
      <c r="B1181" s="7">
        <v>100.78901672363281</v>
      </c>
      <c r="C1181" s="3">
        <f t="shared" si="14"/>
        <v>0.24666576222451927</v>
      </c>
    </row>
    <row r="1182" spans="1:3" ht="13.2" x14ac:dyDescent="0.25">
      <c r="A1182" s="6">
        <v>1180</v>
      </c>
      <c r="B1182" s="7">
        <v>100.55669403076172</v>
      </c>
      <c r="C1182" s="3">
        <f t="shared" si="14"/>
        <v>0.2167171151658363</v>
      </c>
    </row>
    <row r="1183" spans="1:3" ht="13.2" x14ac:dyDescent="0.25">
      <c r="A1183" s="6">
        <v>1181</v>
      </c>
      <c r="B1183" s="7">
        <v>97.991470336914063</v>
      </c>
      <c r="C1183" s="3">
        <f t="shared" si="14"/>
        <v>0.1884732002531973</v>
      </c>
    </row>
    <row r="1184" spans="1:3" ht="13.2" x14ac:dyDescent="0.25">
      <c r="A1184" s="6">
        <v>1182</v>
      </c>
      <c r="B1184" s="7">
        <v>98.5045166015625</v>
      </c>
      <c r="C1184" s="3">
        <f t="shared" si="14"/>
        <v>0.18584144222041715</v>
      </c>
    </row>
    <row r="1185" spans="1:3" ht="13.2" x14ac:dyDescent="0.25">
      <c r="A1185" s="6">
        <v>1183</v>
      </c>
      <c r="B1185" s="7">
        <v>99.00787353515625</v>
      </c>
      <c r="C1185" s="3">
        <f t="shared" si="14"/>
        <v>0.17541335579741768</v>
      </c>
    </row>
    <row r="1186" spans="1:3" ht="13.2" x14ac:dyDescent="0.25">
      <c r="A1186" s="6">
        <v>1184</v>
      </c>
      <c r="B1186" s="7">
        <v>97.914031982421875</v>
      </c>
      <c r="C1186" s="3">
        <f t="shared" si="14"/>
        <v>0.17406317238313238</v>
      </c>
    </row>
    <row r="1187" spans="1:3" ht="13.2" x14ac:dyDescent="0.25">
      <c r="A1187" s="6">
        <v>1185</v>
      </c>
      <c r="B1187" s="7">
        <v>99.675804138183594</v>
      </c>
      <c r="C1187" s="3">
        <f t="shared" si="14"/>
        <v>0.19178350580510231</v>
      </c>
    </row>
    <row r="1188" spans="1:3" ht="13.2" x14ac:dyDescent="0.25">
      <c r="A1188" s="6">
        <v>1186</v>
      </c>
      <c r="B1188" s="7">
        <v>98.74652099609375</v>
      </c>
      <c r="C1188" s="3">
        <f t="shared" si="14"/>
        <v>0.15484731430722026</v>
      </c>
    </row>
    <row r="1189" spans="1:3" ht="13.2" x14ac:dyDescent="0.25">
      <c r="A1189" s="6">
        <v>1187</v>
      </c>
      <c r="B1189" s="7">
        <v>101.19557952880859</v>
      </c>
      <c r="C1189" s="3">
        <f t="shared" si="14"/>
        <v>0.20151995953773</v>
      </c>
    </row>
    <row r="1190" spans="1:3" ht="13.2" x14ac:dyDescent="0.25">
      <c r="A1190" s="6">
        <v>1188</v>
      </c>
      <c r="B1190" s="7">
        <v>102.97670745849609</v>
      </c>
      <c r="C1190" s="3">
        <f t="shared" si="14"/>
        <v>0.21840741278096185</v>
      </c>
    </row>
    <row r="1191" spans="1:3" ht="13.2" x14ac:dyDescent="0.25">
      <c r="A1191" s="6">
        <v>1189</v>
      </c>
      <c r="B1191" s="7">
        <v>103.85759735107422</v>
      </c>
      <c r="C1191" s="3">
        <f t="shared" si="14"/>
        <v>0.21966863161210037</v>
      </c>
    </row>
    <row r="1192" spans="1:3" ht="13.2" x14ac:dyDescent="0.25">
      <c r="A1192" s="6">
        <v>1190</v>
      </c>
      <c r="B1192" s="7">
        <v>102.49269866943359</v>
      </c>
      <c r="C1192" s="3">
        <f t="shared" si="14"/>
        <v>0.23808058577665256</v>
      </c>
    </row>
    <row r="1193" spans="1:3" ht="13.2" x14ac:dyDescent="0.25">
      <c r="A1193" s="6">
        <v>1191</v>
      </c>
      <c r="B1193" s="7">
        <v>101.45693206787109</v>
      </c>
      <c r="C1193" s="3">
        <f t="shared" si="14"/>
        <v>0.24751711528075646</v>
      </c>
    </row>
    <row r="1194" spans="1:3" ht="13.2" x14ac:dyDescent="0.25">
      <c r="A1194" s="6">
        <v>1192</v>
      </c>
      <c r="B1194" s="7">
        <v>101.54405212402344</v>
      </c>
      <c r="C1194" s="3">
        <f t="shared" si="14"/>
        <v>0.23882043351059634</v>
      </c>
    </row>
    <row r="1195" spans="1:3" ht="13.2" x14ac:dyDescent="0.25">
      <c r="A1195" s="6">
        <v>1193</v>
      </c>
      <c r="B1195" s="7">
        <v>101.93126678466797</v>
      </c>
      <c r="C1195" s="3">
        <f t="shared" si="14"/>
        <v>0.26029296009770281</v>
      </c>
    </row>
    <row r="1196" spans="1:3" ht="13.2" x14ac:dyDescent="0.25">
      <c r="A1196" s="6">
        <v>1194</v>
      </c>
      <c r="B1196" s="7">
        <v>101.96997833251953</v>
      </c>
      <c r="C1196" s="3">
        <f t="shared" si="14"/>
        <v>0.25033909085232448</v>
      </c>
    </row>
    <row r="1197" spans="1:3" ht="13.2" x14ac:dyDescent="0.25">
      <c r="A1197" s="6">
        <v>1195</v>
      </c>
      <c r="B1197" s="7">
        <v>103.67368316650391</v>
      </c>
      <c r="C1197" s="3">
        <f t="shared" si="14"/>
        <v>0.26224710059339895</v>
      </c>
    </row>
    <row r="1198" spans="1:3" ht="13.2" x14ac:dyDescent="0.25">
      <c r="A1198" s="6">
        <v>1196</v>
      </c>
      <c r="B1198" s="7">
        <v>101.16653442382813</v>
      </c>
      <c r="C1198" s="3">
        <f t="shared" si="14"/>
        <v>0.23023684642674364</v>
      </c>
    </row>
    <row r="1199" spans="1:3" ht="13.2" x14ac:dyDescent="0.25">
      <c r="A1199" s="6">
        <v>1197</v>
      </c>
      <c r="B1199" s="7">
        <v>101.29238128662109</v>
      </c>
      <c r="C1199" s="3">
        <f t="shared" si="14"/>
        <v>0.21602031165997002</v>
      </c>
    </row>
    <row r="1200" spans="1:3" ht="13.2" x14ac:dyDescent="0.25">
      <c r="A1200" s="6">
        <v>1198</v>
      </c>
      <c r="B1200" s="7">
        <v>100.43083953857422</v>
      </c>
      <c r="C1200" s="3">
        <f t="shared" si="14"/>
        <v>0.22155443380136447</v>
      </c>
    </row>
    <row r="1201" spans="1:3" ht="13.2" x14ac:dyDescent="0.25">
      <c r="A1201" s="6">
        <v>1199</v>
      </c>
      <c r="B1201" s="7">
        <v>100.45989227294922</v>
      </c>
      <c r="C1201" s="3">
        <f t="shared" si="14"/>
        <v>0.22947887105464743</v>
      </c>
    </row>
    <row r="1202" spans="1:3" ht="13.2" x14ac:dyDescent="0.25">
      <c r="A1202" s="6">
        <v>1200</v>
      </c>
      <c r="B1202" s="7">
        <v>99.733879089355469</v>
      </c>
      <c r="C1202" s="3">
        <f t="shared" si="14"/>
        <v>0.22292289943530824</v>
      </c>
    </row>
    <row r="1203" spans="1:3" ht="13.2" x14ac:dyDescent="0.25">
      <c r="A1203" s="6">
        <v>1201</v>
      </c>
      <c r="B1203" s="7">
        <v>99.153076171875</v>
      </c>
      <c r="C1203" s="3">
        <f t="shared" si="14"/>
        <v>0.22419629808463162</v>
      </c>
    </row>
    <row r="1204" spans="1:3" ht="13.2" x14ac:dyDescent="0.25">
      <c r="A1204" s="6">
        <v>1202</v>
      </c>
      <c r="B1204" s="7">
        <v>97.000343322753906</v>
      </c>
      <c r="C1204" s="3">
        <f t="shared" si="14"/>
        <v>0.20764454985748496</v>
      </c>
    </row>
    <row r="1205" spans="1:3" ht="13.2" x14ac:dyDescent="0.25">
      <c r="A1205" s="6">
        <v>1203</v>
      </c>
      <c r="B1205" s="7">
        <v>94.622543334960938</v>
      </c>
      <c r="C1205" s="3">
        <f t="shared" si="14"/>
        <v>0.17707618005852518</v>
      </c>
    </row>
    <row r="1206" spans="1:3" ht="13.2" x14ac:dyDescent="0.25">
      <c r="A1206" s="6">
        <v>1204</v>
      </c>
      <c r="B1206" s="7">
        <v>95.385787963867188</v>
      </c>
      <c r="C1206" s="3">
        <f t="shared" si="14"/>
        <v>0.22108365126403259</v>
      </c>
    </row>
    <row r="1207" spans="1:3" ht="13.2" x14ac:dyDescent="0.25">
      <c r="A1207" s="6">
        <v>1205</v>
      </c>
      <c r="B1207" s="7">
        <v>96.100105285644531</v>
      </c>
      <c r="C1207" s="3">
        <f t="shared" si="14"/>
        <v>0.21082108055607054</v>
      </c>
    </row>
    <row r="1208" spans="1:3" ht="13.2" x14ac:dyDescent="0.25">
      <c r="A1208" s="6">
        <v>1206</v>
      </c>
      <c r="B1208" s="7">
        <v>100.11202239990234</v>
      </c>
      <c r="C1208" s="3">
        <f t="shared" si="14"/>
        <v>0.25172045200060128</v>
      </c>
    </row>
    <row r="1209" spans="1:3" ht="13.2" x14ac:dyDescent="0.25">
      <c r="A1209" s="6">
        <v>1207</v>
      </c>
      <c r="B1209" s="7">
        <v>99.143295288085938</v>
      </c>
      <c r="C1209" s="3">
        <f t="shared" si="14"/>
        <v>0.22896717234744066</v>
      </c>
    </row>
    <row r="1210" spans="1:3" ht="13.2" x14ac:dyDescent="0.25">
      <c r="A1210" s="6">
        <v>1208</v>
      </c>
      <c r="B1210" s="7">
        <v>98.742103576660156</v>
      </c>
      <c r="C1210" s="3">
        <f t="shared" si="14"/>
        <v>0.23158522248877511</v>
      </c>
    </row>
    <row r="1211" spans="1:3" ht="13.2" x14ac:dyDescent="0.25">
      <c r="A1211" s="6">
        <v>1209</v>
      </c>
      <c r="B1211" s="7">
        <v>96.814430236816406</v>
      </c>
      <c r="C1211" s="3">
        <f t="shared" si="14"/>
        <v>0.23045367407603959</v>
      </c>
    </row>
    <row r="1212" spans="1:3" ht="13.2" x14ac:dyDescent="0.25">
      <c r="A1212" s="6">
        <v>1210</v>
      </c>
      <c r="B1212" s="7">
        <v>96.286026000976563</v>
      </c>
      <c r="C1212" s="3">
        <f t="shared" si="14"/>
        <v>0.20400873934545391</v>
      </c>
    </row>
    <row r="1213" spans="1:3" ht="13.2" x14ac:dyDescent="0.25">
      <c r="A1213" s="6">
        <v>1211</v>
      </c>
      <c r="B1213" s="7">
        <v>101.49172973632813</v>
      </c>
      <c r="C1213" s="3">
        <f t="shared" si="14"/>
        <v>0.25000568217890301</v>
      </c>
    </row>
    <row r="1214" spans="1:3" ht="13.2" x14ac:dyDescent="0.25">
      <c r="A1214" s="6">
        <v>1212</v>
      </c>
      <c r="B1214" s="7">
        <v>102.81272888183594</v>
      </c>
      <c r="C1214" s="3">
        <f t="shared" si="14"/>
        <v>0.26057067256675026</v>
      </c>
    </row>
    <row r="1215" spans="1:3" ht="13.2" x14ac:dyDescent="0.25">
      <c r="A1215" s="6">
        <v>1213</v>
      </c>
      <c r="B1215" s="7">
        <v>102.46045684814453</v>
      </c>
      <c r="C1215" s="3">
        <f t="shared" ref="C1215:C1258" si="15">LN(B1215/B963)</f>
        <v>0.2610466296157275</v>
      </c>
    </row>
    <row r="1216" spans="1:3" ht="13.2" x14ac:dyDescent="0.25">
      <c r="A1216" s="6">
        <v>1214</v>
      </c>
      <c r="B1216" s="7">
        <v>102.95951080322266</v>
      </c>
      <c r="C1216" s="3">
        <f t="shared" si="15"/>
        <v>0.1972370875504022</v>
      </c>
    </row>
    <row r="1217" spans="1:3" ht="13.2" x14ac:dyDescent="0.25">
      <c r="A1217" s="6">
        <v>1215</v>
      </c>
      <c r="B1217" s="7">
        <v>106.17882537841797</v>
      </c>
      <c r="C1217" s="3">
        <f t="shared" si="15"/>
        <v>0.2266974624971847</v>
      </c>
    </row>
    <row r="1218" spans="1:3" ht="13.2" x14ac:dyDescent="0.25">
      <c r="A1218" s="6">
        <v>1216</v>
      </c>
      <c r="B1218" s="7">
        <v>105.12202453613281</v>
      </c>
      <c r="C1218" s="3">
        <f t="shared" si="15"/>
        <v>0.14590338610107562</v>
      </c>
    </row>
    <row r="1219" spans="1:3" ht="13.2" x14ac:dyDescent="0.25">
      <c r="A1219" s="6">
        <v>1217</v>
      </c>
      <c r="B1219" s="7">
        <v>103.08670806884766</v>
      </c>
      <c r="C1219" s="3">
        <f t="shared" si="15"/>
        <v>0.17818277486376594</v>
      </c>
    </row>
    <row r="1220" spans="1:3" ht="13.2" x14ac:dyDescent="0.25">
      <c r="A1220" s="6">
        <v>1218</v>
      </c>
      <c r="B1220" s="7">
        <v>101.5406494140625</v>
      </c>
      <c r="C1220" s="3">
        <f t="shared" si="15"/>
        <v>0.1306003081743311</v>
      </c>
    </row>
    <row r="1221" spans="1:3" ht="13.2" x14ac:dyDescent="0.25">
      <c r="A1221" s="6">
        <v>1219</v>
      </c>
      <c r="B1221" s="7">
        <v>103.79124450683594</v>
      </c>
      <c r="C1221" s="3">
        <f t="shared" si="15"/>
        <v>0.13719153320541469</v>
      </c>
    </row>
    <row r="1222" spans="1:3" ht="13.2" x14ac:dyDescent="0.25">
      <c r="A1222" s="6">
        <v>1220</v>
      </c>
      <c r="B1222" s="7">
        <v>102.90079498291016</v>
      </c>
      <c r="C1222" s="3">
        <f t="shared" si="15"/>
        <v>0.11490404207865018</v>
      </c>
    </row>
    <row r="1223" spans="1:3" ht="13.2" x14ac:dyDescent="0.25">
      <c r="A1223" s="6">
        <v>1221</v>
      </c>
      <c r="B1223" s="7">
        <v>102.38217926025391</v>
      </c>
      <c r="C1223" s="3">
        <f t="shared" si="15"/>
        <v>0.10811705980749785</v>
      </c>
    </row>
    <row r="1224" spans="1:3" ht="13.2" x14ac:dyDescent="0.25">
      <c r="A1224" s="6">
        <v>1222</v>
      </c>
      <c r="B1224" s="7">
        <v>102.36260986328125</v>
      </c>
      <c r="C1224" s="3">
        <f t="shared" si="15"/>
        <v>0.10904772908678678</v>
      </c>
    </row>
    <row r="1225" spans="1:3" ht="13.2" x14ac:dyDescent="0.25">
      <c r="A1225" s="6">
        <v>1223</v>
      </c>
      <c r="B1225" s="7">
        <v>100.04351806640625</v>
      </c>
      <c r="C1225" s="3">
        <f t="shared" si="15"/>
        <v>8.3176942694176623E-2</v>
      </c>
    </row>
    <row r="1226" spans="1:3" ht="13.2" x14ac:dyDescent="0.25">
      <c r="A1226" s="6">
        <v>1224</v>
      </c>
      <c r="B1226" s="7">
        <v>102.95951080322266</v>
      </c>
      <c r="C1226" s="3">
        <f t="shared" si="15"/>
        <v>9.4861310493628836E-2</v>
      </c>
    </row>
    <row r="1227" spans="1:3" ht="13.2" x14ac:dyDescent="0.25">
      <c r="A1227" s="6">
        <v>1225</v>
      </c>
      <c r="B1227" s="7">
        <v>103.34112548828125</v>
      </c>
      <c r="C1227" s="3">
        <f t="shared" si="15"/>
        <v>0.10709813042055612</v>
      </c>
    </row>
    <row r="1228" spans="1:3" ht="13.2" x14ac:dyDescent="0.25">
      <c r="A1228" s="6">
        <v>1226</v>
      </c>
      <c r="B1228" s="7">
        <v>98.282196044921875</v>
      </c>
      <c r="C1228" s="3">
        <f t="shared" si="15"/>
        <v>2.7779746695560128E-2</v>
      </c>
    </row>
    <row r="1229" spans="1:3" ht="13.2" x14ac:dyDescent="0.25">
      <c r="A1229" s="6">
        <v>1227</v>
      </c>
      <c r="B1229" s="7">
        <v>91.491287231445313</v>
      </c>
      <c r="C1229" s="3">
        <f t="shared" si="15"/>
        <v>-4.4211130107120668E-2</v>
      </c>
    </row>
    <row r="1230" spans="1:3" ht="13.2" x14ac:dyDescent="0.25">
      <c r="A1230" s="6">
        <v>1228</v>
      </c>
      <c r="B1230" s="7">
        <v>92.499160766601563</v>
      </c>
      <c r="C1230" s="3">
        <f t="shared" si="15"/>
        <v>-4.8706776643650834E-2</v>
      </c>
    </row>
    <row r="1231" spans="1:3" ht="13.2" x14ac:dyDescent="0.25">
      <c r="A1231" s="6">
        <v>1229</v>
      </c>
      <c r="B1231" s="7">
        <v>91.002037048339844</v>
      </c>
      <c r="C1231" s="3">
        <f t="shared" si="15"/>
        <v>-8.3843464341126633E-2</v>
      </c>
    </row>
    <row r="1232" spans="1:3" ht="13.2" x14ac:dyDescent="0.25">
      <c r="A1232" s="6">
        <v>1230</v>
      </c>
      <c r="B1232" s="7">
        <v>96.853569030761719</v>
      </c>
      <c r="C1232" s="3">
        <f t="shared" si="15"/>
        <v>-5.1634112335842385E-2</v>
      </c>
    </row>
    <row r="1233" spans="1:3" ht="13.2" x14ac:dyDescent="0.25">
      <c r="A1233" s="6">
        <v>1231</v>
      </c>
      <c r="B1233" s="7">
        <v>94.857391357421875</v>
      </c>
      <c r="C1233" s="3">
        <f t="shared" si="15"/>
        <v>-4.9892950340644511E-2</v>
      </c>
    </row>
    <row r="1234" spans="1:3" ht="13.2" x14ac:dyDescent="0.25">
      <c r="A1234" s="6">
        <v>1232</v>
      </c>
      <c r="B1234" s="7">
        <v>95.082443237304688</v>
      </c>
      <c r="C1234" s="3">
        <f t="shared" si="15"/>
        <v>-3.7707215151191083E-2</v>
      </c>
    </row>
    <row r="1235" spans="1:3" ht="13.2" x14ac:dyDescent="0.25">
      <c r="A1235" s="6">
        <v>1233</v>
      </c>
      <c r="B1235" s="7">
        <v>95.1802978515625</v>
      </c>
      <c r="C1235" s="3">
        <f t="shared" si="15"/>
        <v>-1.6365489088003147E-2</v>
      </c>
    </row>
    <row r="1236" spans="1:3" ht="13.2" x14ac:dyDescent="0.25">
      <c r="A1236" s="6">
        <v>1234</v>
      </c>
      <c r="B1236" s="7">
        <v>96.794845581054688</v>
      </c>
      <c r="C1236" s="3">
        <f t="shared" si="15"/>
        <v>-7.1624591478260426E-3</v>
      </c>
    </row>
    <row r="1237" spans="1:3" ht="13.2" x14ac:dyDescent="0.25">
      <c r="A1237" s="6">
        <v>1235</v>
      </c>
      <c r="B1237" s="7">
        <v>97.362388610839844</v>
      </c>
      <c r="C1237" s="3">
        <f t="shared" si="15"/>
        <v>-3.8107812948119878E-3</v>
      </c>
    </row>
    <row r="1238" spans="1:3" ht="13.2" x14ac:dyDescent="0.25">
      <c r="A1238" s="6">
        <v>1236</v>
      </c>
      <c r="B1238" s="7">
        <v>97.734222412109375</v>
      </c>
      <c r="C1238" s="3">
        <f t="shared" si="15"/>
        <v>1.6522269830248085E-2</v>
      </c>
    </row>
    <row r="1239" spans="1:3" ht="13.2" x14ac:dyDescent="0.25">
      <c r="A1239" s="6">
        <v>1237</v>
      </c>
      <c r="B1239" s="7">
        <v>98.321342468261719</v>
      </c>
      <c r="C1239" s="3">
        <f t="shared" si="15"/>
        <v>9.4459122951629157E-3</v>
      </c>
    </row>
    <row r="1240" spans="1:3" ht="13.2" x14ac:dyDescent="0.25">
      <c r="A1240" s="6">
        <v>1238</v>
      </c>
      <c r="B1240" s="7">
        <v>99.730400085449219</v>
      </c>
      <c r="C1240" s="3">
        <f t="shared" si="15"/>
        <v>3.2851879152370957E-2</v>
      </c>
    </row>
    <row r="1241" spans="1:3" ht="13.2" x14ac:dyDescent="0.25">
      <c r="A1241" s="6">
        <v>1239</v>
      </c>
      <c r="B1241" s="7">
        <v>99.975028991699219</v>
      </c>
      <c r="C1241" s="3">
        <f t="shared" si="15"/>
        <v>5.8171703820974738E-2</v>
      </c>
    </row>
    <row r="1242" spans="1:3" ht="13.2" x14ac:dyDescent="0.25">
      <c r="A1242" s="6">
        <v>1240</v>
      </c>
      <c r="B1242" s="7">
        <v>102.44089508056641</v>
      </c>
      <c r="C1242" s="3">
        <f t="shared" si="15"/>
        <v>9.4523084024354068E-2</v>
      </c>
    </row>
    <row r="1243" spans="1:3" ht="13.2" x14ac:dyDescent="0.25">
      <c r="A1243" s="6">
        <v>1241</v>
      </c>
      <c r="B1243" s="7">
        <v>103.82059478759766</v>
      </c>
      <c r="C1243" s="3">
        <f t="shared" si="15"/>
        <v>9.9596049705572953E-2</v>
      </c>
    </row>
    <row r="1244" spans="1:3" ht="13.2" x14ac:dyDescent="0.25">
      <c r="A1244" s="6">
        <v>1242</v>
      </c>
      <c r="B1244" s="7">
        <v>99.975028991699219</v>
      </c>
      <c r="C1244" s="3">
        <f t="shared" si="15"/>
        <v>3.2781990595948558E-2</v>
      </c>
    </row>
    <row r="1245" spans="1:3" ht="13.2" x14ac:dyDescent="0.25">
      <c r="A1245" s="6">
        <v>1243</v>
      </c>
      <c r="B1245" s="7">
        <v>99.573837280273438</v>
      </c>
      <c r="C1245" s="3">
        <f t="shared" si="15"/>
        <v>-3.4322934301438393E-3</v>
      </c>
    </row>
    <row r="1246" spans="1:3" ht="13.2" x14ac:dyDescent="0.25">
      <c r="A1246" s="6">
        <v>1244</v>
      </c>
      <c r="B1246" s="7">
        <v>98.937797546386719</v>
      </c>
      <c r="C1246" s="3">
        <f t="shared" si="15"/>
        <v>-2.9791892291742273E-2</v>
      </c>
    </row>
    <row r="1247" spans="1:3" ht="13.2" x14ac:dyDescent="0.25">
      <c r="A1247" s="6">
        <v>1245</v>
      </c>
      <c r="B1247" s="7">
        <v>99.867385864257813</v>
      </c>
      <c r="C1247" s="3">
        <f t="shared" si="15"/>
        <v>7.3214136959346811E-3</v>
      </c>
    </row>
    <row r="1248" spans="1:3" ht="13.2" x14ac:dyDescent="0.25">
      <c r="A1248" s="6">
        <v>1246</v>
      </c>
      <c r="B1248" s="7">
        <v>103.60532379150391</v>
      </c>
      <c r="C1248" s="3">
        <f t="shared" si="15"/>
        <v>5.231943007641314E-2</v>
      </c>
    </row>
    <row r="1249" spans="1:3" ht="13.2" x14ac:dyDescent="0.25">
      <c r="A1249" s="6">
        <v>1247</v>
      </c>
      <c r="B1249" s="7">
        <v>100.75784301757813</v>
      </c>
      <c r="C1249" s="3">
        <f t="shared" si="15"/>
        <v>2.3593862723392124E-2</v>
      </c>
    </row>
    <row r="1250" spans="1:3" ht="13.2" x14ac:dyDescent="0.25">
      <c r="A1250" s="6">
        <v>1248</v>
      </c>
      <c r="B1250" s="7">
        <v>100.20008850097656</v>
      </c>
      <c r="C1250" s="3">
        <f t="shared" si="15"/>
        <v>9.4200006267321171E-3</v>
      </c>
    </row>
    <row r="1251" spans="1:3" ht="13.2" x14ac:dyDescent="0.25">
      <c r="A1251" s="6">
        <v>1249</v>
      </c>
      <c r="B1251" s="7">
        <v>99.270492553710938</v>
      </c>
      <c r="C1251" s="3">
        <f t="shared" si="15"/>
        <v>1.4448249191820233E-2</v>
      </c>
    </row>
    <row r="1252" spans="1:3" ht="13.2" x14ac:dyDescent="0.25">
      <c r="A1252" s="6">
        <v>1250</v>
      </c>
      <c r="B1252" s="7">
        <v>102.25497436523438</v>
      </c>
      <c r="C1252" s="3">
        <f t="shared" si="15"/>
        <v>7.0841244675671253E-2</v>
      </c>
    </row>
    <row r="1253" spans="1:3" ht="13.2" x14ac:dyDescent="0.25">
      <c r="A1253" s="6">
        <v>1251</v>
      </c>
      <c r="B1253" s="7">
        <v>101.37431335449219</v>
      </c>
      <c r="C1253" s="3">
        <f t="shared" si="15"/>
        <v>3.9543918239632193E-2</v>
      </c>
    </row>
    <row r="1254" spans="1:3" ht="13.2" x14ac:dyDescent="0.25">
      <c r="A1254" s="6">
        <v>1252</v>
      </c>
      <c r="B1254" s="7">
        <v>101.44280242919922</v>
      </c>
      <c r="C1254" s="3">
        <f t="shared" si="15"/>
        <v>4.2624835681478367E-2</v>
      </c>
    </row>
    <row r="1255" spans="1:3" ht="13.2" x14ac:dyDescent="0.25">
      <c r="A1255" s="6">
        <v>1253</v>
      </c>
      <c r="B1255" s="7">
        <v>102.45066833496094</v>
      </c>
      <c r="C1255" s="3">
        <f t="shared" si="15"/>
        <v>6.6969688313553127E-2</v>
      </c>
    </row>
    <row r="1256" spans="1:3" ht="13.2" x14ac:dyDescent="0.25">
      <c r="A1256" s="6">
        <v>1254</v>
      </c>
      <c r="B1256" s="7">
        <v>102.01034545898438</v>
      </c>
      <c r="C1256" s="3">
        <f t="shared" si="15"/>
        <v>5.0905168179401307E-2</v>
      </c>
    </row>
    <row r="1257" spans="1:3" ht="13.2" x14ac:dyDescent="0.25">
      <c r="A1257" s="6">
        <v>1255</v>
      </c>
      <c r="B1257" s="7">
        <v>102.15711975097656</v>
      </c>
      <c r="C1257" s="3">
        <f t="shared" si="15"/>
        <v>4.4644694016583199E-2</v>
      </c>
    </row>
    <row r="1258" spans="1:3" ht="13.2" x14ac:dyDescent="0.25">
      <c r="A1258" s="6">
        <v>1256</v>
      </c>
      <c r="B1258" s="7">
        <v>101.67765045166016</v>
      </c>
      <c r="C1258" s="3">
        <f t="shared" si="15"/>
        <v>2.8787107262785838E-2</v>
      </c>
    </row>
    <row r="1259" spans="1:3" ht="13.2" x14ac:dyDescent="0.25"/>
    <row r="1260" spans="1:3" ht="13.2" x14ac:dyDescent="0.25"/>
    <row r="1261" spans="1:3" ht="13.2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261"/>
  <sheetViews>
    <sheetView topLeftCell="A1235" zoomScaleNormal="100" workbookViewId="0">
      <selection activeCell="C1262" sqref="A1259:C1262"/>
    </sheetView>
  </sheetViews>
  <sheetFormatPr baseColWidth="10" defaultColWidth="12.6640625" defaultRowHeight="15.75" customHeight="1" x14ac:dyDescent="0.25"/>
  <cols>
    <col min="3" max="3" width="15.88671875" customWidth="1"/>
    <col min="6" max="6" width="14.88671875" bestFit="1" customWidth="1"/>
  </cols>
  <sheetData>
    <row r="1" spans="1:6" ht="15.75" customHeight="1" x14ac:dyDescent="0.25">
      <c r="A1" s="11"/>
      <c r="B1" s="9" t="s">
        <v>9</v>
      </c>
      <c r="C1" s="9" t="s">
        <v>10</v>
      </c>
      <c r="E1" s="4" t="s">
        <v>2</v>
      </c>
      <c r="F1" s="10">
        <f>AVERAGE(C:C)</f>
        <v>0.18632398526645294</v>
      </c>
    </row>
    <row r="2" spans="1:6" ht="13.2" x14ac:dyDescent="0.25">
      <c r="A2" s="6">
        <v>0</v>
      </c>
      <c r="B2" s="7">
        <v>74.587303161621094</v>
      </c>
      <c r="E2" s="4" t="s">
        <v>3</v>
      </c>
      <c r="F2" s="10">
        <f>_xlfn.VAR.S(C:C)</f>
        <v>7.223628359835684E-3</v>
      </c>
    </row>
    <row r="3" spans="1:6" ht="13.2" x14ac:dyDescent="0.25">
      <c r="A3" s="6">
        <v>1</v>
      </c>
      <c r="B3" s="7">
        <v>74.693283081054688</v>
      </c>
      <c r="C3" s="3"/>
      <c r="E3" s="4" t="s">
        <v>4</v>
      </c>
      <c r="F3" s="10">
        <f>SQRT(F2)</f>
        <v>8.4991931145466298E-2</v>
      </c>
    </row>
    <row r="4" spans="1:6" ht="13.2" x14ac:dyDescent="0.25">
      <c r="A4" s="6">
        <v>2</v>
      </c>
      <c r="B4" s="7">
        <v>75.777565002441406</v>
      </c>
      <c r="C4" s="3"/>
    </row>
    <row r="5" spans="1:6" ht="13.2" x14ac:dyDescent="0.25">
      <c r="A5" s="6">
        <v>3</v>
      </c>
      <c r="B5" s="7">
        <v>78.370063781738281</v>
      </c>
      <c r="C5" s="3"/>
    </row>
    <row r="6" spans="1:6" ht="13.2" x14ac:dyDescent="0.25">
      <c r="A6" s="6">
        <v>4</v>
      </c>
      <c r="B6" s="7">
        <v>76.706962585449219</v>
      </c>
      <c r="C6" s="3"/>
    </row>
    <row r="7" spans="1:6" ht="13.2" x14ac:dyDescent="0.25">
      <c r="A7" s="6">
        <v>5</v>
      </c>
      <c r="B7" s="7">
        <v>78.908126831054688</v>
      </c>
      <c r="C7" s="3"/>
    </row>
    <row r="8" spans="1:6" ht="13.2" x14ac:dyDescent="0.25">
      <c r="A8" s="6">
        <v>6</v>
      </c>
      <c r="B8" s="7">
        <v>77.734161376953125</v>
      </c>
      <c r="C8" s="3"/>
    </row>
    <row r="9" spans="1:6" ht="13.2" x14ac:dyDescent="0.25">
      <c r="A9" s="6">
        <v>7</v>
      </c>
      <c r="B9" s="7">
        <v>79.111946105957031</v>
      </c>
      <c r="C9" s="3"/>
    </row>
    <row r="10" spans="1:6" ht="13.2" x14ac:dyDescent="0.25">
      <c r="A10" s="6">
        <v>8</v>
      </c>
      <c r="B10" s="7">
        <v>80.261444091796875</v>
      </c>
      <c r="C10" s="3"/>
    </row>
    <row r="11" spans="1:6" ht="13.2" x14ac:dyDescent="0.25">
      <c r="A11" s="6">
        <v>9</v>
      </c>
      <c r="B11" s="7">
        <v>79.046714782714844</v>
      </c>
      <c r="C11" s="3"/>
    </row>
    <row r="12" spans="1:6" ht="13.2" x14ac:dyDescent="0.25">
      <c r="A12" s="6">
        <v>10</v>
      </c>
      <c r="B12" s="7">
        <v>81.549537658691406</v>
      </c>
      <c r="C12" s="3"/>
    </row>
    <row r="13" spans="1:6" ht="13.2" x14ac:dyDescent="0.25">
      <c r="A13" s="6">
        <v>11</v>
      </c>
      <c r="B13" s="7">
        <v>84.476303100585938</v>
      </c>
      <c r="C13" s="3"/>
    </row>
    <row r="14" spans="1:6" ht="13.2" x14ac:dyDescent="0.25">
      <c r="A14" s="6">
        <v>12</v>
      </c>
      <c r="B14" s="7">
        <v>82.788719177246094</v>
      </c>
      <c r="C14" s="3"/>
    </row>
    <row r="15" spans="1:6" ht="13.2" x14ac:dyDescent="0.25">
      <c r="A15" s="6">
        <v>13</v>
      </c>
      <c r="B15" s="7">
        <v>79.910881042480469</v>
      </c>
      <c r="C15" s="3"/>
    </row>
    <row r="16" spans="1:6" ht="13.2" x14ac:dyDescent="0.25">
      <c r="A16" s="6">
        <v>14</v>
      </c>
      <c r="B16" s="7">
        <v>78.149940490722656</v>
      </c>
      <c r="C16" s="3"/>
    </row>
    <row r="17" spans="1:3" ht="13.2" x14ac:dyDescent="0.25">
      <c r="A17" s="6">
        <v>15</v>
      </c>
      <c r="B17" s="7">
        <v>80.481575012207031</v>
      </c>
      <c r="C17" s="3"/>
    </row>
    <row r="18" spans="1:3" ht="13.2" x14ac:dyDescent="0.25">
      <c r="A18" s="6">
        <v>16</v>
      </c>
      <c r="B18" s="7">
        <v>79.250534057617188</v>
      </c>
      <c r="C18" s="3"/>
    </row>
    <row r="19" spans="1:3" ht="13.2" x14ac:dyDescent="0.25">
      <c r="A19" s="6">
        <v>17</v>
      </c>
      <c r="B19" s="7">
        <v>81.98162841796875</v>
      </c>
      <c r="C19" s="3"/>
    </row>
    <row r="20" spans="1:3" ht="13.2" x14ac:dyDescent="0.25">
      <c r="A20" s="6">
        <v>18</v>
      </c>
      <c r="B20" s="7">
        <v>81.614768981933594</v>
      </c>
      <c r="C20" s="3"/>
    </row>
    <row r="21" spans="1:3" ht="13.2" x14ac:dyDescent="0.25">
      <c r="A21" s="6">
        <v>19</v>
      </c>
      <c r="B21" s="7">
        <v>84.949134826660156</v>
      </c>
      <c r="C21" s="3"/>
    </row>
    <row r="22" spans="1:3" ht="13.2" x14ac:dyDescent="0.25">
      <c r="A22" s="6">
        <v>20</v>
      </c>
      <c r="B22" s="7">
        <v>86.652999877929688</v>
      </c>
      <c r="C22" s="3"/>
    </row>
    <row r="23" spans="1:3" ht="13.2" x14ac:dyDescent="0.25">
      <c r="A23" s="6">
        <v>21</v>
      </c>
      <c r="B23" s="7">
        <v>84.949134826660156</v>
      </c>
      <c r="C23" s="3"/>
    </row>
    <row r="24" spans="1:3" ht="13.2" x14ac:dyDescent="0.25">
      <c r="A24" s="6">
        <v>22</v>
      </c>
      <c r="B24" s="7">
        <v>85.3404541015625</v>
      </c>
      <c r="C24" s="3"/>
    </row>
    <row r="25" spans="1:3" ht="13.2" x14ac:dyDescent="0.25">
      <c r="A25" s="6">
        <v>23</v>
      </c>
      <c r="B25" s="7">
        <v>83.19635009765625</v>
      </c>
      <c r="C25" s="3"/>
    </row>
    <row r="26" spans="1:3" ht="13.2" x14ac:dyDescent="0.25">
      <c r="A26" s="6">
        <v>24</v>
      </c>
      <c r="B26" s="7">
        <v>82.707199096679688</v>
      </c>
      <c r="C26" s="3"/>
    </row>
    <row r="27" spans="1:3" ht="13.2" x14ac:dyDescent="0.25">
      <c r="A27" s="6">
        <v>25</v>
      </c>
      <c r="B27" s="7">
        <v>81.247901916503906</v>
      </c>
      <c r="C27" s="3"/>
    </row>
    <row r="28" spans="1:3" ht="13.2" x14ac:dyDescent="0.25">
      <c r="A28" s="6">
        <v>26</v>
      </c>
      <c r="B28" s="7">
        <v>82.266960144042969</v>
      </c>
      <c r="C28" s="3"/>
    </row>
    <row r="29" spans="1:3" ht="13.2" x14ac:dyDescent="0.25">
      <c r="A29" s="6">
        <v>27</v>
      </c>
      <c r="B29" s="7">
        <v>82.030548095703125</v>
      </c>
      <c r="C29" s="3"/>
    </row>
    <row r="30" spans="1:3" ht="13.2" x14ac:dyDescent="0.25">
      <c r="A30" s="6">
        <v>28</v>
      </c>
      <c r="B30" s="7">
        <v>81.728889465332031</v>
      </c>
      <c r="C30" s="3"/>
    </row>
    <row r="31" spans="1:3" ht="13.2" x14ac:dyDescent="0.25">
      <c r="A31" s="6">
        <v>29</v>
      </c>
      <c r="B31" s="7">
        <v>80.717987060546875</v>
      </c>
      <c r="C31" s="3"/>
    </row>
    <row r="32" spans="1:3" ht="13.2" x14ac:dyDescent="0.25">
      <c r="A32" s="6">
        <v>30</v>
      </c>
      <c r="B32" s="7">
        <v>79.527725219726563</v>
      </c>
      <c r="C32" s="3"/>
    </row>
    <row r="33" spans="1:3" ht="13.2" x14ac:dyDescent="0.25">
      <c r="A33" s="6">
        <v>31</v>
      </c>
      <c r="B33" s="7">
        <v>81.639213562011719</v>
      </c>
      <c r="C33" s="3"/>
    </row>
    <row r="34" spans="1:3" ht="13.2" x14ac:dyDescent="0.25">
      <c r="A34" s="6">
        <v>32</v>
      </c>
      <c r="B34" s="7">
        <v>81.7696533203125</v>
      </c>
      <c r="C34" s="3"/>
    </row>
    <row r="35" spans="1:3" ht="13.2" x14ac:dyDescent="0.25">
      <c r="A35" s="6">
        <v>33</v>
      </c>
      <c r="B35" s="7">
        <v>79.617401123046875</v>
      </c>
      <c r="C35" s="3"/>
    </row>
    <row r="36" spans="1:3" ht="13.2" x14ac:dyDescent="0.25">
      <c r="A36" s="6">
        <v>34</v>
      </c>
      <c r="B36" s="7">
        <v>78.125495910644531</v>
      </c>
      <c r="C36" s="3"/>
    </row>
    <row r="37" spans="1:3" ht="13.2" x14ac:dyDescent="0.25">
      <c r="A37" s="6">
        <v>35</v>
      </c>
      <c r="B37" s="7">
        <v>79.43804931640625</v>
      </c>
      <c r="C37" s="3"/>
    </row>
    <row r="38" spans="1:3" ht="13.2" x14ac:dyDescent="0.25">
      <c r="A38" s="6">
        <v>36</v>
      </c>
      <c r="B38" s="7">
        <v>78.207008361816406</v>
      </c>
      <c r="C38" s="3"/>
    </row>
    <row r="39" spans="1:3" ht="13.2" x14ac:dyDescent="0.25">
      <c r="A39" s="6">
        <v>37</v>
      </c>
      <c r="B39" s="7">
        <v>75.98138427734375</v>
      </c>
      <c r="C39" s="3"/>
    </row>
    <row r="40" spans="1:3" ht="13.2" x14ac:dyDescent="0.25">
      <c r="A40" s="6">
        <v>38</v>
      </c>
      <c r="B40" s="7">
        <v>75.679733276367188</v>
      </c>
      <c r="C40" s="3"/>
    </row>
    <row r="41" spans="1:3" ht="13.2" x14ac:dyDescent="0.25">
      <c r="A41" s="6">
        <v>39</v>
      </c>
      <c r="B41" s="7">
        <v>75.280258178710938</v>
      </c>
      <c r="C41" s="3"/>
    </row>
    <row r="42" spans="1:3" ht="13.2" x14ac:dyDescent="0.25">
      <c r="A42" s="6">
        <v>40</v>
      </c>
      <c r="B42" s="7">
        <v>75.826484680175781</v>
      </c>
      <c r="C42" s="3"/>
    </row>
    <row r="43" spans="1:3" ht="13.2" x14ac:dyDescent="0.25">
      <c r="A43" s="6">
        <v>41</v>
      </c>
      <c r="B43" s="7">
        <v>74.195991516113281</v>
      </c>
      <c r="C43" s="3"/>
    </row>
    <row r="44" spans="1:3" ht="13.2" x14ac:dyDescent="0.25">
      <c r="A44" s="6">
        <v>42</v>
      </c>
      <c r="B44" s="7">
        <v>75.687881469726563</v>
      </c>
      <c r="C44" s="3"/>
    </row>
    <row r="45" spans="1:3" ht="13.2" x14ac:dyDescent="0.25">
      <c r="A45" s="6">
        <v>43</v>
      </c>
      <c r="B45" s="7">
        <v>76.935226440429688</v>
      </c>
      <c r="C45" s="3"/>
    </row>
    <row r="46" spans="1:3" ht="13.2" x14ac:dyDescent="0.25">
      <c r="A46" s="6">
        <v>44</v>
      </c>
      <c r="B46" s="7">
        <v>75.451469421386719</v>
      </c>
      <c r="C46" s="3"/>
    </row>
    <row r="47" spans="1:3" ht="13.2" x14ac:dyDescent="0.25">
      <c r="A47" s="6">
        <v>45</v>
      </c>
      <c r="B47" s="7">
        <v>75.785713195800781</v>
      </c>
      <c r="C47" s="3"/>
    </row>
    <row r="48" spans="1:3" ht="13.2" x14ac:dyDescent="0.25">
      <c r="A48" s="6">
        <v>46</v>
      </c>
      <c r="B48" s="7">
        <v>75.696037292480469</v>
      </c>
      <c r="C48" s="3"/>
    </row>
    <row r="49" spans="1:3" ht="13.2" x14ac:dyDescent="0.25">
      <c r="A49" s="6">
        <v>47</v>
      </c>
      <c r="B49" s="7">
        <v>76.136276245117188</v>
      </c>
      <c r="C49" s="3"/>
    </row>
    <row r="50" spans="1:3" ht="13.2" x14ac:dyDescent="0.25">
      <c r="A50" s="6">
        <v>48</v>
      </c>
      <c r="B50" s="7">
        <v>75.859092712402344</v>
      </c>
      <c r="C50" s="3"/>
    </row>
    <row r="51" spans="1:3" ht="13.2" x14ac:dyDescent="0.25">
      <c r="A51" s="6">
        <v>49</v>
      </c>
      <c r="B51" s="7">
        <v>75.402557373046875</v>
      </c>
      <c r="C51" s="3"/>
    </row>
    <row r="52" spans="1:3" ht="13.2" x14ac:dyDescent="0.25">
      <c r="A52" s="6">
        <v>50</v>
      </c>
      <c r="B52" s="7">
        <v>74.937858581542969</v>
      </c>
      <c r="C52" s="3"/>
    </row>
    <row r="53" spans="1:3" ht="13.2" x14ac:dyDescent="0.25">
      <c r="A53" s="6">
        <v>51</v>
      </c>
      <c r="B53" s="7">
        <v>74.440559387207031</v>
      </c>
      <c r="C53" s="3"/>
    </row>
    <row r="54" spans="1:3" ht="13.2" x14ac:dyDescent="0.25">
      <c r="A54" s="6">
        <v>52</v>
      </c>
      <c r="B54" s="7">
        <v>75.239494323730469</v>
      </c>
      <c r="C54" s="3"/>
    </row>
    <row r="55" spans="1:3" ht="13.2" x14ac:dyDescent="0.25">
      <c r="A55" s="6">
        <v>53</v>
      </c>
      <c r="B55" s="7">
        <v>76.772171020507813</v>
      </c>
      <c r="C55" s="3"/>
    </row>
    <row r="56" spans="1:3" ht="13.2" x14ac:dyDescent="0.25">
      <c r="A56" s="6">
        <v>54</v>
      </c>
      <c r="B56" s="7">
        <v>76.201499938964844</v>
      </c>
      <c r="C56" s="3"/>
    </row>
    <row r="57" spans="1:3" ht="13.2" x14ac:dyDescent="0.25">
      <c r="A57" s="6">
        <v>55</v>
      </c>
      <c r="B57" s="7">
        <v>76.470535278320313</v>
      </c>
      <c r="C57" s="3"/>
    </row>
    <row r="58" spans="1:3" ht="13.2" x14ac:dyDescent="0.25">
      <c r="A58" s="6">
        <v>56</v>
      </c>
      <c r="B58" s="7">
        <v>76.715095520019531</v>
      </c>
      <c r="C58" s="3"/>
    </row>
    <row r="59" spans="1:3" ht="13.2" x14ac:dyDescent="0.25">
      <c r="A59" s="6">
        <v>57</v>
      </c>
      <c r="B59" s="7">
        <v>77.905357360839844</v>
      </c>
      <c r="C59" s="3"/>
    </row>
    <row r="60" spans="1:3" ht="13.2" x14ac:dyDescent="0.25">
      <c r="A60" s="6">
        <v>58</v>
      </c>
      <c r="B60" s="7">
        <v>78.329299926757813</v>
      </c>
      <c r="C60" s="3"/>
    </row>
    <row r="61" spans="1:3" ht="13.2" x14ac:dyDescent="0.25">
      <c r="A61" s="6">
        <v>59</v>
      </c>
      <c r="B61" s="7">
        <v>77.636344909667969</v>
      </c>
      <c r="C61" s="3"/>
    </row>
    <row r="62" spans="1:3" ht="13.2" x14ac:dyDescent="0.25">
      <c r="A62" s="6">
        <v>60</v>
      </c>
      <c r="B62" s="7">
        <v>77.864608764648438</v>
      </c>
      <c r="C62" s="3"/>
    </row>
    <row r="63" spans="1:3" ht="13.2" x14ac:dyDescent="0.25">
      <c r="A63" s="6">
        <v>61</v>
      </c>
      <c r="B63" s="7">
        <v>79.959800720214844</v>
      </c>
      <c r="C63" s="3"/>
    </row>
    <row r="64" spans="1:3" ht="13.2" x14ac:dyDescent="0.25">
      <c r="A64" s="6">
        <v>62</v>
      </c>
      <c r="B64" s="7">
        <v>79.633705139160156</v>
      </c>
      <c r="C64" s="3"/>
    </row>
    <row r="65" spans="1:3" ht="13.2" x14ac:dyDescent="0.25">
      <c r="A65" s="6">
        <v>63</v>
      </c>
      <c r="B65" s="7">
        <v>78.361907958984375</v>
      </c>
      <c r="C65" s="3"/>
    </row>
    <row r="66" spans="1:3" ht="13.2" x14ac:dyDescent="0.25">
      <c r="A66" s="6">
        <v>64</v>
      </c>
      <c r="B66" s="7">
        <v>78.321144104003906</v>
      </c>
      <c r="C66" s="3"/>
    </row>
    <row r="67" spans="1:3" ht="13.2" x14ac:dyDescent="0.25">
      <c r="A67" s="6">
        <v>65</v>
      </c>
      <c r="B67" s="7">
        <v>77.187957763671875</v>
      </c>
      <c r="C67" s="3"/>
    </row>
    <row r="68" spans="1:3" ht="13.2" x14ac:dyDescent="0.25">
      <c r="A68" s="6">
        <v>66</v>
      </c>
      <c r="B68" s="7">
        <v>78.109176635742188</v>
      </c>
      <c r="C68" s="3"/>
    </row>
    <row r="69" spans="1:3" ht="13.2" x14ac:dyDescent="0.25">
      <c r="A69" s="6">
        <v>67</v>
      </c>
      <c r="B69" s="7">
        <v>78.076576232910156</v>
      </c>
      <c r="C69" s="3"/>
    </row>
    <row r="70" spans="1:3" ht="13.2" x14ac:dyDescent="0.25">
      <c r="A70" s="6">
        <v>68</v>
      </c>
      <c r="B70" s="7">
        <v>76.837394714355469</v>
      </c>
      <c r="C70" s="3"/>
    </row>
    <row r="71" spans="1:3" ht="13.2" x14ac:dyDescent="0.25">
      <c r="A71" s="6">
        <v>69</v>
      </c>
      <c r="B71" s="7">
        <v>77.913520812988281</v>
      </c>
      <c r="C71" s="3"/>
    </row>
    <row r="72" spans="1:3" ht="13.2" x14ac:dyDescent="0.25">
      <c r="A72" s="6">
        <v>70</v>
      </c>
      <c r="B72" s="7">
        <v>77.351005554199219</v>
      </c>
      <c r="C72" s="3"/>
    </row>
    <row r="73" spans="1:3" ht="13.2" x14ac:dyDescent="0.25">
      <c r="A73" s="6">
        <v>71</v>
      </c>
      <c r="B73" s="7">
        <v>74.840042114257813</v>
      </c>
      <c r="C73" s="3"/>
    </row>
    <row r="74" spans="1:3" ht="13.2" x14ac:dyDescent="0.25">
      <c r="A74" s="6">
        <v>72</v>
      </c>
      <c r="B74" s="7">
        <v>75.744964599609375</v>
      </c>
      <c r="C74" s="3"/>
    </row>
    <row r="75" spans="1:3" ht="13.2" x14ac:dyDescent="0.25">
      <c r="A75" s="6">
        <v>73</v>
      </c>
      <c r="B75" s="7">
        <v>74.6688232421875</v>
      </c>
      <c r="C75" s="3"/>
    </row>
    <row r="76" spans="1:3" ht="13.2" x14ac:dyDescent="0.25">
      <c r="A76" s="6">
        <v>74</v>
      </c>
      <c r="B76" s="7">
        <v>73.079086303710938</v>
      </c>
      <c r="C76" s="3"/>
    </row>
    <row r="77" spans="1:3" ht="13.2" x14ac:dyDescent="0.25">
      <c r="A77" s="6">
        <v>75</v>
      </c>
      <c r="B77" s="7">
        <v>72.157852172851563</v>
      </c>
      <c r="C77" s="3"/>
    </row>
    <row r="78" spans="1:3" ht="13.2" x14ac:dyDescent="0.25">
      <c r="A78" s="6">
        <v>76</v>
      </c>
      <c r="B78" s="7">
        <v>72.467643737792969</v>
      </c>
      <c r="C78" s="3"/>
    </row>
    <row r="79" spans="1:3" ht="13.2" x14ac:dyDescent="0.25">
      <c r="A79" s="6">
        <v>77</v>
      </c>
      <c r="B79" s="7">
        <v>70.364280700683594</v>
      </c>
      <c r="C79" s="3"/>
    </row>
    <row r="80" spans="1:3" ht="13.2" x14ac:dyDescent="0.25">
      <c r="A80" s="6">
        <v>78</v>
      </c>
      <c r="B80" s="7">
        <v>70.396903991699219</v>
      </c>
      <c r="C80" s="3"/>
    </row>
    <row r="81" spans="1:3" ht="13.2" x14ac:dyDescent="0.25">
      <c r="A81" s="6">
        <v>79</v>
      </c>
      <c r="B81" s="7">
        <v>70.405059814453125</v>
      </c>
      <c r="C81" s="3"/>
    </row>
    <row r="82" spans="1:3" ht="13.2" x14ac:dyDescent="0.25">
      <c r="A82" s="6">
        <v>80</v>
      </c>
      <c r="B82" s="7">
        <v>70.364280700683594</v>
      </c>
      <c r="C82" s="3"/>
    </row>
    <row r="83" spans="1:3" ht="13.2" x14ac:dyDescent="0.25">
      <c r="A83" s="6">
        <v>81</v>
      </c>
      <c r="B83" s="7">
        <v>70.62518310546875</v>
      </c>
      <c r="C83" s="3"/>
    </row>
    <row r="84" spans="1:3" ht="13.2" x14ac:dyDescent="0.25">
      <c r="A84" s="6">
        <v>82</v>
      </c>
      <c r="B84" s="7">
        <v>70.323532104492188</v>
      </c>
      <c r="C84" s="3"/>
    </row>
    <row r="85" spans="1:3" ht="13.2" x14ac:dyDescent="0.25">
      <c r="A85" s="6">
        <v>83</v>
      </c>
      <c r="B85" s="7">
        <v>70.429512023925781</v>
      </c>
      <c r="C85" s="3"/>
    </row>
    <row r="86" spans="1:3" ht="13.2" x14ac:dyDescent="0.25">
      <c r="A86" s="6">
        <v>84</v>
      </c>
      <c r="B86" s="7">
        <v>71.95404052734375</v>
      </c>
      <c r="C86" s="3"/>
    </row>
    <row r="87" spans="1:3" ht="13.2" x14ac:dyDescent="0.25">
      <c r="A87" s="6">
        <v>85</v>
      </c>
      <c r="B87" s="7">
        <v>72.720367431640625</v>
      </c>
      <c r="C87" s="3"/>
    </row>
    <row r="88" spans="1:3" ht="13.2" x14ac:dyDescent="0.25">
      <c r="A88" s="6">
        <v>86</v>
      </c>
      <c r="B88" s="7">
        <v>73.185066223144531</v>
      </c>
      <c r="C88" s="3"/>
    </row>
    <row r="89" spans="1:3" ht="13.2" x14ac:dyDescent="0.25">
      <c r="A89" s="6">
        <v>87</v>
      </c>
      <c r="B89" s="7">
        <v>74.244888305664063</v>
      </c>
      <c r="C89" s="3"/>
    </row>
    <row r="90" spans="1:3" ht="13.2" x14ac:dyDescent="0.25">
      <c r="A90" s="6">
        <v>88</v>
      </c>
      <c r="B90" s="7">
        <v>72.451347351074219</v>
      </c>
      <c r="C90" s="3"/>
    </row>
    <row r="91" spans="1:3" ht="13.2" x14ac:dyDescent="0.25">
      <c r="A91" s="6">
        <v>89</v>
      </c>
      <c r="B91" s="7">
        <v>73.6416015625</v>
      </c>
      <c r="C91" s="3"/>
    </row>
    <row r="92" spans="1:3" ht="13.2" x14ac:dyDescent="0.25">
      <c r="A92" s="6">
        <v>90</v>
      </c>
      <c r="B92" s="7">
        <v>73.772048950195313</v>
      </c>
      <c r="C92" s="3"/>
    </row>
    <row r="93" spans="1:3" ht="13.2" x14ac:dyDescent="0.25">
      <c r="A93" s="6">
        <v>91</v>
      </c>
      <c r="B93" s="7">
        <v>72.532867431640625</v>
      </c>
      <c r="C93" s="3"/>
    </row>
    <row r="94" spans="1:3" ht="13.2" x14ac:dyDescent="0.25">
      <c r="A94" s="6">
        <v>92</v>
      </c>
      <c r="B94" s="7">
        <v>73.527473449707031</v>
      </c>
      <c r="C94" s="3"/>
    </row>
    <row r="95" spans="1:3" ht="13.2" x14ac:dyDescent="0.25">
      <c r="A95" s="6">
        <v>93</v>
      </c>
      <c r="B95" s="7">
        <v>71.905120849609375</v>
      </c>
      <c r="C95" s="3"/>
    </row>
    <row r="96" spans="1:3" ht="13.2" x14ac:dyDescent="0.25">
      <c r="A96" s="6">
        <v>94</v>
      </c>
      <c r="B96" s="7">
        <v>72.867118835449219</v>
      </c>
      <c r="C96" s="3"/>
    </row>
    <row r="97" spans="1:3" ht="13.2" x14ac:dyDescent="0.25">
      <c r="A97" s="6">
        <v>95</v>
      </c>
      <c r="B97" s="7">
        <v>73.1524658203125</v>
      </c>
      <c r="C97" s="3"/>
    </row>
    <row r="98" spans="1:3" ht="13.2" x14ac:dyDescent="0.25">
      <c r="A98" s="6">
        <v>96</v>
      </c>
      <c r="B98" s="7">
        <v>73.01385498046875</v>
      </c>
      <c r="C98" s="3"/>
    </row>
    <row r="99" spans="1:3" ht="13.2" x14ac:dyDescent="0.25">
      <c r="A99" s="6">
        <v>97</v>
      </c>
      <c r="B99" s="7">
        <v>73.584548950195313</v>
      </c>
      <c r="C99" s="3"/>
    </row>
    <row r="100" spans="1:3" ht="13.2" x14ac:dyDescent="0.25">
      <c r="A100" s="6">
        <v>98</v>
      </c>
      <c r="B100" s="7">
        <v>73.845428466796875</v>
      </c>
      <c r="C100" s="3"/>
    </row>
    <row r="101" spans="1:3" ht="13.2" x14ac:dyDescent="0.25">
      <c r="A101" s="6">
        <v>99</v>
      </c>
      <c r="B101" s="7">
        <v>73.845428466796875</v>
      </c>
      <c r="C101" s="3"/>
    </row>
    <row r="102" spans="1:3" ht="13.2" x14ac:dyDescent="0.25">
      <c r="A102" s="6">
        <v>100</v>
      </c>
      <c r="B102" s="7">
        <v>73.959556579589844</v>
      </c>
      <c r="C102" s="3"/>
    </row>
    <row r="103" spans="1:3" ht="13.2" x14ac:dyDescent="0.25">
      <c r="A103" s="6">
        <v>101</v>
      </c>
      <c r="B103" s="7">
        <v>72.435043334960938</v>
      </c>
      <c r="C103" s="3"/>
    </row>
    <row r="104" spans="1:3" ht="13.2" x14ac:dyDescent="0.25">
      <c r="A104" s="6">
        <v>102</v>
      </c>
      <c r="B104" s="7">
        <v>72.043724060058594</v>
      </c>
      <c r="C104" s="3"/>
    </row>
    <row r="105" spans="1:3" ht="13.2" x14ac:dyDescent="0.25">
      <c r="A105" s="6">
        <v>103</v>
      </c>
      <c r="B105" s="7">
        <v>70.89422607421875</v>
      </c>
      <c r="C105" s="3"/>
    </row>
    <row r="106" spans="1:3" ht="13.2" x14ac:dyDescent="0.25">
      <c r="A106" s="6">
        <v>104</v>
      </c>
      <c r="B106" s="7">
        <v>70.62518310546875</v>
      </c>
      <c r="C106" s="3"/>
    </row>
    <row r="107" spans="1:3" ht="13.2" x14ac:dyDescent="0.25">
      <c r="A107" s="6">
        <v>105</v>
      </c>
      <c r="B107" s="7">
        <v>70.62518310546875</v>
      </c>
      <c r="C107" s="3"/>
    </row>
    <row r="108" spans="1:3" ht="13.2" x14ac:dyDescent="0.25">
      <c r="A108" s="6">
        <v>106</v>
      </c>
      <c r="B108" s="7">
        <v>70.959434509277344</v>
      </c>
      <c r="C108" s="3"/>
    </row>
    <row r="109" spans="1:3" ht="13.2" x14ac:dyDescent="0.25">
      <c r="A109" s="6">
        <v>107</v>
      </c>
      <c r="B109" s="7">
        <v>71.733924865722656</v>
      </c>
      <c r="C109" s="3"/>
    </row>
    <row r="110" spans="1:3" ht="13.2" x14ac:dyDescent="0.25">
      <c r="A110" s="6">
        <v>108</v>
      </c>
      <c r="B110" s="7">
        <v>71.513801574707031</v>
      </c>
      <c r="C110" s="3"/>
    </row>
    <row r="111" spans="1:3" ht="13.2" x14ac:dyDescent="0.25">
      <c r="A111" s="6">
        <v>109</v>
      </c>
      <c r="B111" s="7">
        <v>71.15509033203125</v>
      </c>
      <c r="C111" s="3"/>
    </row>
    <row r="112" spans="1:3" ht="13.2" x14ac:dyDescent="0.25">
      <c r="A112" s="6">
        <v>110</v>
      </c>
      <c r="B112" s="7">
        <v>70.347999572753906</v>
      </c>
      <c r="C112" s="3"/>
    </row>
    <row r="113" spans="1:3" ht="13.2" x14ac:dyDescent="0.25">
      <c r="A113" s="6">
        <v>111</v>
      </c>
      <c r="B113" s="7">
        <v>69.63873291015625</v>
      </c>
      <c r="C113" s="3"/>
    </row>
    <row r="114" spans="1:3" ht="13.2" x14ac:dyDescent="0.25">
      <c r="A114" s="6">
        <v>112</v>
      </c>
      <c r="B114" s="7">
        <v>67.519065856933594</v>
      </c>
      <c r="C114" s="3"/>
    </row>
    <row r="115" spans="1:3" ht="13.2" x14ac:dyDescent="0.25">
      <c r="A115" s="6">
        <v>113</v>
      </c>
      <c r="B115" s="7">
        <v>64.923797607421875</v>
      </c>
      <c r="C115" s="3"/>
    </row>
    <row r="116" spans="1:3" ht="13.2" x14ac:dyDescent="0.25">
      <c r="A116" s="6">
        <v>114</v>
      </c>
      <c r="B116" s="7">
        <v>67.460273742675781</v>
      </c>
      <c r="C116" s="3"/>
    </row>
    <row r="117" spans="1:3" ht="13.2" x14ac:dyDescent="0.25">
      <c r="A117" s="6">
        <v>115</v>
      </c>
      <c r="B117" s="7">
        <v>68.955291748046875</v>
      </c>
      <c r="C117" s="3"/>
    </row>
    <row r="118" spans="1:3" ht="13.2" x14ac:dyDescent="0.25">
      <c r="A118" s="6">
        <v>116</v>
      </c>
      <c r="B118" s="7">
        <v>69.778388977050781</v>
      </c>
      <c r="C118" s="3"/>
    </row>
    <row r="119" spans="1:3" ht="13.2" x14ac:dyDescent="0.25">
      <c r="A119" s="6">
        <v>117</v>
      </c>
      <c r="B119" s="7">
        <v>72.130088806152344</v>
      </c>
      <c r="C119" s="3"/>
    </row>
    <row r="120" spans="1:3" ht="13.2" x14ac:dyDescent="0.25">
      <c r="A120" s="6">
        <v>118</v>
      </c>
      <c r="B120" s="7">
        <v>72.05450439453125</v>
      </c>
      <c r="C120" s="3"/>
    </row>
    <row r="121" spans="1:3" ht="13.2" x14ac:dyDescent="0.25">
      <c r="A121" s="6">
        <v>119</v>
      </c>
      <c r="B121" s="7">
        <v>72.986793518066406</v>
      </c>
      <c r="C121" s="3"/>
    </row>
    <row r="122" spans="1:3" ht="13.2" x14ac:dyDescent="0.25">
      <c r="A122" s="6">
        <v>120</v>
      </c>
      <c r="B122" s="7">
        <v>74.112236022949219</v>
      </c>
      <c r="C122" s="3"/>
    </row>
    <row r="123" spans="1:3" ht="13.2" x14ac:dyDescent="0.25">
      <c r="A123" s="6">
        <v>121</v>
      </c>
      <c r="B123" s="7">
        <v>77.2198486328125</v>
      </c>
      <c r="C123" s="3"/>
    </row>
    <row r="124" spans="1:3" ht="13.2" x14ac:dyDescent="0.25">
      <c r="A124" s="6">
        <v>122</v>
      </c>
      <c r="B124" s="7">
        <v>75.632453918457031</v>
      </c>
      <c r="C124" s="3"/>
    </row>
    <row r="125" spans="1:3" ht="13.2" x14ac:dyDescent="0.25">
      <c r="A125" s="6">
        <v>123</v>
      </c>
      <c r="B125" s="7">
        <v>77.186264038085938</v>
      </c>
      <c r="C125" s="3"/>
    </row>
    <row r="126" spans="1:3" ht="13.2" x14ac:dyDescent="0.25">
      <c r="A126" s="6">
        <v>124</v>
      </c>
      <c r="B126" s="7">
        <v>77.429817199707031</v>
      </c>
      <c r="C126" s="3"/>
    </row>
    <row r="127" spans="1:3" ht="13.2" x14ac:dyDescent="0.25">
      <c r="A127" s="6">
        <v>125</v>
      </c>
      <c r="B127" s="7">
        <v>77.379425048828125</v>
      </c>
      <c r="C127" s="3"/>
    </row>
    <row r="128" spans="1:3" ht="13.2" x14ac:dyDescent="0.25">
      <c r="A128" s="6">
        <v>126</v>
      </c>
      <c r="B128" s="7">
        <v>77.463417053222656</v>
      </c>
      <c r="C128" s="3"/>
    </row>
    <row r="129" spans="1:3" ht="13.2" x14ac:dyDescent="0.25">
      <c r="A129" s="6">
        <v>127</v>
      </c>
      <c r="B129" s="7">
        <v>77.539016723632813</v>
      </c>
      <c r="C129" s="3"/>
    </row>
    <row r="130" spans="1:3" ht="13.2" x14ac:dyDescent="0.25">
      <c r="A130" s="6">
        <v>128</v>
      </c>
      <c r="B130" s="7">
        <v>76.564735412597656</v>
      </c>
      <c r="C130" s="3"/>
    </row>
    <row r="131" spans="1:3" ht="13.2" x14ac:dyDescent="0.25">
      <c r="A131" s="6">
        <v>129</v>
      </c>
      <c r="B131" s="7">
        <v>77.043472290039063</v>
      </c>
      <c r="C131" s="3"/>
    </row>
    <row r="132" spans="1:3" ht="13.2" x14ac:dyDescent="0.25">
      <c r="A132" s="6">
        <v>130</v>
      </c>
      <c r="B132" s="7">
        <v>77.093864440917969</v>
      </c>
      <c r="C132" s="3"/>
    </row>
    <row r="133" spans="1:3" ht="13.2" x14ac:dyDescent="0.25">
      <c r="A133" s="6">
        <v>131</v>
      </c>
      <c r="B133" s="7">
        <v>77.093864440917969</v>
      </c>
      <c r="C133" s="3"/>
    </row>
    <row r="134" spans="1:3" ht="13.2" x14ac:dyDescent="0.25">
      <c r="A134" s="6">
        <v>132</v>
      </c>
      <c r="B134" s="7">
        <v>74.112236022949219</v>
      </c>
      <c r="C134" s="3"/>
    </row>
    <row r="135" spans="1:3" ht="13.2" x14ac:dyDescent="0.25">
      <c r="A135" s="6">
        <v>133</v>
      </c>
      <c r="B135" s="7">
        <v>76.480735778808594</v>
      </c>
      <c r="C135" s="3"/>
    </row>
    <row r="136" spans="1:3" ht="13.2" x14ac:dyDescent="0.25">
      <c r="A136" s="6">
        <v>134</v>
      </c>
      <c r="B136" s="7">
        <v>77.135856628417969</v>
      </c>
      <c r="C136" s="3"/>
    </row>
    <row r="137" spans="1:3" ht="13.2" x14ac:dyDescent="0.25">
      <c r="A137" s="6">
        <v>135</v>
      </c>
      <c r="B137" s="7">
        <v>78.849258422851563</v>
      </c>
      <c r="C137" s="3"/>
    </row>
    <row r="138" spans="1:3" ht="13.2" x14ac:dyDescent="0.25">
      <c r="A138" s="6">
        <v>136</v>
      </c>
      <c r="B138" s="7">
        <v>77.530601501464844</v>
      </c>
      <c r="C138" s="3"/>
    </row>
    <row r="139" spans="1:3" ht="13.2" x14ac:dyDescent="0.25">
      <c r="A139" s="6">
        <v>137</v>
      </c>
      <c r="B139" s="7">
        <v>78.042945861816406</v>
      </c>
      <c r="C139" s="3"/>
    </row>
    <row r="140" spans="1:3" ht="13.2" x14ac:dyDescent="0.25">
      <c r="A140" s="6">
        <v>138</v>
      </c>
      <c r="B140" s="7">
        <v>77.161064147949219</v>
      </c>
      <c r="C140" s="3"/>
    </row>
    <row r="141" spans="1:3" ht="13.2" x14ac:dyDescent="0.25">
      <c r="A141" s="6">
        <v>139</v>
      </c>
      <c r="B141" s="7">
        <v>76.388359069824219</v>
      </c>
      <c r="C141" s="3"/>
    </row>
    <row r="142" spans="1:3" ht="13.2" x14ac:dyDescent="0.25">
      <c r="A142" s="6">
        <v>140</v>
      </c>
      <c r="B142" s="7">
        <v>76.337959289550781</v>
      </c>
      <c r="C142" s="3"/>
    </row>
    <row r="143" spans="1:3" ht="13.2" x14ac:dyDescent="0.25">
      <c r="A143" s="6">
        <v>141</v>
      </c>
      <c r="B143" s="7">
        <v>77.597808837890625</v>
      </c>
      <c r="C143" s="3"/>
    </row>
    <row r="144" spans="1:3" ht="13.2" x14ac:dyDescent="0.25">
      <c r="A144" s="6">
        <v>142</v>
      </c>
      <c r="B144" s="7">
        <v>77.387832641601563</v>
      </c>
      <c r="C144" s="3"/>
    </row>
    <row r="145" spans="1:3" ht="13.2" x14ac:dyDescent="0.25">
      <c r="A145" s="6">
        <v>143</v>
      </c>
      <c r="B145" s="7">
        <v>77.194656372070313</v>
      </c>
      <c r="C145" s="3"/>
    </row>
    <row r="146" spans="1:3" ht="13.2" x14ac:dyDescent="0.25">
      <c r="A146" s="6">
        <v>144</v>
      </c>
      <c r="B146" s="7">
        <v>76.447151184082031</v>
      </c>
      <c r="C146" s="3"/>
    </row>
    <row r="147" spans="1:3" ht="13.2" x14ac:dyDescent="0.25">
      <c r="A147" s="6">
        <v>145</v>
      </c>
      <c r="B147" s="7">
        <v>76.312767028808594</v>
      </c>
      <c r="C147" s="3"/>
    </row>
    <row r="148" spans="1:3" ht="13.2" x14ac:dyDescent="0.25">
      <c r="A148" s="6">
        <v>146</v>
      </c>
      <c r="B148" s="7">
        <v>77.287040710449219</v>
      </c>
      <c r="C148" s="3"/>
    </row>
    <row r="149" spans="1:3" ht="13.2" x14ac:dyDescent="0.25">
      <c r="A149" s="6">
        <v>147</v>
      </c>
      <c r="B149" s="7">
        <v>77.396224975585938</v>
      </c>
      <c r="C149" s="3"/>
    </row>
    <row r="150" spans="1:3" ht="13.2" x14ac:dyDescent="0.25">
      <c r="A150" s="6">
        <v>148</v>
      </c>
      <c r="B150" s="7">
        <v>76.002006530761719</v>
      </c>
      <c r="C150" s="3"/>
    </row>
    <row r="151" spans="1:3" ht="13.2" x14ac:dyDescent="0.25">
      <c r="A151" s="6">
        <v>149</v>
      </c>
      <c r="B151" s="7">
        <v>75.178909301757813</v>
      </c>
      <c r="C151" s="3"/>
    </row>
    <row r="152" spans="1:3" ht="13.2" x14ac:dyDescent="0.25">
      <c r="A152" s="6">
        <v>150</v>
      </c>
      <c r="B152" s="7">
        <v>75.993598937988281</v>
      </c>
      <c r="C152" s="3"/>
    </row>
    <row r="153" spans="1:3" ht="13.2" x14ac:dyDescent="0.25">
      <c r="A153" s="6">
        <v>151</v>
      </c>
      <c r="B153" s="7">
        <v>75.514869689941406</v>
      </c>
      <c r="C153" s="3"/>
    </row>
    <row r="154" spans="1:3" ht="13.2" x14ac:dyDescent="0.25">
      <c r="A154" s="6">
        <v>152</v>
      </c>
      <c r="B154" s="7">
        <v>77.24505615234375</v>
      </c>
      <c r="C154" s="3"/>
    </row>
    <row r="155" spans="1:3" ht="13.2" x14ac:dyDescent="0.25">
      <c r="A155" s="6">
        <v>153</v>
      </c>
      <c r="B155" s="7">
        <v>78.059745788574219</v>
      </c>
      <c r="C155" s="3"/>
    </row>
    <row r="156" spans="1:3" ht="13.2" x14ac:dyDescent="0.25">
      <c r="A156" s="6">
        <v>154</v>
      </c>
      <c r="B156" s="7">
        <v>78.000953674316406</v>
      </c>
      <c r="C156" s="3"/>
    </row>
    <row r="157" spans="1:3" ht="13.2" x14ac:dyDescent="0.25">
      <c r="A157" s="6">
        <v>155</v>
      </c>
      <c r="B157" s="7">
        <v>76.858695983886719</v>
      </c>
      <c r="C157" s="3"/>
    </row>
    <row r="158" spans="1:3" ht="13.2" x14ac:dyDescent="0.25">
      <c r="A158" s="6">
        <v>156</v>
      </c>
      <c r="B158" s="7">
        <v>76.463951110839844</v>
      </c>
      <c r="C158" s="3"/>
    </row>
    <row r="159" spans="1:3" ht="13.2" x14ac:dyDescent="0.25">
      <c r="A159" s="6">
        <v>157</v>
      </c>
      <c r="B159" s="7">
        <v>77.177848815917969</v>
      </c>
      <c r="C159" s="3"/>
    </row>
    <row r="160" spans="1:3" ht="13.2" x14ac:dyDescent="0.25">
      <c r="A160" s="6">
        <v>158</v>
      </c>
      <c r="B160" s="7">
        <v>77.312248229980469</v>
      </c>
      <c r="C160" s="3"/>
    </row>
    <row r="161" spans="1:3" ht="13.2" x14ac:dyDescent="0.25">
      <c r="A161" s="6">
        <v>159</v>
      </c>
      <c r="B161" s="7">
        <v>78.521690368652344</v>
      </c>
      <c r="C161" s="3"/>
    </row>
    <row r="162" spans="1:3" ht="13.2" x14ac:dyDescent="0.25">
      <c r="A162" s="6">
        <v>160</v>
      </c>
      <c r="B162" s="7">
        <v>78.731643676757813</v>
      </c>
      <c r="C162" s="3"/>
    </row>
    <row r="163" spans="1:3" ht="13.2" x14ac:dyDescent="0.25">
      <c r="A163" s="6">
        <v>161</v>
      </c>
      <c r="B163" s="7">
        <v>78.101737976074219</v>
      </c>
      <c r="C163" s="3"/>
    </row>
    <row r="164" spans="1:3" ht="13.2" x14ac:dyDescent="0.25">
      <c r="A164" s="6">
        <v>162</v>
      </c>
      <c r="B164" s="7">
        <v>77.790977478027344</v>
      </c>
      <c r="C164" s="3"/>
    </row>
    <row r="165" spans="1:3" ht="13.2" x14ac:dyDescent="0.25">
      <c r="A165" s="6">
        <v>163</v>
      </c>
      <c r="B165" s="7">
        <v>77.933753967285156</v>
      </c>
      <c r="C165" s="3"/>
    </row>
    <row r="166" spans="1:3" ht="13.2" x14ac:dyDescent="0.25">
      <c r="A166" s="6">
        <v>164</v>
      </c>
      <c r="B166" s="7">
        <v>78.194122314453125</v>
      </c>
      <c r="C166" s="3"/>
    </row>
    <row r="167" spans="1:3" ht="13.2" x14ac:dyDescent="0.25">
      <c r="A167" s="6">
        <v>165</v>
      </c>
      <c r="B167" s="7">
        <v>77.858169555664063</v>
      </c>
      <c r="C167" s="3"/>
    </row>
    <row r="168" spans="1:3" ht="13.2" x14ac:dyDescent="0.25">
      <c r="A168" s="6">
        <v>166</v>
      </c>
      <c r="B168" s="7">
        <v>77.077064514160156</v>
      </c>
      <c r="C168" s="3"/>
    </row>
    <row r="169" spans="1:3" ht="13.2" x14ac:dyDescent="0.25">
      <c r="A169" s="6">
        <v>167</v>
      </c>
      <c r="B169" s="7">
        <v>77.387832641601563</v>
      </c>
      <c r="C169" s="3"/>
    </row>
    <row r="170" spans="1:3" ht="13.2" x14ac:dyDescent="0.25">
      <c r="A170" s="6">
        <v>168</v>
      </c>
      <c r="B170" s="7">
        <v>76.589927673339844</v>
      </c>
      <c r="C170" s="3"/>
    </row>
    <row r="171" spans="1:3" ht="13.2" x14ac:dyDescent="0.25">
      <c r="A171" s="6">
        <v>169</v>
      </c>
      <c r="B171" s="7">
        <v>76.841896057128906</v>
      </c>
      <c r="C171" s="3"/>
    </row>
    <row r="172" spans="1:3" ht="13.2" x14ac:dyDescent="0.25">
      <c r="A172" s="6">
        <v>170</v>
      </c>
      <c r="B172" s="7">
        <v>77.648193359375</v>
      </c>
      <c r="C172" s="3"/>
    </row>
    <row r="173" spans="1:3" ht="13.2" x14ac:dyDescent="0.25">
      <c r="A173" s="6">
        <v>171</v>
      </c>
      <c r="B173" s="7">
        <v>77.093864440917969</v>
      </c>
      <c r="C173" s="3"/>
    </row>
    <row r="174" spans="1:3" ht="13.2" x14ac:dyDescent="0.25">
      <c r="A174" s="6">
        <v>172</v>
      </c>
      <c r="B174" s="7">
        <v>78.303329467773438</v>
      </c>
      <c r="C174" s="3"/>
    </row>
    <row r="175" spans="1:3" ht="13.2" x14ac:dyDescent="0.25">
      <c r="A175" s="6">
        <v>173</v>
      </c>
      <c r="B175" s="7">
        <v>75.867630004882813</v>
      </c>
      <c r="C175" s="3"/>
    </row>
    <row r="176" spans="1:3" ht="13.2" x14ac:dyDescent="0.25">
      <c r="A176" s="6">
        <v>174</v>
      </c>
      <c r="B176" s="7">
        <v>76.12799072265625</v>
      </c>
      <c r="C176" s="3"/>
    </row>
    <row r="177" spans="1:3" ht="13.2" x14ac:dyDescent="0.25">
      <c r="A177" s="6">
        <v>175</v>
      </c>
      <c r="B177" s="7">
        <v>74.683357238769531</v>
      </c>
      <c r="C177" s="3"/>
    </row>
    <row r="178" spans="1:3" ht="13.2" x14ac:dyDescent="0.25">
      <c r="A178" s="6">
        <v>176</v>
      </c>
      <c r="B178" s="7">
        <v>76.161582946777344</v>
      </c>
      <c r="C178" s="3"/>
    </row>
    <row r="179" spans="1:3" ht="13.2" x14ac:dyDescent="0.25">
      <c r="A179" s="6">
        <v>177</v>
      </c>
      <c r="B179" s="7">
        <v>75.800422668457031</v>
      </c>
      <c r="C179" s="3"/>
    </row>
    <row r="180" spans="1:3" ht="13.2" x14ac:dyDescent="0.25">
      <c r="A180" s="6">
        <v>178</v>
      </c>
      <c r="B180" s="7">
        <v>74.985733032226563</v>
      </c>
      <c r="C180" s="3"/>
    </row>
    <row r="181" spans="1:3" ht="13.2" x14ac:dyDescent="0.25">
      <c r="A181" s="6">
        <v>179</v>
      </c>
      <c r="B181" s="7">
        <v>75.842430114746094</v>
      </c>
      <c r="C181" s="3"/>
    </row>
    <row r="182" spans="1:3" ht="13.2" x14ac:dyDescent="0.25">
      <c r="A182" s="6">
        <v>180</v>
      </c>
      <c r="B182" s="7">
        <v>75.044525146484375</v>
      </c>
      <c r="C182" s="3"/>
    </row>
    <row r="183" spans="1:3" ht="13.2" x14ac:dyDescent="0.25">
      <c r="A183" s="6">
        <v>181</v>
      </c>
      <c r="B183" s="7">
        <v>75.867630004882813</v>
      </c>
      <c r="C183" s="3"/>
    </row>
    <row r="184" spans="1:3" ht="13.2" x14ac:dyDescent="0.25">
      <c r="A184" s="6">
        <v>182</v>
      </c>
      <c r="B184" s="7">
        <v>75.666046142578125</v>
      </c>
      <c r="C184" s="3"/>
    </row>
    <row r="185" spans="1:3" ht="13.2" x14ac:dyDescent="0.25">
      <c r="A185" s="6">
        <v>183</v>
      </c>
      <c r="B185" s="7">
        <v>74.322212219238281</v>
      </c>
      <c r="C185" s="3"/>
    </row>
    <row r="186" spans="1:3" ht="13.2" x14ac:dyDescent="0.25">
      <c r="A186" s="6">
        <v>184</v>
      </c>
      <c r="B186" s="7">
        <v>75.178909301757813</v>
      </c>
      <c r="C186" s="3"/>
    </row>
    <row r="187" spans="1:3" ht="13.2" x14ac:dyDescent="0.25">
      <c r="A187" s="6">
        <v>185</v>
      </c>
      <c r="B187" s="7">
        <v>73.961067199707031</v>
      </c>
      <c r="C187" s="3"/>
    </row>
    <row r="188" spans="1:3" ht="13.2" x14ac:dyDescent="0.25">
      <c r="A188" s="6">
        <v>186</v>
      </c>
      <c r="B188" s="7">
        <v>76.497550964355469</v>
      </c>
      <c r="C188" s="3"/>
    </row>
    <row r="189" spans="1:3" ht="13.2" x14ac:dyDescent="0.25">
      <c r="A189" s="6">
        <v>187</v>
      </c>
      <c r="B189" s="7">
        <v>77.11065673828125</v>
      </c>
      <c r="C189" s="3"/>
    </row>
    <row r="190" spans="1:3" ht="13.2" x14ac:dyDescent="0.25">
      <c r="A190" s="6">
        <v>188</v>
      </c>
      <c r="B190" s="7">
        <v>78.202529907226563</v>
      </c>
      <c r="C190" s="3"/>
    </row>
    <row r="191" spans="1:3" ht="13.2" x14ac:dyDescent="0.25">
      <c r="A191" s="6">
        <v>189</v>
      </c>
      <c r="B191" s="7">
        <v>77.648193359375</v>
      </c>
      <c r="C191" s="3"/>
    </row>
    <row r="192" spans="1:3" ht="13.2" x14ac:dyDescent="0.25">
      <c r="A192" s="6">
        <v>190</v>
      </c>
      <c r="B192" s="7">
        <v>76.94268798828125</v>
      </c>
      <c r="C192" s="3"/>
    </row>
    <row r="193" spans="1:3" ht="13.2" x14ac:dyDescent="0.25">
      <c r="A193" s="6">
        <v>191</v>
      </c>
      <c r="B193" s="7">
        <v>75.556846618652344</v>
      </c>
      <c r="C193" s="3"/>
    </row>
    <row r="194" spans="1:3" ht="13.2" x14ac:dyDescent="0.25">
      <c r="A194" s="6">
        <v>192</v>
      </c>
      <c r="B194" s="7">
        <v>75.951606750488281</v>
      </c>
      <c r="C194" s="3"/>
    </row>
    <row r="195" spans="1:3" ht="13.2" x14ac:dyDescent="0.25">
      <c r="A195" s="6">
        <v>193</v>
      </c>
      <c r="B195" s="7">
        <v>74.716957092285156</v>
      </c>
      <c r="C195" s="3"/>
    </row>
    <row r="196" spans="1:3" ht="13.2" x14ac:dyDescent="0.25">
      <c r="A196" s="6">
        <v>194</v>
      </c>
      <c r="B196" s="7">
        <v>73.734283447265625</v>
      </c>
      <c r="C196" s="3"/>
    </row>
    <row r="197" spans="1:3" ht="13.2" x14ac:dyDescent="0.25">
      <c r="A197" s="6">
        <v>195</v>
      </c>
      <c r="B197" s="7">
        <v>74.767356872558594</v>
      </c>
      <c r="C197" s="3"/>
    </row>
    <row r="198" spans="1:3" ht="13.2" x14ac:dyDescent="0.25">
      <c r="A198" s="6">
        <v>196</v>
      </c>
      <c r="B198" s="7">
        <v>76.421951293945313</v>
      </c>
      <c r="C198" s="3"/>
    </row>
    <row r="199" spans="1:3" ht="13.2" x14ac:dyDescent="0.25">
      <c r="A199" s="6">
        <v>197</v>
      </c>
      <c r="B199" s="7">
        <v>78.084945678710938</v>
      </c>
      <c r="C199" s="3"/>
    </row>
    <row r="200" spans="1:3" ht="13.2" x14ac:dyDescent="0.25">
      <c r="A200" s="6">
        <v>198</v>
      </c>
      <c r="B200" s="7">
        <v>80.780998229980469</v>
      </c>
      <c r="C200" s="3"/>
    </row>
    <row r="201" spans="1:3" ht="13.2" x14ac:dyDescent="0.25">
      <c r="A201" s="6">
        <v>199</v>
      </c>
      <c r="B201" s="7">
        <v>82.847145080566406</v>
      </c>
      <c r="C201" s="3"/>
    </row>
    <row r="202" spans="1:3" ht="13.2" x14ac:dyDescent="0.25">
      <c r="A202" s="6">
        <v>200</v>
      </c>
      <c r="B202" s="7">
        <v>84.787300109863281</v>
      </c>
      <c r="C202" s="3"/>
    </row>
    <row r="203" spans="1:3" ht="13.2" x14ac:dyDescent="0.25">
      <c r="A203" s="6">
        <v>201</v>
      </c>
      <c r="B203" s="7">
        <v>83.989395141601563</v>
      </c>
      <c r="C203" s="3"/>
    </row>
    <row r="204" spans="1:3" ht="13.2" x14ac:dyDescent="0.25">
      <c r="A204" s="6">
        <v>202</v>
      </c>
      <c r="B204" s="7">
        <v>82.847145080566406</v>
      </c>
      <c r="C204" s="3"/>
    </row>
    <row r="205" spans="1:3" ht="13.2" x14ac:dyDescent="0.25">
      <c r="A205" s="6">
        <v>203</v>
      </c>
      <c r="B205" s="7">
        <v>82.914337158203125</v>
      </c>
      <c r="C205" s="3"/>
    </row>
    <row r="206" spans="1:3" ht="13.2" x14ac:dyDescent="0.25">
      <c r="A206" s="6">
        <v>204</v>
      </c>
      <c r="B206" s="7">
        <v>82.712760925292969</v>
      </c>
      <c r="C206" s="3"/>
    </row>
    <row r="207" spans="1:3" ht="13.2" x14ac:dyDescent="0.25">
      <c r="A207" s="6">
        <v>205</v>
      </c>
      <c r="B207" s="7">
        <v>83.7374267578125</v>
      </c>
      <c r="C207" s="3"/>
    </row>
    <row r="208" spans="1:3" ht="13.2" x14ac:dyDescent="0.25">
      <c r="A208" s="6">
        <v>206</v>
      </c>
      <c r="B208" s="7">
        <v>83.720634460449219</v>
      </c>
      <c r="C208" s="3"/>
    </row>
    <row r="209" spans="1:3" ht="13.2" x14ac:dyDescent="0.25">
      <c r="A209" s="6">
        <v>207</v>
      </c>
      <c r="B209" s="7">
        <v>82.763153076171875</v>
      </c>
      <c r="C209" s="3"/>
    </row>
    <row r="210" spans="1:3" ht="13.2" x14ac:dyDescent="0.25">
      <c r="A210" s="6">
        <v>208</v>
      </c>
      <c r="B210" s="7">
        <v>80.604629516601563</v>
      </c>
      <c r="C210" s="3"/>
    </row>
    <row r="211" spans="1:3" ht="13.2" x14ac:dyDescent="0.25">
      <c r="A211" s="6">
        <v>209</v>
      </c>
      <c r="B211" s="7">
        <v>81.570503234863281</v>
      </c>
      <c r="C211" s="3"/>
    </row>
    <row r="212" spans="1:3" ht="13.2" x14ac:dyDescent="0.25">
      <c r="A212" s="6">
        <v>210</v>
      </c>
      <c r="B212" s="7">
        <v>81.814071655273438</v>
      </c>
      <c r="C212" s="3"/>
    </row>
    <row r="213" spans="1:3" ht="13.2" x14ac:dyDescent="0.25">
      <c r="A213" s="6">
        <v>211</v>
      </c>
      <c r="B213" s="7">
        <v>81.536903381347656</v>
      </c>
      <c r="C213" s="3"/>
    </row>
    <row r="214" spans="1:3" ht="13.2" x14ac:dyDescent="0.25">
      <c r="A214" s="6">
        <v>212</v>
      </c>
      <c r="B214" s="7">
        <v>80.806198120117188</v>
      </c>
      <c r="C214" s="3"/>
    </row>
    <row r="215" spans="1:3" ht="13.2" x14ac:dyDescent="0.25">
      <c r="A215" s="6">
        <v>213</v>
      </c>
      <c r="B215" s="7">
        <v>79.731124877929688</v>
      </c>
      <c r="C215" s="3"/>
    </row>
    <row r="216" spans="1:3" ht="13.2" x14ac:dyDescent="0.25">
      <c r="A216" s="6">
        <v>214</v>
      </c>
      <c r="B216" s="7">
        <v>80.193077087402344</v>
      </c>
      <c r="C216" s="3"/>
    </row>
    <row r="217" spans="1:3" ht="13.2" x14ac:dyDescent="0.25">
      <c r="A217" s="6">
        <v>215</v>
      </c>
      <c r="B217" s="7">
        <v>80.251869201660156</v>
      </c>
      <c r="C217" s="3"/>
    </row>
    <row r="218" spans="1:3" ht="13.2" x14ac:dyDescent="0.25">
      <c r="A218" s="6">
        <v>216</v>
      </c>
      <c r="B218" s="7">
        <v>79.294387817382813</v>
      </c>
      <c r="C218" s="3"/>
    </row>
    <row r="219" spans="1:3" ht="13.2" x14ac:dyDescent="0.25">
      <c r="A219" s="6">
        <v>217</v>
      </c>
      <c r="B219" s="7">
        <v>79.185203552246094</v>
      </c>
      <c r="C219" s="3"/>
    </row>
    <row r="220" spans="1:3" ht="13.2" x14ac:dyDescent="0.25">
      <c r="A220" s="6">
        <v>218</v>
      </c>
      <c r="B220" s="7">
        <v>79.462364196777344</v>
      </c>
      <c r="C220" s="3"/>
    </row>
    <row r="221" spans="1:3" ht="13.2" x14ac:dyDescent="0.25">
      <c r="A221" s="6">
        <v>219</v>
      </c>
      <c r="B221" s="7">
        <v>79.369964599609375</v>
      </c>
      <c r="C221" s="3"/>
    </row>
    <row r="222" spans="1:3" ht="13.2" x14ac:dyDescent="0.25">
      <c r="A222" s="6">
        <v>220</v>
      </c>
      <c r="B222" s="7">
        <v>80.957374572753906</v>
      </c>
      <c r="C222" s="3"/>
    </row>
    <row r="223" spans="1:3" ht="13.2" x14ac:dyDescent="0.25">
      <c r="A223" s="6">
        <v>221</v>
      </c>
      <c r="B223" s="7">
        <v>81.394126892089844</v>
      </c>
      <c r="C223" s="3"/>
    </row>
    <row r="224" spans="1:3" ht="13.2" x14ac:dyDescent="0.25">
      <c r="A224" s="6">
        <v>222</v>
      </c>
      <c r="B224" s="7">
        <v>80.906990051269531</v>
      </c>
      <c r="C224" s="3"/>
    </row>
    <row r="225" spans="1:3" ht="13.2" x14ac:dyDescent="0.25">
      <c r="A225" s="6">
        <v>223</v>
      </c>
      <c r="B225" s="7">
        <v>80.957374572753906</v>
      </c>
      <c r="C225" s="3"/>
    </row>
    <row r="226" spans="1:3" ht="13.2" x14ac:dyDescent="0.25">
      <c r="A226" s="6">
        <v>224</v>
      </c>
      <c r="B226" s="7">
        <v>80.50384521484375</v>
      </c>
      <c r="C226" s="3"/>
    </row>
    <row r="227" spans="1:3" ht="13.2" x14ac:dyDescent="0.25">
      <c r="A227" s="6">
        <v>225</v>
      </c>
      <c r="B227" s="7">
        <v>80.461837768554688</v>
      </c>
      <c r="C227" s="3"/>
    </row>
    <row r="228" spans="1:3" ht="13.2" x14ac:dyDescent="0.25">
      <c r="A228" s="6">
        <v>226</v>
      </c>
      <c r="B228" s="7">
        <v>79.08441162109375</v>
      </c>
      <c r="C228" s="3"/>
    </row>
    <row r="229" spans="1:3" ht="13.2" x14ac:dyDescent="0.25">
      <c r="A229" s="6">
        <v>227</v>
      </c>
      <c r="B229" s="7">
        <v>79.798324584960938</v>
      </c>
      <c r="C229" s="3"/>
    </row>
    <row r="230" spans="1:3" ht="13.2" x14ac:dyDescent="0.25">
      <c r="A230" s="6">
        <v>228</v>
      </c>
      <c r="B230" s="7">
        <v>80.50384521484375</v>
      </c>
      <c r="C230" s="3"/>
    </row>
    <row r="231" spans="1:3" ht="13.2" x14ac:dyDescent="0.25">
      <c r="A231" s="6">
        <v>229</v>
      </c>
      <c r="B231" s="7">
        <v>82.066047668457031</v>
      </c>
      <c r="C231" s="3"/>
    </row>
    <row r="232" spans="1:3" ht="13.2" x14ac:dyDescent="0.25">
      <c r="A232" s="6">
        <v>230</v>
      </c>
      <c r="B232" s="7">
        <v>82.368392944335938</v>
      </c>
      <c r="C232" s="3"/>
    </row>
    <row r="233" spans="1:3" ht="13.2" x14ac:dyDescent="0.25">
      <c r="A233" s="6">
        <v>231</v>
      </c>
      <c r="B233" s="7">
        <v>83.040321350097656</v>
      </c>
      <c r="C233" s="3"/>
    </row>
    <row r="234" spans="1:3" ht="13.2" x14ac:dyDescent="0.25">
      <c r="A234" s="6">
        <v>232</v>
      </c>
      <c r="B234" s="7">
        <v>82.38519287109375</v>
      </c>
      <c r="C234" s="3"/>
    </row>
    <row r="235" spans="1:3" ht="13.2" x14ac:dyDescent="0.25">
      <c r="A235" s="6">
        <v>233</v>
      </c>
      <c r="B235" s="7">
        <v>81.44451904296875</v>
      </c>
      <c r="C235" s="3"/>
    </row>
    <row r="236" spans="1:3" ht="13.2" x14ac:dyDescent="0.25">
      <c r="A236" s="6">
        <v>234</v>
      </c>
      <c r="B236" s="7">
        <v>81.251335144042969</v>
      </c>
      <c r="C236" s="3"/>
    </row>
    <row r="237" spans="1:3" ht="13.2" x14ac:dyDescent="0.25">
      <c r="A237" s="6">
        <v>235</v>
      </c>
      <c r="B237" s="7">
        <v>82.057640075683594</v>
      </c>
      <c r="C237" s="3"/>
    </row>
    <row r="238" spans="1:3" ht="13.2" x14ac:dyDescent="0.25">
      <c r="A238" s="6">
        <v>236</v>
      </c>
      <c r="B238" s="7">
        <v>82.027366638183594</v>
      </c>
      <c r="C238" s="3"/>
    </row>
    <row r="239" spans="1:3" ht="13.2" x14ac:dyDescent="0.25">
      <c r="A239" s="6">
        <v>237</v>
      </c>
      <c r="B239" s="7">
        <v>82.183059692382813</v>
      </c>
      <c r="C239" s="3"/>
    </row>
    <row r="240" spans="1:3" ht="13.2" x14ac:dyDescent="0.25">
      <c r="A240" s="6">
        <v>238</v>
      </c>
      <c r="B240" s="7">
        <v>82.087921142578125</v>
      </c>
      <c r="C240" s="3"/>
    </row>
    <row r="241" spans="1:3" ht="13.2" x14ac:dyDescent="0.25">
      <c r="A241" s="6">
        <v>239</v>
      </c>
      <c r="B241" s="7">
        <v>81.811111450195313</v>
      </c>
      <c r="C241" s="3"/>
    </row>
    <row r="242" spans="1:3" ht="13.2" x14ac:dyDescent="0.25">
      <c r="A242" s="6">
        <v>240</v>
      </c>
      <c r="B242" s="7">
        <v>82.978851318359375</v>
      </c>
      <c r="C242" s="3"/>
    </row>
    <row r="243" spans="1:3" ht="13.2" x14ac:dyDescent="0.25">
      <c r="A243" s="6">
        <v>241</v>
      </c>
      <c r="B243" s="7">
        <v>81.20562744140625</v>
      </c>
      <c r="C243" s="3"/>
    </row>
    <row r="244" spans="1:3" ht="13.2" x14ac:dyDescent="0.25">
      <c r="A244" s="6">
        <v>242</v>
      </c>
      <c r="B244" s="7">
        <v>83.714103698730469</v>
      </c>
      <c r="C244" s="3"/>
    </row>
    <row r="245" spans="1:3" ht="13.2" x14ac:dyDescent="0.25">
      <c r="A245" s="6">
        <v>243</v>
      </c>
      <c r="B245" s="7">
        <v>83.549751281738281</v>
      </c>
      <c r="C245" s="3"/>
    </row>
    <row r="246" spans="1:3" ht="13.2" x14ac:dyDescent="0.25">
      <c r="A246" s="6">
        <v>244</v>
      </c>
      <c r="B246" s="7">
        <v>81.707305908203125</v>
      </c>
      <c r="C246" s="3"/>
    </row>
    <row r="247" spans="1:3" ht="13.2" x14ac:dyDescent="0.25">
      <c r="A247" s="6">
        <v>245</v>
      </c>
      <c r="B247" s="7">
        <v>82.831802368164063</v>
      </c>
      <c r="C247" s="3"/>
    </row>
    <row r="248" spans="1:3" ht="13.2" x14ac:dyDescent="0.25">
      <c r="A248" s="6">
        <v>246</v>
      </c>
      <c r="B248" s="7">
        <v>84.008201599121094</v>
      </c>
      <c r="C248" s="3"/>
    </row>
    <row r="249" spans="1:3" ht="13.2" x14ac:dyDescent="0.25">
      <c r="A249" s="6">
        <v>247</v>
      </c>
      <c r="B249" s="7">
        <v>83.653556823730469</v>
      </c>
      <c r="C249" s="3"/>
    </row>
    <row r="250" spans="1:3" ht="13.2" x14ac:dyDescent="0.25">
      <c r="A250" s="6">
        <v>248</v>
      </c>
      <c r="B250" s="7">
        <v>85.080787658691406</v>
      </c>
      <c r="C250" s="3"/>
    </row>
    <row r="251" spans="1:3" ht="13.2" x14ac:dyDescent="0.25">
      <c r="A251" s="6">
        <v>249</v>
      </c>
      <c r="B251" s="7">
        <v>84.786689758300781</v>
      </c>
      <c r="C251" s="3"/>
    </row>
    <row r="252" spans="1:3" ht="13.2" x14ac:dyDescent="0.25">
      <c r="A252" s="6">
        <v>250</v>
      </c>
      <c r="B252" s="7">
        <v>84.933746337890625</v>
      </c>
      <c r="C252" s="3"/>
    </row>
    <row r="253" spans="1:3" ht="13.2" x14ac:dyDescent="0.25">
      <c r="A253" s="6">
        <v>251</v>
      </c>
      <c r="B253" s="7">
        <v>84.838592529296875</v>
      </c>
      <c r="C253" s="3"/>
    </row>
    <row r="254" spans="1:3" ht="13.2" x14ac:dyDescent="0.25">
      <c r="A254" s="6">
        <v>252</v>
      </c>
      <c r="B254" s="7">
        <v>84.094703674316406</v>
      </c>
      <c r="C254" s="3">
        <f>LN(B254/B2)</f>
        <v>0.11997329465326283</v>
      </c>
    </row>
    <row r="255" spans="1:3" ht="13.2" x14ac:dyDescent="0.25">
      <c r="A255" s="6">
        <v>253</v>
      </c>
      <c r="B255" s="7">
        <v>83.039413452148438</v>
      </c>
      <c r="C255" s="3">
        <f t="shared" ref="C255:C318" si="0">LN(B255/B3)</f>
        <v>0.1059251864529064</v>
      </c>
    </row>
    <row r="256" spans="1:3" ht="13.2" x14ac:dyDescent="0.25">
      <c r="A256" s="6">
        <v>254</v>
      </c>
      <c r="B256" s="7">
        <v>83.471908569335938</v>
      </c>
      <c r="C256" s="3">
        <f t="shared" si="0"/>
        <v>9.6707878316492912E-2</v>
      </c>
    </row>
    <row r="257" spans="1:3" ht="13.2" x14ac:dyDescent="0.25">
      <c r="A257" s="6">
        <v>255</v>
      </c>
      <c r="B257" s="7">
        <v>83.05670166015625</v>
      </c>
      <c r="C257" s="3">
        <f t="shared" si="0"/>
        <v>5.8081512167684868E-2</v>
      </c>
    </row>
    <row r="258" spans="1:3" ht="13.2" x14ac:dyDescent="0.25">
      <c r="A258" s="6">
        <v>256</v>
      </c>
      <c r="B258" s="7">
        <v>84.3282470703125</v>
      </c>
      <c r="C258" s="3">
        <f t="shared" si="0"/>
        <v>9.4724405704399273E-2</v>
      </c>
    </row>
    <row r="259" spans="1:3" ht="13.2" x14ac:dyDescent="0.25">
      <c r="A259" s="6">
        <v>257</v>
      </c>
      <c r="B259" s="7">
        <v>85.781425476074219</v>
      </c>
      <c r="C259" s="3">
        <f t="shared" si="0"/>
        <v>8.3518272555991035E-2</v>
      </c>
    </row>
    <row r="260" spans="1:3" ht="13.2" x14ac:dyDescent="0.25">
      <c r="A260" s="6">
        <v>258</v>
      </c>
      <c r="B260" s="7">
        <v>85.8765869140625</v>
      </c>
      <c r="C260" s="3">
        <f t="shared" si="0"/>
        <v>9.9616411606722202E-2</v>
      </c>
    </row>
    <row r="261" spans="1:3" ht="13.2" x14ac:dyDescent="0.25">
      <c r="A261" s="6">
        <v>259</v>
      </c>
      <c r="B261" s="7">
        <v>84.587745666503906</v>
      </c>
      <c r="C261" s="3">
        <f t="shared" si="0"/>
        <v>6.6925517112444502E-2</v>
      </c>
    </row>
    <row r="262" spans="1:3" ht="13.2" x14ac:dyDescent="0.25">
      <c r="A262" s="6">
        <v>260</v>
      </c>
      <c r="B262" s="7">
        <v>85.392196655273438</v>
      </c>
      <c r="C262" s="3">
        <f t="shared" si="0"/>
        <v>6.1965365211446695E-2</v>
      </c>
    </row>
    <row r="263" spans="1:3" ht="13.2" x14ac:dyDescent="0.25">
      <c r="A263" s="6">
        <v>261</v>
      </c>
      <c r="B263" s="7">
        <v>85.668998718261719</v>
      </c>
      <c r="C263" s="3">
        <f t="shared" si="0"/>
        <v>8.0452014182789244E-2</v>
      </c>
    </row>
    <row r="264" spans="1:3" ht="13.2" x14ac:dyDescent="0.25">
      <c r="A264" s="6">
        <v>262</v>
      </c>
      <c r="B264" s="7">
        <v>86.992431640625</v>
      </c>
      <c r="C264" s="3">
        <f t="shared" si="0"/>
        <v>6.4610462604378402E-2</v>
      </c>
    </row>
    <row r="265" spans="1:3" ht="13.2" x14ac:dyDescent="0.25">
      <c r="A265" s="6">
        <v>263</v>
      </c>
      <c r="B265" s="7">
        <v>86.706977844238281</v>
      </c>
      <c r="C265" s="3">
        <f t="shared" si="0"/>
        <v>2.606330482649586E-2</v>
      </c>
    </row>
    <row r="266" spans="1:3" ht="13.2" x14ac:dyDescent="0.25">
      <c r="A266" s="6">
        <v>264</v>
      </c>
      <c r="B266" s="7">
        <v>87.347068786621094</v>
      </c>
      <c r="C266" s="3">
        <f t="shared" si="0"/>
        <v>5.3597668620314412E-2</v>
      </c>
    </row>
    <row r="267" spans="1:3" ht="13.2" x14ac:dyDescent="0.25">
      <c r="A267" s="6">
        <v>265</v>
      </c>
      <c r="B267" s="7">
        <v>87.416267395019531</v>
      </c>
      <c r="C267" s="3">
        <f t="shared" si="0"/>
        <v>8.9769364383159161E-2</v>
      </c>
    </row>
    <row r="268" spans="1:3" ht="13.2" x14ac:dyDescent="0.25">
      <c r="A268" s="6">
        <v>266</v>
      </c>
      <c r="B268" s="7">
        <v>88.333168029785156</v>
      </c>
      <c r="C268" s="3">
        <f t="shared" si="0"/>
        <v>0.12248637056332105</v>
      </c>
    </row>
    <row r="269" spans="1:3" ht="13.2" x14ac:dyDescent="0.25">
      <c r="A269" s="6">
        <v>267</v>
      </c>
      <c r="B269" s="7">
        <v>88.307220458984375</v>
      </c>
      <c r="C269" s="3">
        <f t="shared" si="0"/>
        <v>9.279359977806706E-2</v>
      </c>
    </row>
    <row r="270" spans="1:3" ht="13.2" x14ac:dyDescent="0.25">
      <c r="A270" s="6">
        <v>268</v>
      </c>
      <c r="B270" s="7">
        <v>89.466323852539063</v>
      </c>
      <c r="C270" s="3">
        <f t="shared" si="0"/>
        <v>0.12124813303747042</v>
      </c>
    </row>
    <row r="271" spans="1:3" ht="13.2" x14ac:dyDescent="0.25">
      <c r="A271" s="6">
        <v>269</v>
      </c>
      <c r="B271" s="7">
        <v>91.412544250488281</v>
      </c>
      <c r="C271" s="3">
        <f t="shared" si="0"/>
        <v>0.10888753619234937</v>
      </c>
    </row>
    <row r="272" spans="1:3" ht="13.2" x14ac:dyDescent="0.25">
      <c r="A272" s="6">
        <v>270</v>
      </c>
      <c r="B272" s="7">
        <v>91.144401550292969</v>
      </c>
      <c r="C272" s="3">
        <f t="shared" si="0"/>
        <v>0.11043484103651861</v>
      </c>
    </row>
    <row r="273" spans="1:3" ht="13.2" x14ac:dyDescent="0.25">
      <c r="A273" s="6">
        <v>271</v>
      </c>
      <c r="B273" s="7">
        <v>91.334693908691406</v>
      </c>
      <c r="C273" s="3">
        <f t="shared" si="0"/>
        <v>7.2478050854178605E-2</v>
      </c>
    </row>
    <row r="274" spans="1:3" ht="13.2" x14ac:dyDescent="0.25">
      <c r="A274" s="6">
        <v>272</v>
      </c>
      <c r="B274" s="7">
        <v>91.438491821289063</v>
      </c>
      <c r="C274" s="3">
        <f t="shared" si="0"/>
        <v>5.375488951132721E-2</v>
      </c>
    </row>
    <row r="275" spans="1:3" ht="13.2" x14ac:dyDescent="0.25">
      <c r="A275" s="6">
        <v>273</v>
      </c>
      <c r="B275" s="7">
        <v>90.61676025390625</v>
      </c>
      <c r="C275" s="3">
        <f t="shared" si="0"/>
        <v>6.4586524139721477E-2</v>
      </c>
    </row>
    <row r="276" spans="1:3" ht="13.2" x14ac:dyDescent="0.25">
      <c r="A276" s="6">
        <v>274</v>
      </c>
      <c r="B276" s="7">
        <v>89.526870727539063</v>
      </c>
      <c r="C276" s="3">
        <f t="shared" si="0"/>
        <v>4.7890212980266592E-2</v>
      </c>
    </row>
    <row r="277" spans="1:3" ht="13.2" x14ac:dyDescent="0.25">
      <c r="A277" s="6">
        <v>275</v>
      </c>
      <c r="B277" s="7">
        <v>89.120307922363281</v>
      </c>
      <c r="C277" s="3">
        <f t="shared" si="0"/>
        <v>6.8783753469884773E-2</v>
      </c>
    </row>
    <row r="278" spans="1:3" ht="13.2" x14ac:dyDescent="0.25">
      <c r="A278" s="6">
        <v>276</v>
      </c>
      <c r="B278" s="7">
        <v>89.301963806152344</v>
      </c>
      <c r="C278" s="3">
        <f t="shared" si="0"/>
        <v>7.6716829764207239E-2</v>
      </c>
    </row>
    <row r="279" spans="1:3" ht="13.2" x14ac:dyDescent="0.25">
      <c r="A279" s="6">
        <v>277</v>
      </c>
      <c r="B279" s="7">
        <v>89.007865905761719</v>
      </c>
      <c r="C279" s="3">
        <f t="shared" si="0"/>
        <v>9.1219748480054513E-2</v>
      </c>
    </row>
    <row r="280" spans="1:3" ht="13.2" x14ac:dyDescent="0.25">
      <c r="A280" s="6">
        <v>278</v>
      </c>
      <c r="B280" s="7">
        <v>89.509559631347656</v>
      </c>
      <c r="C280" s="3">
        <f t="shared" si="0"/>
        <v>8.4375860352420631E-2</v>
      </c>
    </row>
    <row r="281" spans="1:3" ht="13.2" x14ac:dyDescent="0.25">
      <c r="A281" s="6">
        <v>279</v>
      </c>
      <c r="B281" s="7">
        <v>91.230903625488281</v>
      </c>
      <c r="C281" s="3">
        <f t="shared" si="0"/>
        <v>0.10630197958257605</v>
      </c>
    </row>
    <row r="282" spans="1:3" ht="13.2" x14ac:dyDescent="0.25">
      <c r="A282" s="6">
        <v>280</v>
      </c>
      <c r="B282" s="7">
        <v>91.533653259277344</v>
      </c>
      <c r="C282" s="3">
        <f t="shared" si="0"/>
        <v>0.11329915625521922</v>
      </c>
    </row>
    <row r="283" spans="1:3" ht="13.2" x14ac:dyDescent="0.25">
      <c r="A283" s="6">
        <v>281</v>
      </c>
      <c r="B283" s="7">
        <v>90.789741516113281</v>
      </c>
      <c r="C283" s="3">
        <f t="shared" si="0"/>
        <v>0.11758486190020422</v>
      </c>
    </row>
    <row r="284" spans="1:3" ht="13.2" x14ac:dyDescent="0.25">
      <c r="A284" s="6">
        <v>282</v>
      </c>
      <c r="B284" s="7">
        <v>90.192901611328125</v>
      </c>
      <c r="C284" s="3">
        <f t="shared" si="0"/>
        <v>0.12584502210172893</v>
      </c>
    </row>
    <row r="285" spans="1:3" ht="13.2" x14ac:dyDescent="0.25">
      <c r="A285" s="6">
        <v>283</v>
      </c>
      <c r="B285" s="7">
        <v>91.057891845703125</v>
      </c>
      <c r="C285" s="3">
        <f t="shared" si="0"/>
        <v>0.10918577347561766</v>
      </c>
    </row>
    <row r="286" spans="1:3" ht="13.2" x14ac:dyDescent="0.25">
      <c r="A286" s="6">
        <v>284</v>
      </c>
      <c r="B286" s="7">
        <v>90.876251220703125</v>
      </c>
      <c r="C286" s="3">
        <f t="shared" si="0"/>
        <v>0.10559251587784343</v>
      </c>
    </row>
    <row r="287" spans="1:3" ht="13.2" x14ac:dyDescent="0.25">
      <c r="A287" s="6">
        <v>285</v>
      </c>
      <c r="B287" s="7">
        <v>90.296699523925781</v>
      </c>
      <c r="C287" s="3">
        <f t="shared" si="0"/>
        <v>0.12586823359958371</v>
      </c>
    </row>
    <row r="288" spans="1:3" ht="13.2" x14ac:dyDescent="0.25">
      <c r="A288" s="6">
        <v>286</v>
      </c>
      <c r="B288" s="7">
        <v>90.141006469726563</v>
      </c>
      <c r="C288" s="3">
        <f t="shared" si="0"/>
        <v>0.14305872713570461</v>
      </c>
    </row>
    <row r="289" spans="1:3" ht="13.2" x14ac:dyDescent="0.25">
      <c r="A289" s="6">
        <v>287</v>
      </c>
      <c r="B289" s="7">
        <v>90.807052612304688</v>
      </c>
      <c r="C289" s="3">
        <f t="shared" si="0"/>
        <v>0.1337594905301451</v>
      </c>
    </row>
    <row r="290" spans="1:3" ht="13.2" x14ac:dyDescent="0.25">
      <c r="A290" s="6">
        <v>288</v>
      </c>
      <c r="B290" s="7">
        <v>90.296699523925781</v>
      </c>
      <c r="C290" s="3">
        <f t="shared" si="0"/>
        <v>0.14374164510169099</v>
      </c>
    </row>
    <row r="291" spans="1:3" ht="13.2" x14ac:dyDescent="0.25">
      <c r="A291" s="6">
        <v>289</v>
      </c>
      <c r="B291" s="7">
        <v>90.080459594726563</v>
      </c>
      <c r="C291" s="3">
        <f t="shared" si="0"/>
        <v>0.17021489988770416</v>
      </c>
    </row>
    <row r="292" spans="1:3" ht="13.2" x14ac:dyDescent="0.25">
      <c r="A292" s="6">
        <v>290</v>
      </c>
      <c r="B292" s="7">
        <v>91.429847717285156</v>
      </c>
      <c r="C292" s="3">
        <f t="shared" si="0"/>
        <v>0.18906158623226541</v>
      </c>
    </row>
    <row r="293" spans="1:3" ht="13.2" x14ac:dyDescent="0.25">
      <c r="A293" s="6">
        <v>291</v>
      </c>
      <c r="B293" s="7">
        <v>91.767196655273438</v>
      </c>
      <c r="C293" s="3">
        <f t="shared" si="0"/>
        <v>0.19803697400694339</v>
      </c>
    </row>
    <row r="294" spans="1:3" ht="13.2" x14ac:dyDescent="0.25">
      <c r="A294" s="6">
        <v>292</v>
      </c>
      <c r="B294" s="7">
        <v>91.222244262695313</v>
      </c>
      <c r="C294" s="3">
        <f t="shared" si="0"/>
        <v>0.1848511399944017</v>
      </c>
    </row>
    <row r="295" spans="1:3" ht="13.2" x14ac:dyDescent="0.25">
      <c r="A295" s="6">
        <v>293</v>
      </c>
      <c r="B295" s="7">
        <v>91.014656066894531</v>
      </c>
      <c r="C295" s="3">
        <f t="shared" si="0"/>
        <v>0.20431042320877058</v>
      </c>
    </row>
    <row r="296" spans="1:3" ht="13.2" x14ac:dyDescent="0.25">
      <c r="A296" s="6">
        <v>294</v>
      </c>
      <c r="B296" s="7">
        <v>91.758552551269531</v>
      </c>
      <c r="C296" s="3">
        <f t="shared" si="0"/>
        <v>0.19254263704494856</v>
      </c>
    </row>
    <row r="297" spans="1:3" ht="13.2" x14ac:dyDescent="0.25">
      <c r="A297" s="6">
        <v>295</v>
      </c>
      <c r="B297" s="7">
        <v>91.741241455078125</v>
      </c>
      <c r="C297" s="3">
        <f t="shared" si="0"/>
        <v>0.17600816862352611</v>
      </c>
    </row>
    <row r="298" spans="1:3" ht="13.2" x14ac:dyDescent="0.25">
      <c r="A298" s="6">
        <v>296</v>
      </c>
      <c r="B298" s="7">
        <v>91.4471435546875</v>
      </c>
      <c r="C298" s="3">
        <f t="shared" si="0"/>
        <v>0.19227147884238471</v>
      </c>
    </row>
    <row r="299" spans="1:3" ht="13.2" x14ac:dyDescent="0.25">
      <c r="A299" s="6">
        <v>297</v>
      </c>
      <c r="B299" s="7">
        <v>92.900337219238281</v>
      </c>
      <c r="C299" s="3">
        <f t="shared" si="0"/>
        <v>0.2036174811124476</v>
      </c>
    </row>
    <row r="300" spans="1:3" ht="13.2" x14ac:dyDescent="0.25">
      <c r="A300" s="6">
        <v>298</v>
      </c>
      <c r="B300" s="7">
        <v>94.664932250976563</v>
      </c>
      <c r="C300" s="3">
        <f t="shared" si="0"/>
        <v>0.22361781648291024</v>
      </c>
    </row>
    <row r="301" spans="1:3" ht="13.2" x14ac:dyDescent="0.25">
      <c r="A301" s="6">
        <v>299</v>
      </c>
      <c r="B301" s="7">
        <v>95.625076293945313</v>
      </c>
      <c r="C301" s="3">
        <f t="shared" si="0"/>
        <v>0.22791024691669573</v>
      </c>
    </row>
    <row r="302" spans="1:3" ht="13.2" x14ac:dyDescent="0.25">
      <c r="A302" s="6">
        <v>300</v>
      </c>
      <c r="B302" s="7">
        <v>96.965812683105469</v>
      </c>
      <c r="C302" s="3">
        <f t="shared" si="0"/>
        <v>0.24548089365067385</v>
      </c>
    </row>
    <row r="303" spans="1:3" ht="13.2" x14ac:dyDescent="0.25">
      <c r="A303" s="6">
        <v>301</v>
      </c>
      <c r="B303" s="7">
        <v>97.614547729492188</v>
      </c>
      <c r="C303" s="3">
        <f t="shared" si="0"/>
        <v>0.25818534506382285</v>
      </c>
    </row>
    <row r="304" spans="1:3" ht="13.2" x14ac:dyDescent="0.25">
      <c r="A304" s="6">
        <v>302</v>
      </c>
      <c r="B304" s="7">
        <v>97.4588623046875</v>
      </c>
      <c r="C304" s="3">
        <f t="shared" si="0"/>
        <v>0.26277114603715518</v>
      </c>
    </row>
    <row r="305" spans="1:3" ht="13.2" x14ac:dyDescent="0.25">
      <c r="A305" s="6">
        <v>303</v>
      </c>
      <c r="B305" s="7">
        <v>98.185447692871094</v>
      </c>
      <c r="C305" s="3">
        <f t="shared" si="0"/>
        <v>0.27685706752786776</v>
      </c>
    </row>
    <row r="306" spans="1:3" ht="13.2" x14ac:dyDescent="0.25">
      <c r="A306" s="6">
        <v>304</v>
      </c>
      <c r="B306" s="7">
        <v>98.012451171875</v>
      </c>
      <c r="C306" s="3">
        <f t="shared" si="0"/>
        <v>0.26441823980760276</v>
      </c>
    </row>
    <row r="307" spans="1:3" ht="13.2" x14ac:dyDescent="0.25">
      <c r="A307" s="6">
        <v>305</v>
      </c>
      <c r="B307" s="7">
        <v>97.770256042480469</v>
      </c>
      <c r="C307" s="3">
        <f t="shared" si="0"/>
        <v>0.24177818235590348</v>
      </c>
    </row>
    <row r="308" spans="1:3" ht="13.2" x14ac:dyDescent="0.25">
      <c r="A308" s="6">
        <v>306</v>
      </c>
      <c r="B308" s="7">
        <v>99.110992431640625</v>
      </c>
      <c r="C308" s="3">
        <f t="shared" si="0"/>
        <v>0.26285921106721716</v>
      </c>
    </row>
    <row r="309" spans="1:3" ht="13.2" x14ac:dyDescent="0.25">
      <c r="A309" s="6">
        <v>307</v>
      </c>
      <c r="B309" s="7">
        <v>99.2493896484375</v>
      </c>
      <c r="C309" s="3">
        <f t="shared" si="0"/>
        <v>0.26073026303158192</v>
      </c>
    </row>
    <row r="310" spans="1:3" ht="13.2" x14ac:dyDescent="0.25">
      <c r="A310" s="6">
        <v>308</v>
      </c>
      <c r="B310" s="7">
        <v>99.041793823242188</v>
      </c>
      <c r="C310" s="3">
        <f t="shared" si="0"/>
        <v>0.25544341935620885</v>
      </c>
    </row>
    <row r="311" spans="1:3" ht="13.2" x14ac:dyDescent="0.25">
      <c r="A311" s="6">
        <v>309</v>
      </c>
      <c r="B311" s="7">
        <v>98.150856018066406</v>
      </c>
      <c r="C311" s="3">
        <f t="shared" si="0"/>
        <v>0.23101091941846508</v>
      </c>
    </row>
    <row r="312" spans="1:3" ht="13.2" x14ac:dyDescent="0.25">
      <c r="A312" s="6">
        <v>310</v>
      </c>
      <c r="B312" s="7">
        <v>99.180198669433594</v>
      </c>
      <c r="C312" s="3">
        <f t="shared" si="0"/>
        <v>0.23601665032523114</v>
      </c>
    </row>
    <row r="313" spans="1:3" ht="13.2" x14ac:dyDescent="0.25">
      <c r="A313" s="6">
        <v>311</v>
      </c>
      <c r="B313" s="7">
        <v>100.988037109375</v>
      </c>
      <c r="C313" s="3">
        <f t="shared" si="0"/>
        <v>0.26296638558472218</v>
      </c>
    </row>
    <row r="314" spans="1:3" ht="13.2" x14ac:dyDescent="0.25">
      <c r="A314" s="6">
        <v>312</v>
      </c>
      <c r="B314" s="7">
        <v>101.27348327636719</v>
      </c>
      <c r="C314" s="3">
        <f t="shared" si="0"/>
        <v>0.26285307928743135</v>
      </c>
    </row>
    <row r="315" spans="1:3" ht="13.2" x14ac:dyDescent="0.25">
      <c r="A315" s="6">
        <v>313</v>
      </c>
      <c r="B315" s="7">
        <v>101.07453155517578</v>
      </c>
      <c r="C315" s="3">
        <f t="shared" si="0"/>
        <v>0.23433416350442468</v>
      </c>
    </row>
    <row r="316" spans="1:3" ht="13.2" x14ac:dyDescent="0.25">
      <c r="A316" s="6">
        <v>314</v>
      </c>
      <c r="B316" s="7">
        <v>100.83232879638672</v>
      </c>
      <c r="C316" s="3">
        <f t="shared" si="0"/>
        <v>0.2360215917782319</v>
      </c>
    </row>
    <row r="317" spans="1:3" ht="13.2" x14ac:dyDescent="0.25">
      <c r="A317" s="6">
        <v>315</v>
      </c>
      <c r="B317" s="7">
        <v>99.52618408203125</v>
      </c>
      <c r="C317" s="3">
        <f t="shared" si="0"/>
        <v>0.23908282473402584</v>
      </c>
    </row>
    <row r="318" spans="1:3" ht="13.2" x14ac:dyDescent="0.25">
      <c r="A318" s="6">
        <v>316</v>
      </c>
      <c r="B318" s="7">
        <v>100.57283020019531</v>
      </c>
      <c r="C318" s="3">
        <f t="shared" si="0"/>
        <v>0.25006453747021756</v>
      </c>
    </row>
    <row r="319" spans="1:3" ht="13.2" x14ac:dyDescent="0.25">
      <c r="A319" s="6">
        <v>317</v>
      </c>
      <c r="B319" s="7">
        <v>101.49837493896484</v>
      </c>
      <c r="C319" s="3">
        <f t="shared" ref="C319:C382" si="1">LN(B319/B67)</f>
        <v>0.2737993305539162</v>
      </c>
    </row>
    <row r="320" spans="1:3" ht="13.2" x14ac:dyDescent="0.25">
      <c r="A320" s="6">
        <v>318</v>
      </c>
      <c r="B320" s="7">
        <v>100.96208190917969</v>
      </c>
      <c r="C320" s="3">
        <f t="shared" si="1"/>
        <v>0.25663747122898967</v>
      </c>
    </row>
    <row r="321" spans="1:3" ht="13.2" x14ac:dyDescent="0.25">
      <c r="A321" s="6">
        <v>319</v>
      </c>
      <c r="B321" s="7">
        <v>100.82366943359375</v>
      </c>
      <c r="C321" s="3">
        <f t="shared" si="1"/>
        <v>0.25568305221444043</v>
      </c>
    </row>
    <row r="322" spans="1:3" ht="13.2" x14ac:dyDescent="0.25">
      <c r="A322" s="6">
        <v>320</v>
      </c>
      <c r="B322" s="7">
        <v>100.25279235839844</v>
      </c>
      <c r="C322" s="3">
        <f t="shared" si="1"/>
        <v>0.26600348775345556</v>
      </c>
    </row>
    <row r="323" spans="1:3" ht="13.2" x14ac:dyDescent="0.25">
      <c r="A323" s="6">
        <v>321</v>
      </c>
      <c r="B323" s="7">
        <v>99.275344848632813</v>
      </c>
      <c r="C323" s="3">
        <f t="shared" si="1"/>
        <v>0.24229774658877376</v>
      </c>
    </row>
    <row r="324" spans="1:3" ht="13.2" x14ac:dyDescent="0.25">
      <c r="A324" s="6">
        <v>322</v>
      </c>
      <c r="B324" s="7">
        <v>99.439689636230469</v>
      </c>
      <c r="C324" s="3">
        <f t="shared" si="1"/>
        <v>0.2511977490927767</v>
      </c>
    </row>
    <row r="325" spans="1:3" ht="13.2" x14ac:dyDescent="0.25">
      <c r="A325" s="6">
        <v>323</v>
      </c>
      <c r="B325" s="7">
        <v>100.57283020019531</v>
      </c>
      <c r="C325" s="3">
        <f t="shared" si="1"/>
        <v>0.29552907952563839</v>
      </c>
    </row>
    <row r="326" spans="1:3" ht="13.2" x14ac:dyDescent="0.25">
      <c r="A326" s="6">
        <v>324</v>
      </c>
      <c r="B326" s="7">
        <v>98.72174072265625</v>
      </c>
      <c r="C326" s="3">
        <f t="shared" si="1"/>
        <v>0.26493322468222158</v>
      </c>
    </row>
    <row r="327" spans="1:3" ht="13.2" x14ac:dyDescent="0.25">
      <c r="A327" s="6">
        <v>325</v>
      </c>
      <c r="B327" s="7">
        <v>99.353202819824219</v>
      </c>
      <c r="C327" s="3">
        <f t="shared" si="1"/>
        <v>0.28561856074407521</v>
      </c>
    </row>
    <row r="328" spans="1:3" ht="13.2" x14ac:dyDescent="0.25">
      <c r="A328" s="6">
        <v>326</v>
      </c>
      <c r="B328" s="7">
        <v>98.254646301269531</v>
      </c>
      <c r="C328" s="3">
        <f t="shared" si="1"/>
        <v>0.2960203114836697</v>
      </c>
    </row>
    <row r="329" spans="1:3" ht="13.2" x14ac:dyDescent="0.25">
      <c r="A329" s="6">
        <v>327</v>
      </c>
      <c r="B329" s="7">
        <v>99.2493896484375</v>
      </c>
      <c r="C329" s="3">
        <f t="shared" si="1"/>
        <v>0.31877965938773561</v>
      </c>
    </row>
    <row r="330" spans="1:3" ht="13.2" x14ac:dyDescent="0.25">
      <c r="A330" s="6">
        <v>328</v>
      </c>
      <c r="B330" s="7">
        <v>98.254646301269531</v>
      </c>
      <c r="C330" s="3">
        <f t="shared" si="1"/>
        <v>0.30442237125904348</v>
      </c>
    </row>
    <row r="331" spans="1:3" ht="13.2" x14ac:dyDescent="0.25">
      <c r="A331" s="6">
        <v>329</v>
      </c>
      <c r="B331" s="7">
        <v>97.839447021484375</v>
      </c>
      <c r="C331" s="3">
        <f t="shared" si="1"/>
        <v>0.32964208150320856</v>
      </c>
    </row>
    <row r="332" spans="1:3" ht="13.2" x14ac:dyDescent="0.25">
      <c r="A332" s="6">
        <v>330</v>
      </c>
      <c r="B332" s="7">
        <v>97.623199462890625</v>
      </c>
      <c r="C332" s="3">
        <f t="shared" si="1"/>
        <v>0.32696587978155306</v>
      </c>
    </row>
    <row r="333" spans="1:3" ht="13.2" x14ac:dyDescent="0.25">
      <c r="A333" s="6">
        <v>331</v>
      </c>
      <c r="B333" s="7">
        <v>97.709693908691406</v>
      </c>
      <c r="C333" s="3">
        <f t="shared" si="1"/>
        <v>0.32773564235486291</v>
      </c>
    </row>
    <row r="334" spans="1:3" ht="13.2" x14ac:dyDescent="0.25">
      <c r="A334" s="6">
        <v>332</v>
      </c>
      <c r="B334" s="7">
        <v>97.752952575683594</v>
      </c>
      <c r="C334" s="3">
        <f t="shared" si="1"/>
        <v>0.32875764579285272</v>
      </c>
    </row>
    <row r="335" spans="1:3" ht="13.2" x14ac:dyDescent="0.25">
      <c r="A335" s="6">
        <v>333</v>
      </c>
      <c r="B335" s="7">
        <v>99.474288940429688</v>
      </c>
      <c r="C335" s="3">
        <f t="shared" si="1"/>
        <v>0.34251242605704424</v>
      </c>
    </row>
    <row r="336" spans="1:3" ht="13.2" x14ac:dyDescent="0.25">
      <c r="A336" s="6">
        <v>334</v>
      </c>
      <c r="B336" s="7">
        <v>99.828948974609375</v>
      </c>
      <c r="C336" s="3">
        <f t="shared" si="1"/>
        <v>0.35035173000842329</v>
      </c>
    </row>
    <row r="337" spans="1:3" ht="13.2" x14ac:dyDescent="0.25">
      <c r="A337" s="6">
        <v>335</v>
      </c>
      <c r="B337" s="7">
        <v>98.592002868652344</v>
      </c>
      <c r="C337" s="3">
        <f t="shared" si="1"/>
        <v>0.33637777130296842</v>
      </c>
    </row>
    <row r="338" spans="1:3" ht="13.2" x14ac:dyDescent="0.25">
      <c r="A338" s="6">
        <v>336</v>
      </c>
      <c r="B338" s="7">
        <v>98.427642822265625</v>
      </c>
      <c r="C338" s="3">
        <f t="shared" si="1"/>
        <v>0.31329409840708239</v>
      </c>
    </row>
    <row r="339" spans="1:3" ht="13.2" x14ac:dyDescent="0.25">
      <c r="A339" s="6">
        <v>337</v>
      </c>
      <c r="B339" s="7">
        <v>99.024497985839844</v>
      </c>
      <c r="C339" s="3">
        <f t="shared" si="1"/>
        <v>0.30874577137843567</v>
      </c>
    </row>
    <row r="340" spans="1:3" ht="13.2" x14ac:dyDescent="0.25">
      <c r="A340" s="6">
        <v>338</v>
      </c>
      <c r="B340" s="7">
        <v>99.975982666015625</v>
      </c>
      <c r="C340" s="3">
        <f t="shared" si="1"/>
        <v>0.31193859699331966</v>
      </c>
    </row>
    <row r="341" spans="1:3" ht="13.2" x14ac:dyDescent="0.25">
      <c r="A341" s="6">
        <v>339</v>
      </c>
      <c r="B341" s="7">
        <v>99.915435791015625</v>
      </c>
      <c r="C341" s="3">
        <f t="shared" si="1"/>
        <v>0.29695525519650579</v>
      </c>
    </row>
    <row r="342" spans="1:3" ht="13.2" x14ac:dyDescent="0.25">
      <c r="A342" s="6">
        <v>340</v>
      </c>
      <c r="B342" s="7">
        <v>100.12303161621094</v>
      </c>
      <c r="C342" s="3">
        <f t="shared" si="1"/>
        <v>0.32348448035944677</v>
      </c>
    </row>
    <row r="343" spans="1:3" ht="13.2" x14ac:dyDescent="0.25">
      <c r="A343" s="6">
        <v>341</v>
      </c>
      <c r="B343" s="7">
        <v>100.59014129638672</v>
      </c>
      <c r="C343" s="3">
        <f t="shared" si="1"/>
        <v>0.31184414915296094</v>
      </c>
    </row>
    <row r="344" spans="1:3" ht="13.2" x14ac:dyDescent="0.25">
      <c r="A344" s="6">
        <v>342</v>
      </c>
      <c r="B344" s="7">
        <v>100.27873229980469</v>
      </c>
      <c r="C344" s="3">
        <f t="shared" si="1"/>
        <v>0.30697371225086312</v>
      </c>
    </row>
    <row r="345" spans="1:3" ht="13.2" x14ac:dyDescent="0.25">
      <c r="A345" s="6">
        <v>343</v>
      </c>
      <c r="B345" s="7">
        <v>100.74583435058594</v>
      </c>
      <c r="C345" s="3">
        <f t="shared" si="1"/>
        <v>0.32856105055980206</v>
      </c>
    </row>
    <row r="346" spans="1:3" ht="13.2" x14ac:dyDescent="0.25">
      <c r="A346" s="6">
        <v>344</v>
      </c>
      <c r="B346" s="7">
        <v>100.6160888671875</v>
      </c>
      <c r="C346" s="3">
        <f t="shared" si="1"/>
        <v>0.31365304916694853</v>
      </c>
    </row>
    <row r="347" spans="1:3" ht="13.2" x14ac:dyDescent="0.25">
      <c r="A347" s="6">
        <v>345</v>
      </c>
      <c r="B347" s="7">
        <v>98.3238525390625</v>
      </c>
      <c r="C347" s="3">
        <f t="shared" si="1"/>
        <v>0.31291916414521043</v>
      </c>
    </row>
    <row r="348" spans="1:3" ht="13.2" x14ac:dyDescent="0.25">
      <c r="A348" s="6">
        <v>346</v>
      </c>
      <c r="B348" s="7">
        <v>97.017707824707031</v>
      </c>
      <c r="C348" s="3">
        <f t="shared" si="1"/>
        <v>0.28625602425405294</v>
      </c>
    </row>
    <row r="349" spans="1:3" ht="13.2" x14ac:dyDescent="0.25">
      <c r="A349" s="6">
        <v>347</v>
      </c>
      <c r="B349" s="7">
        <v>99.015846252441406</v>
      </c>
      <c r="C349" s="3">
        <f t="shared" si="1"/>
        <v>0.30273406448864792</v>
      </c>
    </row>
    <row r="350" spans="1:3" ht="13.2" x14ac:dyDescent="0.25">
      <c r="A350" s="6">
        <v>348</v>
      </c>
      <c r="B350" s="7">
        <v>98.315200805664063</v>
      </c>
      <c r="C350" s="3">
        <f t="shared" si="1"/>
        <v>0.29752943468899634</v>
      </c>
    </row>
    <row r="351" spans="1:3" ht="13.2" x14ac:dyDescent="0.25">
      <c r="A351" s="6">
        <v>349</v>
      </c>
      <c r="B351" s="7">
        <v>97.441566467285156</v>
      </c>
      <c r="C351" s="3">
        <f t="shared" si="1"/>
        <v>0.28081780910260012</v>
      </c>
    </row>
    <row r="352" spans="1:3" ht="13.2" x14ac:dyDescent="0.25">
      <c r="A352" s="6">
        <v>350</v>
      </c>
      <c r="B352" s="7">
        <v>97.095558166503906</v>
      </c>
      <c r="C352" s="3">
        <f t="shared" si="1"/>
        <v>0.27372152520613802</v>
      </c>
    </row>
    <row r="353" spans="1:3" ht="13.2" x14ac:dyDescent="0.25">
      <c r="A353" s="6">
        <v>351</v>
      </c>
      <c r="B353" s="7">
        <v>98.168144226074219</v>
      </c>
      <c r="C353" s="3">
        <f t="shared" si="1"/>
        <v>0.28470766174257311</v>
      </c>
    </row>
    <row r="354" spans="1:3" ht="13.2" x14ac:dyDescent="0.25">
      <c r="A354" s="6">
        <v>352</v>
      </c>
      <c r="B354" s="7">
        <v>98.626594543457031</v>
      </c>
      <c r="C354" s="3">
        <f t="shared" si="1"/>
        <v>0.28782253568386562</v>
      </c>
    </row>
    <row r="355" spans="1:3" ht="13.2" x14ac:dyDescent="0.25">
      <c r="A355" s="6">
        <v>353</v>
      </c>
      <c r="B355" s="7">
        <v>97.744293212890625</v>
      </c>
      <c r="C355" s="3">
        <f t="shared" si="1"/>
        <v>0.29966460945400136</v>
      </c>
    </row>
    <row r="356" spans="1:3" ht="13.2" x14ac:dyDescent="0.25">
      <c r="A356" s="6">
        <v>354</v>
      </c>
      <c r="B356" s="7">
        <v>98.574691772460938</v>
      </c>
      <c r="C356" s="3">
        <f t="shared" si="1"/>
        <v>0.31354133961710273</v>
      </c>
    </row>
    <row r="357" spans="1:3" ht="13.2" x14ac:dyDescent="0.25">
      <c r="A357" s="6">
        <v>355</v>
      </c>
      <c r="B357" s="7">
        <v>99.456993103027344</v>
      </c>
      <c r="C357" s="3">
        <f t="shared" si="1"/>
        <v>0.33853632798316569</v>
      </c>
    </row>
    <row r="358" spans="1:3" ht="13.2" x14ac:dyDescent="0.25">
      <c r="A358" s="6">
        <v>356</v>
      </c>
      <c r="B358" s="7">
        <v>97.804847717285156</v>
      </c>
      <c r="C358" s="3">
        <f t="shared" si="1"/>
        <v>0.32558736136668864</v>
      </c>
    </row>
    <row r="359" spans="1:3" ht="13.2" x14ac:dyDescent="0.25">
      <c r="A359" s="6">
        <v>357</v>
      </c>
      <c r="B359" s="7">
        <v>96.152717590332031</v>
      </c>
      <c r="C359" s="3">
        <f t="shared" si="1"/>
        <v>0.3085509535983339</v>
      </c>
    </row>
    <row r="360" spans="1:3" ht="13.2" x14ac:dyDescent="0.25">
      <c r="A360" s="6">
        <v>358</v>
      </c>
      <c r="B360" s="7">
        <v>94.881179809570313</v>
      </c>
      <c r="C360" s="3">
        <f t="shared" si="1"/>
        <v>0.29051700110542816</v>
      </c>
    </row>
    <row r="361" spans="1:3" ht="13.2" x14ac:dyDescent="0.25">
      <c r="A361" s="6">
        <v>359</v>
      </c>
      <c r="B361" s="7">
        <v>94.215118408203125</v>
      </c>
      <c r="C361" s="3">
        <f t="shared" si="1"/>
        <v>0.27261687550594571</v>
      </c>
    </row>
    <row r="362" spans="1:3" ht="13.2" x14ac:dyDescent="0.25">
      <c r="A362" s="6">
        <v>360</v>
      </c>
      <c r="B362" s="7">
        <v>94.595726013183594</v>
      </c>
      <c r="C362" s="3">
        <f t="shared" si="1"/>
        <v>0.27972183538340994</v>
      </c>
    </row>
    <row r="363" spans="1:3" ht="13.2" x14ac:dyDescent="0.25">
      <c r="A363" s="6">
        <v>361</v>
      </c>
      <c r="B363" s="7">
        <v>95.132026672363281</v>
      </c>
      <c r="C363" s="3">
        <f t="shared" si="1"/>
        <v>0.29040381558607986</v>
      </c>
    </row>
    <row r="364" spans="1:3" ht="13.2" x14ac:dyDescent="0.25">
      <c r="A364" s="6">
        <v>362</v>
      </c>
      <c r="B364" s="7">
        <v>97.164764404296875</v>
      </c>
      <c r="C364" s="3">
        <f t="shared" si="1"/>
        <v>0.32295379181573519</v>
      </c>
    </row>
    <row r="365" spans="1:3" ht="13.2" x14ac:dyDescent="0.25">
      <c r="A365" s="6">
        <v>363</v>
      </c>
      <c r="B365" s="7">
        <v>96.265167236328125</v>
      </c>
      <c r="C365" s="3">
        <f t="shared" si="1"/>
        <v>0.32378562255191462</v>
      </c>
    </row>
    <row r="366" spans="1:3" ht="13.2" x14ac:dyDescent="0.25">
      <c r="A366" s="6">
        <v>364</v>
      </c>
      <c r="B366" s="7">
        <v>97.035003662109375</v>
      </c>
      <c r="C366" s="3">
        <f t="shared" si="1"/>
        <v>0.36266176076941176</v>
      </c>
    </row>
    <row r="367" spans="1:3" ht="13.2" x14ac:dyDescent="0.25">
      <c r="A367" s="6">
        <v>365</v>
      </c>
      <c r="B367" s="7">
        <v>95.971061706542969</v>
      </c>
      <c r="C367" s="3">
        <f t="shared" si="1"/>
        <v>0.39083246780759429</v>
      </c>
    </row>
    <row r="368" spans="1:3" ht="13.2" x14ac:dyDescent="0.25">
      <c r="A368" s="6">
        <v>366</v>
      </c>
      <c r="B368" s="7">
        <v>97.683746337890625</v>
      </c>
      <c r="C368" s="3">
        <f t="shared" si="1"/>
        <v>0.37019629476252097</v>
      </c>
    </row>
    <row r="369" spans="1:3" ht="13.2" x14ac:dyDescent="0.25">
      <c r="A369" s="6">
        <v>367</v>
      </c>
      <c r="B369" s="7">
        <v>97.2080078125</v>
      </c>
      <c r="C369" s="3">
        <f t="shared" si="1"/>
        <v>0.34339474406595083</v>
      </c>
    </row>
    <row r="370" spans="1:3" ht="13.2" x14ac:dyDescent="0.25">
      <c r="A370" s="6">
        <v>368</v>
      </c>
      <c r="B370" s="7">
        <v>97.432907104492188</v>
      </c>
      <c r="C370" s="3">
        <f t="shared" si="1"/>
        <v>0.33383966055163838</v>
      </c>
    </row>
    <row r="371" spans="1:3" ht="13.2" x14ac:dyDescent="0.25">
      <c r="A371" s="6">
        <v>369</v>
      </c>
      <c r="B371" s="7">
        <v>96.178665161132813</v>
      </c>
      <c r="C371" s="3">
        <f t="shared" si="1"/>
        <v>0.28773627949334185</v>
      </c>
    </row>
    <row r="372" spans="1:3" ht="13.2" x14ac:dyDescent="0.25">
      <c r="A372" s="6">
        <v>370</v>
      </c>
      <c r="B372" s="7">
        <v>94.630325317382813</v>
      </c>
      <c r="C372" s="3">
        <f t="shared" si="1"/>
        <v>0.27255515018546622</v>
      </c>
    </row>
    <row r="373" spans="1:3" ht="13.2" x14ac:dyDescent="0.25">
      <c r="A373" s="6">
        <v>371</v>
      </c>
      <c r="B373" s="7">
        <v>95.53857421875</v>
      </c>
      <c r="C373" s="3">
        <f t="shared" si="1"/>
        <v>0.26925157038384562</v>
      </c>
    </row>
    <row r="374" spans="1:3" ht="13.2" x14ac:dyDescent="0.25">
      <c r="A374" s="6">
        <v>372</v>
      </c>
      <c r="B374" s="7">
        <v>96.308395385742188</v>
      </c>
      <c r="C374" s="3">
        <f t="shared" si="1"/>
        <v>0.26197484731838577</v>
      </c>
    </row>
    <row r="375" spans="1:3" ht="13.2" x14ac:dyDescent="0.25">
      <c r="A375" s="6">
        <v>373</v>
      </c>
      <c r="B375" s="7">
        <v>96.317054748535156</v>
      </c>
      <c r="C375" s="3">
        <f t="shared" si="1"/>
        <v>0.22098887268903447</v>
      </c>
    </row>
    <row r="376" spans="1:3" ht="13.2" x14ac:dyDescent="0.25">
      <c r="A376" s="6">
        <v>374</v>
      </c>
      <c r="B376" s="7">
        <v>94.907119750976563</v>
      </c>
      <c r="C376" s="3">
        <f t="shared" si="1"/>
        <v>0.22701325081632684</v>
      </c>
    </row>
    <row r="377" spans="1:3" ht="13.2" x14ac:dyDescent="0.25">
      <c r="A377" s="6">
        <v>375</v>
      </c>
      <c r="B377" s="7">
        <v>91.784500122070313</v>
      </c>
      <c r="C377" s="3">
        <f t="shared" si="1"/>
        <v>0.17322192515248105</v>
      </c>
    </row>
    <row r="378" spans="1:3" ht="13.2" x14ac:dyDescent="0.25">
      <c r="A378" s="6">
        <v>376</v>
      </c>
      <c r="B378" s="7">
        <v>91.741241455078125</v>
      </c>
      <c r="C378" s="3">
        <f t="shared" si="1"/>
        <v>0.16960007984790457</v>
      </c>
    </row>
    <row r="379" spans="1:3" ht="13.2" x14ac:dyDescent="0.25">
      <c r="A379" s="6">
        <v>377</v>
      </c>
      <c r="B379" s="7">
        <v>92.46783447265625</v>
      </c>
      <c r="C379" s="3">
        <f t="shared" si="1"/>
        <v>0.17813992959855918</v>
      </c>
    </row>
    <row r="380" spans="1:3" ht="13.2" x14ac:dyDescent="0.25">
      <c r="A380" s="6">
        <v>378</v>
      </c>
      <c r="B380" s="7">
        <v>92.104530334472656</v>
      </c>
      <c r="C380" s="3">
        <f t="shared" si="1"/>
        <v>0.17311834445953647</v>
      </c>
    </row>
    <row r="381" spans="1:3" ht="13.2" x14ac:dyDescent="0.25">
      <c r="A381" s="6">
        <v>379</v>
      </c>
      <c r="B381" s="7">
        <v>92.121841430664063</v>
      </c>
      <c r="C381" s="3">
        <f t="shared" si="1"/>
        <v>0.17233081295980185</v>
      </c>
    </row>
    <row r="382" spans="1:3" ht="13.2" x14ac:dyDescent="0.25">
      <c r="A382" s="6">
        <v>380</v>
      </c>
      <c r="B382" s="7">
        <v>92.718696594238281</v>
      </c>
      <c r="C382" s="3">
        <f t="shared" si="1"/>
        <v>0.1914335439549186</v>
      </c>
    </row>
    <row r="383" spans="1:3" ht="13.2" x14ac:dyDescent="0.25">
      <c r="A383" s="6">
        <v>381</v>
      </c>
      <c r="B383" s="7">
        <v>91.697998046875</v>
      </c>
      <c r="C383" s="3">
        <f t="shared" ref="C383:C446" si="2">LN(B383/B131)</f>
        <v>0.17413070973783579</v>
      </c>
    </row>
    <row r="384" spans="1:3" ht="13.2" x14ac:dyDescent="0.25">
      <c r="A384" s="6">
        <v>382</v>
      </c>
      <c r="B384" s="7">
        <v>89.673904418945313</v>
      </c>
      <c r="C384" s="3">
        <f t="shared" si="2"/>
        <v>0.15115610793620743</v>
      </c>
    </row>
    <row r="385" spans="1:3" ht="13.2" x14ac:dyDescent="0.25">
      <c r="A385" s="6">
        <v>383</v>
      </c>
      <c r="B385" s="7">
        <v>87.511421203613281</v>
      </c>
      <c r="C385" s="3">
        <f t="shared" si="2"/>
        <v>0.12674561471995552</v>
      </c>
    </row>
    <row r="386" spans="1:3" ht="13.2" x14ac:dyDescent="0.25">
      <c r="A386" s="6">
        <v>384</v>
      </c>
      <c r="B386" s="7">
        <v>90.331306457519531</v>
      </c>
      <c r="C386" s="3">
        <f t="shared" si="2"/>
        <v>0.19790344703556223</v>
      </c>
    </row>
    <row r="387" spans="1:3" ht="13.2" x14ac:dyDescent="0.25">
      <c r="A387" s="6">
        <v>385</v>
      </c>
      <c r="B387" s="7">
        <v>91.092498779296875</v>
      </c>
      <c r="C387" s="3">
        <f t="shared" si="2"/>
        <v>0.17483657112740475</v>
      </c>
    </row>
    <row r="388" spans="1:3" ht="13.2" x14ac:dyDescent="0.25">
      <c r="A388" s="6">
        <v>386</v>
      </c>
      <c r="B388" s="7">
        <v>92.018043518066406</v>
      </c>
      <c r="C388" s="3">
        <f t="shared" si="2"/>
        <v>0.17641644403956752</v>
      </c>
    </row>
    <row r="389" spans="1:3" ht="13.2" x14ac:dyDescent="0.25">
      <c r="A389" s="6">
        <v>387</v>
      </c>
      <c r="B389" s="7">
        <v>93.557731628417969</v>
      </c>
      <c r="C389" s="3">
        <f t="shared" si="2"/>
        <v>0.17104078786689766</v>
      </c>
    </row>
    <row r="390" spans="1:3" ht="13.2" x14ac:dyDescent="0.25">
      <c r="A390" s="6">
        <v>388</v>
      </c>
      <c r="B390" s="7">
        <v>92.883041381835938</v>
      </c>
      <c r="C390" s="3">
        <f t="shared" si="2"/>
        <v>0.18066836562921165</v>
      </c>
    </row>
    <row r="391" spans="1:3" ht="13.2" x14ac:dyDescent="0.25">
      <c r="A391" s="6">
        <v>389</v>
      </c>
      <c r="B391" s="7">
        <v>92.822479248046875</v>
      </c>
      <c r="C391" s="3">
        <f t="shared" si="2"/>
        <v>0.17342958059112609</v>
      </c>
    </row>
    <row r="392" spans="1:3" ht="13.2" x14ac:dyDescent="0.25">
      <c r="A392" s="6">
        <v>390</v>
      </c>
      <c r="B392" s="7">
        <v>92.900337219238281</v>
      </c>
      <c r="C392" s="3">
        <f t="shared" si="2"/>
        <v>0.18563229634154124</v>
      </c>
    </row>
    <row r="393" spans="1:3" ht="13.2" x14ac:dyDescent="0.25">
      <c r="A393" s="6">
        <v>391</v>
      </c>
      <c r="B393" s="7">
        <v>93.436630249023438</v>
      </c>
      <c r="C393" s="3">
        <f t="shared" si="2"/>
        <v>0.20145313880278293</v>
      </c>
    </row>
    <row r="394" spans="1:3" ht="13.2" x14ac:dyDescent="0.25">
      <c r="A394" s="6">
        <v>392</v>
      </c>
      <c r="B394" s="7">
        <v>93.332832336425781</v>
      </c>
      <c r="C394" s="3">
        <f t="shared" si="2"/>
        <v>0.20100163156630674</v>
      </c>
    </row>
    <row r="395" spans="1:3" ht="13.2" x14ac:dyDescent="0.25">
      <c r="A395" s="6">
        <v>393</v>
      </c>
      <c r="B395" s="7">
        <v>93.626937866210938</v>
      </c>
      <c r="C395" s="3">
        <f t="shared" si="2"/>
        <v>0.18777894962826536</v>
      </c>
    </row>
    <row r="396" spans="1:3" ht="13.2" x14ac:dyDescent="0.25">
      <c r="A396" s="6">
        <v>394</v>
      </c>
      <c r="B396" s="7">
        <v>93.211746215820313</v>
      </c>
      <c r="C396" s="3">
        <f t="shared" si="2"/>
        <v>0.18604417888331473</v>
      </c>
    </row>
    <row r="397" spans="1:3" ht="13.2" x14ac:dyDescent="0.25">
      <c r="A397" s="6">
        <v>395</v>
      </c>
      <c r="B397" s="7">
        <v>93.895088195800781</v>
      </c>
      <c r="C397" s="3">
        <f t="shared" si="2"/>
        <v>0.19584783930545732</v>
      </c>
    </row>
    <row r="398" spans="1:3" ht="13.2" x14ac:dyDescent="0.25">
      <c r="A398" s="6">
        <v>396</v>
      </c>
      <c r="B398" s="7">
        <v>91.256843566894531</v>
      </c>
      <c r="C398" s="3">
        <f t="shared" si="2"/>
        <v>0.17707831974217286</v>
      </c>
    </row>
    <row r="399" spans="1:3" ht="13.2" x14ac:dyDescent="0.25">
      <c r="A399" s="6">
        <v>397</v>
      </c>
      <c r="B399" s="7">
        <v>91.974800109863281</v>
      </c>
      <c r="C399" s="3">
        <f t="shared" si="2"/>
        <v>0.18667437666521736</v>
      </c>
    </row>
    <row r="400" spans="1:3" ht="13.2" x14ac:dyDescent="0.25">
      <c r="A400" s="6">
        <v>398</v>
      </c>
      <c r="B400" s="7">
        <v>94.898468017578125</v>
      </c>
      <c r="C400" s="3">
        <f t="shared" si="2"/>
        <v>0.205281270106073</v>
      </c>
    </row>
    <row r="401" spans="1:3" ht="13.2" x14ac:dyDescent="0.25">
      <c r="A401" s="6">
        <v>399</v>
      </c>
      <c r="B401" s="7">
        <v>95.521270751953125</v>
      </c>
      <c r="C401" s="3">
        <f t="shared" si="2"/>
        <v>0.21041094659190071</v>
      </c>
    </row>
    <row r="402" spans="1:3" ht="13.2" x14ac:dyDescent="0.25">
      <c r="A402" s="6">
        <v>400</v>
      </c>
      <c r="B402" s="7">
        <v>96.680351257324219</v>
      </c>
      <c r="C402" s="3">
        <f t="shared" si="2"/>
        <v>0.24065044736564853</v>
      </c>
    </row>
    <row r="403" spans="1:3" ht="13.2" x14ac:dyDescent="0.25">
      <c r="A403" s="6">
        <v>401</v>
      </c>
      <c r="B403" s="7">
        <v>96.714958190917969</v>
      </c>
      <c r="C403" s="3">
        <f t="shared" si="2"/>
        <v>0.25189734685602627</v>
      </c>
    </row>
    <row r="404" spans="1:3" ht="13.2" x14ac:dyDescent="0.25">
      <c r="A404" s="6">
        <v>402</v>
      </c>
      <c r="B404" s="7">
        <v>97.372352600097656</v>
      </c>
      <c r="C404" s="3">
        <f t="shared" si="2"/>
        <v>0.24789320390672082</v>
      </c>
    </row>
    <row r="405" spans="1:3" ht="13.2" x14ac:dyDescent="0.25">
      <c r="A405" s="6">
        <v>403</v>
      </c>
      <c r="B405" s="7">
        <v>98.176803588867188</v>
      </c>
      <c r="C405" s="3">
        <f t="shared" si="2"/>
        <v>0.26244038505909795</v>
      </c>
    </row>
    <row r="406" spans="1:3" ht="13.2" x14ac:dyDescent="0.25">
      <c r="A406" s="6">
        <v>404</v>
      </c>
      <c r="B406" s="7">
        <v>97.752952575683594</v>
      </c>
      <c r="C406" s="3">
        <f t="shared" si="2"/>
        <v>0.23546048808515804</v>
      </c>
    </row>
    <row r="407" spans="1:3" ht="13.2" x14ac:dyDescent="0.25">
      <c r="A407" s="6">
        <v>405</v>
      </c>
      <c r="B407" s="7">
        <v>96.420860290527344</v>
      </c>
      <c r="C407" s="3">
        <f t="shared" si="2"/>
        <v>0.21124806613075087</v>
      </c>
    </row>
    <row r="408" spans="1:3" ht="13.2" x14ac:dyDescent="0.25">
      <c r="A408" s="6">
        <v>406</v>
      </c>
      <c r="B408" s="7">
        <v>96.066207885742188</v>
      </c>
      <c r="C408" s="3">
        <f t="shared" si="2"/>
        <v>0.20831656602572224</v>
      </c>
    </row>
    <row r="409" spans="1:3" ht="13.2" x14ac:dyDescent="0.25">
      <c r="A409" s="6">
        <v>407</v>
      </c>
      <c r="B409" s="7">
        <v>96.481414794921875</v>
      </c>
      <c r="C409" s="3">
        <f t="shared" si="2"/>
        <v>0.22738177812674934</v>
      </c>
    </row>
    <row r="410" spans="1:3" ht="13.2" x14ac:dyDescent="0.25">
      <c r="A410" s="6">
        <v>408</v>
      </c>
      <c r="B410" s="7">
        <v>96.619804382324219</v>
      </c>
      <c r="C410" s="3">
        <f t="shared" si="2"/>
        <v>0.23396433205495829</v>
      </c>
    </row>
    <row r="411" spans="1:3" ht="13.2" x14ac:dyDescent="0.25">
      <c r="A411" s="6">
        <v>409</v>
      </c>
      <c r="B411" s="7">
        <v>96.8360595703125</v>
      </c>
      <c r="C411" s="3">
        <f t="shared" si="2"/>
        <v>0.22690695771637923</v>
      </c>
    </row>
    <row r="412" spans="1:3" ht="13.2" x14ac:dyDescent="0.25">
      <c r="A412" s="6">
        <v>410</v>
      </c>
      <c r="B412" s="7">
        <v>97.709693908691406</v>
      </c>
      <c r="C412" s="3">
        <f t="shared" si="2"/>
        <v>0.23414838167725247</v>
      </c>
    </row>
    <row r="413" spans="1:3" ht="13.2" x14ac:dyDescent="0.25">
      <c r="A413" s="6">
        <v>411</v>
      </c>
      <c r="B413" s="7">
        <v>96.2132568359375</v>
      </c>
      <c r="C413" s="3">
        <f t="shared" si="2"/>
        <v>0.20319225607444766</v>
      </c>
    </row>
    <row r="414" spans="1:3" ht="13.2" x14ac:dyDescent="0.25">
      <c r="A414" s="6">
        <v>412</v>
      </c>
      <c r="B414" s="7">
        <v>95.867271423339844</v>
      </c>
      <c r="C414" s="3">
        <f t="shared" si="2"/>
        <v>0.19691949110265203</v>
      </c>
    </row>
    <row r="415" spans="1:3" ht="13.2" x14ac:dyDescent="0.25">
      <c r="A415" s="6">
        <v>413</v>
      </c>
      <c r="B415" s="7">
        <v>94.898468017578125</v>
      </c>
      <c r="C415" s="3">
        <f t="shared" si="2"/>
        <v>0.19479525254924246</v>
      </c>
    </row>
    <row r="416" spans="1:3" ht="13.2" x14ac:dyDescent="0.25">
      <c r="A416" s="6">
        <v>414</v>
      </c>
      <c r="B416" s="7">
        <v>94.993629455566406</v>
      </c>
      <c r="C416" s="3">
        <f t="shared" si="2"/>
        <v>0.19978437724979026</v>
      </c>
    </row>
    <row r="417" spans="1:3" ht="13.2" x14ac:dyDescent="0.25">
      <c r="A417" s="6">
        <v>415</v>
      </c>
      <c r="B417" s="7">
        <v>96.593864440917969</v>
      </c>
      <c r="C417" s="3">
        <f t="shared" si="2"/>
        <v>0.2146560663855441</v>
      </c>
    </row>
    <row r="418" spans="1:3" ht="13.2" x14ac:dyDescent="0.25">
      <c r="A418" s="6">
        <v>416</v>
      </c>
      <c r="B418" s="7">
        <v>97.804847717285156</v>
      </c>
      <c r="C418" s="3">
        <f t="shared" si="2"/>
        <v>0.2237796609665634</v>
      </c>
    </row>
    <row r="419" spans="1:3" ht="13.2" x14ac:dyDescent="0.25">
      <c r="A419" s="6">
        <v>417</v>
      </c>
      <c r="B419" s="7">
        <v>96.853355407714844</v>
      </c>
      <c r="C419" s="3">
        <f t="shared" si="2"/>
        <v>0.21830920218588384</v>
      </c>
    </row>
    <row r="420" spans="1:3" ht="13.2" x14ac:dyDescent="0.25">
      <c r="A420" s="6">
        <v>418</v>
      </c>
      <c r="B420" s="7">
        <v>98.081642150878906</v>
      </c>
      <c r="C420" s="3">
        <f t="shared" si="2"/>
        <v>0.24099445582598333</v>
      </c>
    </row>
    <row r="421" spans="1:3" ht="13.2" x14ac:dyDescent="0.25">
      <c r="A421" s="6">
        <v>419</v>
      </c>
      <c r="B421" s="7">
        <v>98.133544921875</v>
      </c>
      <c r="C421" s="3">
        <f t="shared" si="2"/>
        <v>0.23749968709211677</v>
      </c>
    </row>
    <row r="422" spans="1:3" ht="13.2" x14ac:dyDescent="0.25">
      <c r="A422" s="6">
        <v>420</v>
      </c>
      <c r="B422" s="7">
        <v>97.311805725097656</v>
      </c>
      <c r="C422" s="3">
        <f t="shared" si="2"/>
        <v>0.23945473949486598</v>
      </c>
    </row>
    <row r="423" spans="1:3" ht="13.2" x14ac:dyDescent="0.25">
      <c r="A423" s="6">
        <v>421</v>
      </c>
      <c r="B423" s="7">
        <v>95.408828735351563</v>
      </c>
      <c r="C423" s="3">
        <f t="shared" si="2"/>
        <v>0.21642110557996846</v>
      </c>
    </row>
    <row r="424" spans="1:3" ht="13.2" x14ac:dyDescent="0.25">
      <c r="A424" s="6">
        <v>422</v>
      </c>
      <c r="B424" s="7">
        <v>94.751426696777344</v>
      </c>
      <c r="C424" s="3">
        <f t="shared" si="2"/>
        <v>0.19906861847099913</v>
      </c>
    </row>
    <row r="425" spans="1:3" ht="13.2" x14ac:dyDescent="0.25">
      <c r="A425" s="6">
        <v>423</v>
      </c>
      <c r="B425" s="7">
        <v>94.457321166992188</v>
      </c>
      <c r="C425" s="3">
        <f t="shared" si="2"/>
        <v>0.20312440645573673</v>
      </c>
    </row>
    <row r="426" spans="1:3" ht="13.2" x14ac:dyDescent="0.25">
      <c r="A426" s="6">
        <v>424</v>
      </c>
      <c r="B426" s="7">
        <v>93.834541320800781</v>
      </c>
      <c r="C426" s="3">
        <f t="shared" si="2"/>
        <v>0.18094290855399955</v>
      </c>
    </row>
    <row r="427" spans="1:3" ht="13.2" x14ac:dyDescent="0.25">
      <c r="A427" s="6">
        <v>425</v>
      </c>
      <c r="B427" s="7">
        <v>95.824020385742188</v>
      </c>
      <c r="C427" s="3">
        <f t="shared" si="2"/>
        <v>0.23352327698049077</v>
      </c>
    </row>
    <row r="428" spans="1:3" ht="13.2" x14ac:dyDescent="0.25">
      <c r="A428" s="6">
        <v>426</v>
      </c>
      <c r="B428" s="7">
        <v>95.754814147949219</v>
      </c>
      <c r="C428" s="3">
        <f t="shared" si="2"/>
        <v>0.22937489284893361</v>
      </c>
    </row>
    <row r="429" spans="1:3" ht="13.2" x14ac:dyDescent="0.25">
      <c r="A429" s="6">
        <v>427</v>
      </c>
      <c r="B429" s="7">
        <v>95.192573547363281</v>
      </c>
      <c r="C429" s="3">
        <f t="shared" si="2"/>
        <v>0.24264465714356054</v>
      </c>
    </row>
    <row r="430" spans="1:3" ht="13.2" x14ac:dyDescent="0.25">
      <c r="A430" s="6">
        <v>428</v>
      </c>
      <c r="B430" s="7">
        <v>94.145919799804688</v>
      </c>
      <c r="C430" s="3">
        <f t="shared" si="2"/>
        <v>0.21198874217681002</v>
      </c>
    </row>
    <row r="431" spans="1:3" ht="13.2" x14ac:dyDescent="0.25">
      <c r="A431" s="6">
        <v>429</v>
      </c>
      <c r="B431" s="7">
        <v>93.652885437011719</v>
      </c>
      <c r="C431" s="3">
        <f t="shared" si="2"/>
        <v>0.21149137054136563</v>
      </c>
    </row>
    <row r="432" spans="1:3" ht="13.2" x14ac:dyDescent="0.25">
      <c r="A432" s="6">
        <v>430</v>
      </c>
      <c r="B432" s="7">
        <v>93.765335083007813</v>
      </c>
      <c r="C432" s="3">
        <f t="shared" si="2"/>
        <v>0.22349735648844066</v>
      </c>
    </row>
    <row r="433" spans="1:3" ht="13.2" x14ac:dyDescent="0.25">
      <c r="A433" s="6">
        <v>431</v>
      </c>
      <c r="B433" s="7">
        <v>96.0921630859375</v>
      </c>
      <c r="C433" s="3">
        <f t="shared" si="2"/>
        <v>0.23664986299123372</v>
      </c>
    </row>
    <row r="434" spans="1:3" ht="13.2" x14ac:dyDescent="0.25">
      <c r="A434" s="6">
        <v>432</v>
      </c>
      <c r="B434" s="7">
        <v>94.32757568359375</v>
      </c>
      <c r="C434" s="3">
        <f t="shared" si="2"/>
        <v>0.22869196595155628</v>
      </c>
    </row>
    <row r="435" spans="1:3" ht="13.2" x14ac:dyDescent="0.25">
      <c r="A435" s="6">
        <v>433</v>
      </c>
      <c r="B435" s="7">
        <v>94.223777770996094</v>
      </c>
      <c r="C435" s="3">
        <f t="shared" si="2"/>
        <v>0.21668245639829206</v>
      </c>
    </row>
    <row r="436" spans="1:3" ht="13.2" x14ac:dyDescent="0.25">
      <c r="A436" s="6">
        <v>434</v>
      </c>
      <c r="B436" s="7">
        <v>95.417472839355469</v>
      </c>
      <c r="C436" s="3">
        <f t="shared" si="2"/>
        <v>0.23193218711527114</v>
      </c>
    </row>
    <row r="437" spans="1:3" ht="13.2" x14ac:dyDescent="0.25">
      <c r="A437" s="6">
        <v>435</v>
      </c>
      <c r="B437" s="7">
        <v>95.175270080566406</v>
      </c>
      <c r="C437" s="3">
        <f t="shared" si="2"/>
        <v>0.2473102797917501</v>
      </c>
    </row>
    <row r="438" spans="1:3" ht="13.2" x14ac:dyDescent="0.25">
      <c r="A438" s="6">
        <v>436</v>
      </c>
      <c r="B438" s="7">
        <v>94.163223266601563</v>
      </c>
      <c r="C438" s="3">
        <f t="shared" si="2"/>
        <v>0.22515896396311461</v>
      </c>
    </row>
    <row r="439" spans="1:3" ht="13.2" x14ac:dyDescent="0.25">
      <c r="A439" s="6">
        <v>437</v>
      </c>
      <c r="B439" s="7">
        <v>95.132026672363281</v>
      </c>
      <c r="C439" s="3">
        <f t="shared" si="2"/>
        <v>0.25172684539939189</v>
      </c>
    </row>
    <row r="440" spans="1:3" ht="13.2" x14ac:dyDescent="0.25">
      <c r="A440" s="6">
        <v>438</v>
      </c>
      <c r="B440" s="7">
        <v>92.476486206054688</v>
      </c>
      <c r="C440" s="3">
        <f t="shared" si="2"/>
        <v>0.18969568224327904</v>
      </c>
    </row>
    <row r="441" spans="1:3" ht="13.2" x14ac:dyDescent="0.25">
      <c r="A441" s="6">
        <v>439</v>
      </c>
      <c r="B441" s="7">
        <v>94.310272216796875</v>
      </c>
      <c r="C441" s="3">
        <f t="shared" si="2"/>
        <v>0.20134862424581954</v>
      </c>
    </row>
    <row r="442" spans="1:3" ht="13.2" x14ac:dyDescent="0.25">
      <c r="A442" s="6">
        <v>440</v>
      </c>
      <c r="B442" s="7">
        <v>94.561119079589844</v>
      </c>
      <c r="C442" s="3">
        <f t="shared" si="2"/>
        <v>0.18994438940301706</v>
      </c>
    </row>
    <row r="443" spans="1:3" ht="13.2" x14ac:dyDescent="0.25">
      <c r="A443" s="6">
        <v>441</v>
      </c>
      <c r="B443" s="7">
        <v>94.102676391601563</v>
      </c>
      <c r="C443" s="3">
        <f t="shared" si="2"/>
        <v>0.1921982053165579</v>
      </c>
    </row>
    <row r="444" spans="1:3" ht="13.2" x14ac:dyDescent="0.25">
      <c r="A444" s="6">
        <v>442</v>
      </c>
      <c r="B444" s="7">
        <v>93.95562744140625</v>
      </c>
      <c r="C444" s="3">
        <f t="shared" si="2"/>
        <v>0.1997617894487638</v>
      </c>
    </row>
    <row r="445" spans="1:3" ht="13.2" x14ac:dyDescent="0.25">
      <c r="A445" s="6">
        <v>443</v>
      </c>
      <c r="B445" s="7">
        <v>97.3896484375</v>
      </c>
      <c r="C445" s="3">
        <f t="shared" si="2"/>
        <v>0.25383461783696748</v>
      </c>
    </row>
    <row r="446" spans="1:3" ht="13.2" x14ac:dyDescent="0.25">
      <c r="A446" s="6">
        <v>444</v>
      </c>
      <c r="B446" s="7">
        <v>97.259902954101563</v>
      </c>
      <c r="C446" s="3">
        <f t="shared" si="2"/>
        <v>0.24729042298666296</v>
      </c>
    </row>
    <row r="447" spans="1:3" ht="13.2" x14ac:dyDescent="0.25">
      <c r="A447" s="6">
        <v>445</v>
      </c>
      <c r="B447" s="7">
        <v>94.396766662597656</v>
      </c>
      <c r="C447" s="3">
        <f t="shared" ref="C447:C510" si="3">LN(B447/B195)</f>
        <v>0.23379975215764293</v>
      </c>
    </row>
    <row r="448" spans="1:3" ht="13.2" x14ac:dyDescent="0.25">
      <c r="A448" s="6">
        <v>446</v>
      </c>
      <c r="B448" s="7">
        <v>93.817230224609375</v>
      </c>
      <c r="C448" s="3">
        <f t="shared" si="3"/>
        <v>0.24088066352707874</v>
      </c>
    </row>
    <row r="449" spans="1:3" ht="13.2" x14ac:dyDescent="0.25">
      <c r="A449" s="6">
        <v>447</v>
      </c>
      <c r="B449" s="7">
        <v>97.54534912109375</v>
      </c>
      <c r="C449" s="3">
        <f t="shared" si="3"/>
        <v>0.26593600477932156</v>
      </c>
    </row>
    <row r="450" spans="1:3" ht="13.2" x14ac:dyDescent="0.25">
      <c r="A450" s="6">
        <v>448</v>
      </c>
      <c r="B450" s="7">
        <v>97.294509887695313</v>
      </c>
      <c r="C450" s="3">
        <f t="shared" si="3"/>
        <v>0.24147258750794554</v>
      </c>
    </row>
    <row r="451" spans="1:3" ht="13.2" x14ac:dyDescent="0.25">
      <c r="A451" s="6">
        <v>449</v>
      </c>
      <c r="B451" s="7">
        <v>94.82061767578125</v>
      </c>
      <c r="C451" s="3">
        <f t="shared" si="3"/>
        <v>0.19418959037488073</v>
      </c>
    </row>
    <row r="452" spans="1:3" ht="13.2" x14ac:dyDescent="0.25">
      <c r="A452" s="6">
        <v>450</v>
      </c>
      <c r="B452" s="7">
        <v>97.735649108886719</v>
      </c>
      <c r="C452" s="3">
        <f t="shared" si="3"/>
        <v>0.19052460845309291</v>
      </c>
    </row>
    <row r="453" spans="1:3" ht="13.2" x14ac:dyDescent="0.25">
      <c r="A453" s="6">
        <v>451</v>
      </c>
      <c r="B453" s="7">
        <v>96.360305786132813</v>
      </c>
      <c r="C453" s="3">
        <f t="shared" si="3"/>
        <v>0.15109706672964932</v>
      </c>
    </row>
    <row r="454" spans="1:3" ht="13.2" x14ac:dyDescent="0.25">
      <c r="A454" s="6">
        <v>452</v>
      </c>
      <c r="B454" s="7">
        <v>95.296363830566406</v>
      </c>
      <c r="C454" s="3">
        <f t="shared" si="3"/>
        <v>0.11684588622702451</v>
      </c>
    </row>
    <row r="455" spans="1:3" ht="13.2" x14ac:dyDescent="0.25">
      <c r="A455" s="6">
        <v>453</v>
      </c>
      <c r="B455" s="7">
        <v>94.751426696777344</v>
      </c>
      <c r="C455" s="3">
        <f t="shared" si="3"/>
        <v>0.12056635877589245</v>
      </c>
    </row>
    <row r="456" spans="1:3" ht="13.2" x14ac:dyDescent="0.25">
      <c r="A456" s="6">
        <v>454</v>
      </c>
      <c r="B456" s="7">
        <v>94.474624633789063</v>
      </c>
      <c r="C456" s="3">
        <f t="shared" si="3"/>
        <v>0.13133399166327966</v>
      </c>
    </row>
    <row r="457" spans="1:3" ht="13.2" x14ac:dyDescent="0.25">
      <c r="A457" s="6">
        <v>455</v>
      </c>
      <c r="B457" s="7">
        <v>95.365570068359375</v>
      </c>
      <c r="C457" s="3">
        <f t="shared" si="3"/>
        <v>0.13990962016144376</v>
      </c>
    </row>
    <row r="458" spans="1:3" ht="13.2" x14ac:dyDescent="0.25">
      <c r="A458" s="6">
        <v>456</v>
      </c>
      <c r="B458" s="7">
        <v>93.15118408203125</v>
      </c>
      <c r="C458" s="3">
        <f t="shared" si="3"/>
        <v>0.11884991459061116</v>
      </c>
    </row>
    <row r="459" spans="1:3" ht="13.2" x14ac:dyDescent="0.25">
      <c r="A459" s="6">
        <v>457</v>
      </c>
      <c r="B459" s="7">
        <v>93.376091003417969</v>
      </c>
      <c r="C459" s="3">
        <f t="shared" si="3"/>
        <v>0.10894929632106481</v>
      </c>
    </row>
    <row r="460" spans="1:3" ht="13.2" x14ac:dyDescent="0.25">
      <c r="A460" s="6">
        <v>458</v>
      </c>
      <c r="B460" s="7">
        <v>91.620147705078125</v>
      </c>
      <c r="C460" s="3">
        <f t="shared" si="3"/>
        <v>9.0165724695276603E-2</v>
      </c>
    </row>
    <row r="461" spans="1:3" ht="13.2" x14ac:dyDescent="0.25">
      <c r="A461" s="6">
        <v>459</v>
      </c>
      <c r="B461" s="7">
        <v>91.758552551269531</v>
      </c>
      <c r="C461" s="3">
        <f t="shared" si="3"/>
        <v>0.10317774722098826</v>
      </c>
    </row>
    <row r="462" spans="1:3" ht="13.2" x14ac:dyDescent="0.25">
      <c r="A462" s="6">
        <v>460</v>
      </c>
      <c r="B462" s="7">
        <v>93.514472961425781</v>
      </c>
      <c r="C462" s="3">
        <f t="shared" si="3"/>
        <v>0.14856012931272825</v>
      </c>
    </row>
    <row r="463" spans="1:3" ht="13.2" x14ac:dyDescent="0.25">
      <c r="A463" s="6">
        <v>461</v>
      </c>
      <c r="B463" s="7">
        <v>94.068069458007813</v>
      </c>
      <c r="C463" s="3">
        <f t="shared" si="3"/>
        <v>0.14255094671962251</v>
      </c>
    </row>
    <row r="464" spans="1:3" ht="13.2" x14ac:dyDescent="0.25">
      <c r="A464" s="6">
        <v>462</v>
      </c>
      <c r="B464" s="7">
        <v>92.173728942871094</v>
      </c>
      <c r="C464" s="3">
        <f t="shared" si="3"/>
        <v>0.1192259004773376</v>
      </c>
    </row>
    <row r="465" spans="1:3" ht="13.2" x14ac:dyDescent="0.25">
      <c r="A465" s="6">
        <v>463</v>
      </c>
      <c r="B465" s="7">
        <v>92.34674072265625</v>
      </c>
      <c r="C465" s="3">
        <f t="shared" si="3"/>
        <v>0.12449469337241165</v>
      </c>
    </row>
    <row r="466" spans="1:3" ht="13.2" x14ac:dyDescent="0.25">
      <c r="A466" s="6">
        <v>464</v>
      </c>
      <c r="B466" s="7">
        <v>92.649497985839844</v>
      </c>
      <c r="C466" s="3">
        <f t="shared" si="3"/>
        <v>0.13676986233073907</v>
      </c>
    </row>
    <row r="467" spans="1:3" ht="13.2" x14ac:dyDescent="0.25">
      <c r="A467" s="6">
        <v>465</v>
      </c>
      <c r="B467" s="7">
        <v>93.220367431640625</v>
      </c>
      <c r="C467" s="3">
        <f t="shared" si="3"/>
        <v>0.15630619748508429</v>
      </c>
    </row>
    <row r="468" spans="1:3" ht="13.2" x14ac:dyDescent="0.25">
      <c r="A468" s="6">
        <v>466</v>
      </c>
      <c r="B468" s="7">
        <v>93.488533020019531</v>
      </c>
      <c r="C468" s="3">
        <f t="shared" si="3"/>
        <v>0.15340159673576553</v>
      </c>
    </row>
    <row r="469" spans="1:3" ht="13.2" x14ac:dyDescent="0.25">
      <c r="A469" s="6">
        <v>467</v>
      </c>
      <c r="B469" s="7">
        <v>93.220367431640625</v>
      </c>
      <c r="C469" s="3">
        <f t="shared" si="3"/>
        <v>0.14979617851918683</v>
      </c>
    </row>
    <row r="470" spans="1:3" ht="13.2" x14ac:dyDescent="0.25">
      <c r="A470" s="6">
        <v>468</v>
      </c>
      <c r="B470" s="7">
        <v>94.690872192382813</v>
      </c>
      <c r="C470" s="3">
        <f t="shared" si="3"/>
        <v>0.17745025437973666</v>
      </c>
    </row>
    <row r="471" spans="1:3" ht="13.2" x14ac:dyDescent="0.25">
      <c r="A471" s="6">
        <v>469</v>
      </c>
      <c r="B471" s="7">
        <v>91.680694580078125</v>
      </c>
      <c r="C471" s="3">
        <f t="shared" si="3"/>
        <v>0.14652237154160638</v>
      </c>
    </row>
    <row r="472" spans="1:3" ht="13.2" x14ac:dyDescent="0.25">
      <c r="A472" s="6">
        <v>470</v>
      </c>
      <c r="B472" s="7">
        <v>94.742774963378906</v>
      </c>
      <c r="C472" s="3">
        <f t="shared" si="3"/>
        <v>0.1758820841321336</v>
      </c>
    </row>
    <row r="473" spans="1:3" ht="13.2" x14ac:dyDescent="0.25">
      <c r="A473" s="6">
        <v>471</v>
      </c>
      <c r="B473" s="7">
        <v>95.971061706542969</v>
      </c>
      <c r="C473" s="3">
        <f t="shared" si="3"/>
        <v>0.18992668838323917</v>
      </c>
    </row>
    <row r="474" spans="1:3" ht="13.2" x14ac:dyDescent="0.25">
      <c r="A474" s="6">
        <v>472</v>
      </c>
      <c r="B474" s="7">
        <v>95.737518310546875</v>
      </c>
      <c r="C474" s="3">
        <f t="shared" si="3"/>
        <v>0.16768748617641527</v>
      </c>
    </row>
    <row r="475" spans="1:3" ht="13.2" x14ac:dyDescent="0.25">
      <c r="A475" s="6">
        <v>473</v>
      </c>
      <c r="B475" s="7">
        <v>95.478019714355469</v>
      </c>
      <c r="C475" s="3">
        <f t="shared" si="3"/>
        <v>0.15959294173404429</v>
      </c>
    </row>
    <row r="476" spans="1:3" ht="13.2" x14ac:dyDescent="0.25">
      <c r="A476" s="6">
        <v>474</v>
      </c>
      <c r="B476" s="7">
        <v>95.867271423339844</v>
      </c>
      <c r="C476" s="3">
        <f t="shared" si="3"/>
        <v>0.1696644215368705</v>
      </c>
    </row>
    <row r="477" spans="1:3" ht="13.2" x14ac:dyDescent="0.25">
      <c r="A477" s="6">
        <v>475</v>
      </c>
      <c r="B477" s="7">
        <v>95.330970764160156</v>
      </c>
      <c r="C477" s="3">
        <f t="shared" si="3"/>
        <v>0.16343196333342269</v>
      </c>
    </row>
    <row r="478" spans="1:3" ht="13.2" x14ac:dyDescent="0.25">
      <c r="A478" s="6">
        <v>476</v>
      </c>
      <c r="B478" s="7">
        <v>95.858612060546875</v>
      </c>
      <c r="C478" s="3">
        <f t="shared" si="3"/>
        <v>0.17456936488133754</v>
      </c>
    </row>
    <row r="479" spans="1:3" ht="13.2" x14ac:dyDescent="0.25">
      <c r="A479" s="6">
        <v>477</v>
      </c>
      <c r="B479" s="7">
        <v>95.183921813964844</v>
      </c>
      <c r="C479" s="3">
        <f t="shared" si="3"/>
        <v>0.16802803199198943</v>
      </c>
    </row>
    <row r="480" spans="1:3" ht="13.2" x14ac:dyDescent="0.25">
      <c r="A480" s="6">
        <v>478</v>
      </c>
      <c r="B480" s="7">
        <v>95.253120422363281</v>
      </c>
      <c r="C480" s="3">
        <f t="shared" si="3"/>
        <v>0.18602199025157434</v>
      </c>
    </row>
    <row r="481" spans="1:3" ht="13.2" x14ac:dyDescent="0.25">
      <c r="A481" s="6">
        <v>479</v>
      </c>
      <c r="B481" s="7">
        <v>95.512619018554688</v>
      </c>
      <c r="C481" s="3">
        <f t="shared" si="3"/>
        <v>0.17975586601796126</v>
      </c>
    </row>
    <row r="482" spans="1:3" ht="13.2" x14ac:dyDescent="0.25">
      <c r="A482" s="6">
        <v>480</v>
      </c>
      <c r="B482" s="7">
        <v>96.922569274902344</v>
      </c>
      <c r="C482" s="3">
        <f t="shared" si="3"/>
        <v>0.18560745490262434</v>
      </c>
    </row>
    <row r="483" spans="1:3" ht="13.2" x14ac:dyDescent="0.25">
      <c r="A483" s="6">
        <v>481</v>
      </c>
      <c r="B483" s="7">
        <v>97.320457458496094</v>
      </c>
      <c r="C483" s="3">
        <f t="shared" si="3"/>
        <v>0.17048483603688208</v>
      </c>
    </row>
    <row r="484" spans="1:3" ht="13.2" x14ac:dyDescent="0.25">
      <c r="A484" s="6">
        <v>482</v>
      </c>
      <c r="B484" s="7">
        <v>98.462249755859375</v>
      </c>
      <c r="C484" s="3">
        <f t="shared" si="3"/>
        <v>0.17847144095209802</v>
      </c>
    </row>
    <row r="485" spans="1:3" ht="13.2" x14ac:dyDescent="0.25">
      <c r="A485" s="6">
        <v>483</v>
      </c>
      <c r="B485" s="7">
        <v>99.15423583984375</v>
      </c>
      <c r="C485" s="3">
        <f t="shared" si="3"/>
        <v>0.17735028635168185</v>
      </c>
    </row>
    <row r="486" spans="1:3" ht="13.2" x14ac:dyDescent="0.25">
      <c r="A486" s="6">
        <v>484</v>
      </c>
      <c r="B486" s="7">
        <v>98.877449035644531</v>
      </c>
      <c r="C486" s="3">
        <f t="shared" si="3"/>
        <v>0.18247547218741597</v>
      </c>
    </row>
    <row r="487" spans="1:3" ht="13.2" x14ac:dyDescent="0.25">
      <c r="A487" s="6">
        <v>485</v>
      </c>
      <c r="B487" s="7">
        <v>97.839447021484375</v>
      </c>
      <c r="C487" s="3">
        <f t="shared" si="3"/>
        <v>0.18340579900380063</v>
      </c>
    </row>
    <row r="488" spans="1:3" ht="13.2" x14ac:dyDescent="0.25">
      <c r="A488" s="6">
        <v>486</v>
      </c>
      <c r="B488" s="7">
        <v>95.547210693359375</v>
      </c>
      <c r="C488" s="3">
        <f t="shared" si="3"/>
        <v>0.16207322452773437</v>
      </c>
    </row>
    <row r="489" spans="1:3" ht="13.2" x14ac:dyDescent="0.25">
      <c r="A489" s="6">
        <v>487</v>
      </c>
      <c r="B489" s="7">
        <v>95.65966796875</v>
      </c>
      <c r="C489" s="3">
        <f t="shared" si="3"/>
        <v>0.15337483921582609</v>
      </c>
    </row>
    <row r="490" spans="1:3" ht="13.2" x14ac:dyDescent="0.25">
      <c r="A490" s="6">
        <v>488</v>
      </c>
      <c r="B490" s="7">
        <v>97.597259521484375</v>
      </c>
      <c r="C490" s="3">
        <f t="shared" si="3"/>
        <v>0.17379648327585651</v>
      </c>
    </row>
    <row r="491" spans="1:3" ht="13.2" x14ac:dyDescent="0.25">
      <c r="A491" s="6">
        <v>489</v>
      </c>
      <c r="B491" s="7">
        <v>101.11402130126953</v>
      </c>
      <c r="C491" s="3">
        <f t="shared" si="3"/>
        <v>0.20729960950490969</v>
      </c>
    </row>
    <row r="492" spans="1:3" ht="13.2" x14ac:dyDescent="0.25">
      <c r="A492" s="6">
        <v>490</v>
      </c>
      <c r="B492" s="7">
        <v>98.615028381347656</v>
      </c>
      <c r="C492" s="3">
        <f t="shared" si="3"/>
        <v>0.18343278574041888</v>
      </c>
    </row>
    <row r="493" spans="1:3" ht="13.2" x14ac:dyDescent="0.25">
      <c r="A493" s="6">
        <v>491</v>
      </c>
      <c r="B493" s="7">
        <v>99.623710632324219</v>
      </c>
      <c r="C493" s="3">
        <f t="shared" si="3"/>
        <v>0.19698712363341003</v>
      </c>
    </row>
    <row r="494" spans="1:3" ht="13.2" x14ac:dyDescent="0.25">
      <c r="A494" s="6">
        <v>492</v>
      </c>
      <c r="B494" s="7">
        <v>103.04961395263672</v>
      </c>
      <c r="C494" s="3">
        <f t="shared" si="3"/>
        <v>0.21662478917991099</v>
      </c>
    </row>
    <row r="495" spans="1:3" ht="13.2" x14ac:dyDescent="0.25">
      <c r="A495" s="6">
        <v>493</v>
      </c>
      <c r="B495" s="7">
        <v>101.00498199462891</v>
      </c>
      <c r="C495" s="3">
        <f t="shared" si="3"/>
        <v>0.2181852940723806</v>
      </c>
    </row>
    <row r="496" spans="1:3" ht="13.2" x14ac:dyDescent="0.25">
      <c r="A496" s="6">
        <v>494</v>
      </c>
      <c r="B496" s="7">
        <v>99.105743408203125</v>
      </c>
      <c r="C496" s="3">
        <f t="shared" si="3"/>
        <v>0.16877992906766784</v>
      </c>
    </row>
    <row r="497" spans="1:3" ht="13.2" x14ac:dyDescent="0.25">
      <c r="A497" s="6">
        <v>495</v>
      </c>
      <c r="B497" s="7">
        <v>99.932685852050781</v>
      </c>
      <c r="C497" s="3">
        <f t="shared" si="3"/>
        <v>0.17905453968943366</v>
      </c>
    </row>
    <row r="498" spans="1:3" ht="13.2" x14ac:dyDescent="0.25">
      <c r="A498" s="6">
        <v>496</v>
      </c>
      <c r="B498" s="7">
        <v>99.114830017089844</v>
      </c>
      <c r="C498" s="3">
        <f t="shared" si="3"/>
        <v>0.19313565566486818</v>
      </c>
    </row>
    <row r="499" spans="1:3" ht="13.2" x14ac:dyDescent="0.25">
      <c r="A499" s="6">
        <v>497</v>
      </c>
      <c r="B499" s="7">
        <v>98.851295471191406</v>
      </c>
      <c r="C499" s="3">
        <f t="shared" si="3"/>
        <v>0.17680458073416599</v>
      </c>
    </row>
    <row r="500" spans="1:3" ht="13.2" x14ac:dyDescent="0.25">
      <c r="A500" s="6">
        <v>498</v>
      </c>
      <c r="B500" s="7">
        <v>100.84141540527344</v>
      </c>
      <c r="C500" s="3">
        <f t="shared" si="3"/>
        <v>0.1826347062084944</v>
      </c>
    </row>
    <row r="501" spans="1:3" ht="13.2" x14ac:dyDescent="0.25">
      <c r="A501" s="6">
        <v>499</v>
      </c>
      <c r="B501" s="7">
        <v>101.21398162841797</v>
      </c>
      <c r="C501" s="3">
        <f t="shared" si="3"/>
        <v>0.19055295885748427</v>
      </c>
    </row>
    <row r="502" spans="1:3" ht="13.2" x14ac:dyDescent="0.25">
      <c r="A502" s="6">
        <v>500</v>
      </c>
      <c r="B502" s="7">
        <v>101.97731781005859</v>
      </c>
      <c r="C502" s="3">
        <f t="shared" si="3"/>
        <v>0.18114916599548214</v>
      </c>
    </row>
    <row r="503" spans="1:3" ht="13.2" x14ac:dyDescent="0.25">
      <c r="A503" s="6">
        <v>501</v>
      </c>
      <c r="B503" s="7">
        <v>102.51346588134766</v>
      </c>
      <c r="C503" s="3">
        <f t="shared" si="3"/>
        <v>0.18985559432087884</v>
      </c>
    </row>
    <row r="504" spans="1:3" ht="13.2" x14ac:dyDescent="0.25">
      <c r="A504" s="6">
        <v>502</v>
      </c>
      <c r="B504" s="7">
        <v>98.5877685546875</v>
      </c>
      <c r="C504" s="3">
        <f t="shared" si="3"/>
        <v>0.14907570503501336</v>
      </c>
    </row>
    <row r="505" spans="1:3" ht="13.2" x14ac:dyDescent="0.25">
      <c r="A505" s="6">
        <v>503</v>
      </c>
      <c r="B505" s="7">
        <v>99.923591613769531</v>
      </c>
      <c r="C505" s="3">
        <f t="shared" si="3"/>
        <v>0.16365527021260243</v>
      </c>
    </row>
    <row r="506" spans="1:3" ht="13.2" x14ac:dyDescent="0.25">
      <c r="A506" s="6">
        <v>504</v>
      </c>
      <c r="B506" s="7">
        <v>102.29537200927734</v>
      </c>
      <c r="C506" s="3">
        <f t="shared" si="3"/>
        <v>0.19592084406162766</v>
      </c>
    </row>
    <row r="507" spans="1:3" ht="13.2" x14ac:dyDescent="0.25">
      <c r="A507" s="6">
        <v>505</v>
      </c>
      <c r="B507" s="7">
        <v>103.40402221679688</v>
      </c>
      <c r="C507" s="3">
        <f t="shared" si="3"/>
        <v>0.21932850494482087</v>
      </c>
    </row>
    <row r="508" spans="1:3" ht="13.2" x14ac:dyDescent="0.25">
      <c r="A508" s="6">
        <v>506</v>
      </c>
      <c r="B508" s="7">
        <v>102.84060668945313</v>
      </c>
      <c r="C508" s="3">
        <f t="shared" si="3"/>
        <v>0.20867013079907343</v>
      </c>
    </row>
    <row r="509" spans="1:3" ht="13.2" x14ac:dyDescent="0.25">
      <c r="A509" s="6">
        <v>507</v>
      </c>
      <c r="B509" s="7">
        <v>103.53123474121094</v>
      </c>
      <c r="C509" s="3">
        <f t="shared" si="3"/>
        <v>0.2203498250306139</v>
      </c>
    </row>
    <row r="510" spans="1:3" ht="13.2" x14ac:dyDescent="0.25">
      <c r="A510" s="6">
        <v>508</v>
      </c>
      <c r="B510" s="7">
        <v>104.43996429443359</v>
      </c>
      <c r="C510" s="3">
        <f t="shared" si="3"/>
        <v>0.21389551513313132</v>
      </c>
    </row>
    <row r="511" spans="1:3" ht="13.2" x14ac:dyDescent="0.25">
      <c r="A511" s="6">
        <v>509</v>
      </c>
      <c r="B511" s="7">
        <v>105.830322265625</v>
      </c>
      <c r="C511" s="3">
        <f t="shared" ref="C511:C574" si="4">LN(B511/B259)</f>
        <v>0.21003458146189838</v>
      </c>
    </row>
    <row r="512" spans="1:3" ht="13.2" x14ac:dyDescent="0.25">
      <c r="A512" s="6">
        <v>510</v>
      </c>
      <c r="B512" s="7">
        <v>106.00299072265625</v>
      </c>
      <c r="C512" s="3">
        <f t="shared" si="4"/>
        <v>0.2105560783583415</v>
      </c>
    </row>
    <row r="513" spans="1:3" ht="13.2" x14ac:dyDescent="0.25">
      <c r="A513" s="6">
        <v>511</v>
      </c>
      <c r="B513" s="7">
        <v>107.12979888916016</v>
      </c>
      <c r="C513" s="3">
        <f t="shared" si="4"/>
        <v>0.23625176717029697</v>
      </c>
    </row>
    <row r="514" spans="1:3" ht="13.2" x14ac:dyDescent="0.25">
      <c r="A514" s="6">
        <v>512</v>
      </c>
      <c r="B514" s="7">
        <v>105.23963928222656</v>
      </c>
      <c r="C514" s="3">
        <f t="shared" si="4"/>
        <v>0.20898530603367371</v>
      </c>
    </row>
    <row r="515" spans="1:3" ht="13.2" x14ac:dyDescent="0.25">
      <c r="A515" s="6">
        <v>513</v>
      </c>
      <c r="B515" s="7">
        <v>102.39532470703125</v>
      </c>
      <c r="C515" s="3">
        <f t="shared" si="4"/>
        <v>0.17835003615644196</v>
      </c>
    </row>
    <row r="516" spans="1:3" ht="13.2" x14ac:dyDescent="0.25">
      <c r="A516" s="6">
        <v>514</v>
      </c>
      <c r="B516" s="7">
        <v>102.54981231689453</v>
      </c>
      <c r="C516" s="3">
        <f t="shared" si="4"/>
        <v>0.16452753212077859</v>
      </c>
    </row>
    <row r="517" spans="1:3" ht="13.2" x14ac:dyDescent="0.25">
      <c r="A517" s="6">
        <v>515</v>
      </c>
      <c r="B517" s="7">
        <v>101.25034332275391</v>
      </c>
      <c r="C517" s="3">
        <f t="shared" si="4"/>
        <v>0.15506173364246456</v>
      </c>
    </row>
    <row r="518" spans="1:3" ht="13.2" x14ac:dyDescent="0.25">
      <c r="A518" s="6">
        <v>516</v>
      </c>
      <c r="B518" s="7">
        <v>102.88603973388672</v>
      </c>
      <c r="C518" s="3">
        <f t="shared" si="4"/>
        <v>0.1637324864461768</v>
      </c>
    </row>
    <row r="519" spans="1:3" ht="13.2" x14ac:dyDescent="0.25">
      <c r="A519" s="6">
        <v>517</v>
      </c>
      <c r="B519" s="7">
        <v>101.2957763671875</v>
      </c>
      <c r="C519" s="3">
        <f t="shared" si="4"/>
        <v>0.14736332493983903</v>
      </c>
    </row>
    <row r="520" spans="1:3" ht="13.2" x14ac:dyDescent="0.25">
      <c r="A520" s="6">
        <v>518</v>
      </c>
      <c r="B520" s="7">
        <v>100.39614105224609</v>
      </c>
      <c r="C520" s="3">
        <f t="shared" si="4"/>
        <v>0.12800810482891764</v>
      </c>
    </row>
    <row r="521" spans="1:3" ht="13.2" x14ac:dyDescent="0.25">
      <c r="A521" s="6">
        <v>519</v>
      </c>
      <c r="B521" s="7">
        <v>101.50476837158203</v>
      </c>
      <c r="C521" s="3">
        <f t="shared" si="4"/>
        <v>0.13928390023952433</v>
      </c>
    </row>
    <row r="522" spans="1:3" ht="13.2" x14ac:dyDescent="0.25">
      <c r="A522" s="6">
        <v>520</v>
      </c>
      <c r="B522" s="7">
        <v>103.21318817138672</v>
      </c>
      <c r="C522" s="3">
        <f t="shared" si="4"/>
        <v>0.14293435257158116</v>
      </c>
    </row>
    <row r="523" spans="1:3" ht="13.2" x14ac:dyDescent="0.25">
      <c r="A523" s="6">
        <v>521</v>
      </c>
      <c r="B523" s="7">
        <v>104.93977355957031</v>
      </c>
      <c r="C523" s="3">
        <f t="shared" si="4"/>
        <v>0.13800388577592418</v>
      </c>
    </row>
    <row r="524" spans="1:3" ht="13.2" x14ac:dyDescent="0.25">
      <c r="A524" s="6">
        <v>522</v>
      </c>
      <c r="B524" s="7">
        <v>102.77700042724609</v>
      </c>
      <c r="C524" s="3">
        <f t="shared" si="4"/>
        <v>0.12011651768194086</v>
      </c>
    </row>
    <row r="525" spans="1:3" ht="13.2" x14ac:dyDescent="0.25">
      <c r="A525" s="6">
        <v>523</v>
      </c>
      <c r="B525" s="7">
        <v>103.41310119628906</v>
      </c>
      <c r="C525" s="3">
        <f t="shared" si="4"/>
        <v>0.12420094365456397</v>
      </c>
    </row>
    <row r="526" spans="1:3" ht="13.2" x14ac:dyDescent="0.25">
      <c r="A526" s="6">
        <v>524</v>
      </c>
      <c r="B526" s="7">
        <v>102.37716674804688</v>
      </c>
      <c r="C526" s="3">
        <f t="shared" si="4"/>
        <v>0.1129971810577606</v>
      </c>
    </row>
    <row r="527" spans="1:3" ht="13.2" x14ac:dyDescent="0.25">
      <c r="A527" s="6">
        <v>525</v>
      </c>
      <c r="B527" s="7">
        <v>101.45025634765625</v>
      </c>
      <c r="C527" s="3">
        <f t="shared" si="4"/>
        <v>0.11292940540101448</v>
      </c>
    </row>
    <row r="528" spans="1:3" ht="13.2" x14ac:dyDescent="0.25">
      <c r="A528" s="6">
        <v>526</v>
      </c>
      <c r="B528" s="7">
        <v>104.50357818603516</v>
      </c>
      <c r="C528" s="3">
        <f t="shared" si="4"/>
        <v>0.1546825000204069</v>
      </c>
    </row>
    <row r="529" spans="1:3" ht="13.2" x14ac:dyDescent="0.25">
      <c r="A529" s="6">
        <v>527</v>
      </c>
      <c r="B529" s="7">
        <v>103.41310119628906</v>
      </c>
      <c r="C529" s="3">
        <f t="shared" si="4"/>
        <v>0.14874442675783861</v>
      </c>
    </row>
    <row r="530" spans="1:3" ht="13.2" x14ac:dyDescent="0.25">
      <c r="A530" s="6">
        <v>528</v>
      </c>
      <c r="B530" s="7">
        <v>103.33132171630859</v>
      </c>
      <c r="C530" s="3">
        <f t="shared" si="4"/>
        <v>0.14591706260908194</v>
      </c>
    </row>
    <row r="531" spans="1:3" ht="13.2" x14ac:dyDescent="0.25">
      <c r="A531" s="6">
        <v>529</v>
      </c>
      <c r="B531" s="7">
        <v>104.88523864746094</v>
      </c>
      <c r="C531" s="3">
        <f t="shared" si="4"/>
        <v>0.16414204038276084</v>
      </c>
    </row>
    <row r="532" spans="1:3" ht="13.2" x14ac:dyDescent="0.25">
      <c r="A532" s="6">
        <v>530</v>
      </c>
      <c r="B532" s="7">
        <v>107.47512054443359</v>
      </c>
      <c r="C532" s="3">
        <f t="shared" si="4"/>
        <v>0.18291395288582021</v>
      </c>
    </row>
    <row r="533" spans="1:3" ht="13.2" x14ac:dyDescent="0.25">
      <c r="A533" s="6">
        <v>531</v>
      </c>
      <c r="B533" s="7">
        <v>103.85838317871094</v>
      </c>
      <c r="C533" s="3">
        <f t="shared" si="4"/>
        <v>0.12963457575610485</v>
      </c>
    </row>
    <row r="534" spans="1:3" ht="13.2" x14ac:dyDescent="0.25">
      <c r="A534" s="6">
        <v>532</v>
      </c>
      <c r="B534" s="7">
        <v>102.52255249023438</v>
      </c>
      <c r="C534" s="3">
        <f t="shared" si="4"/>
        <v>0.11337609882687133</v>
      </c>
    </row>
    <row r="535" spans="1:3" ht="13.2" x14ac:dyDescent="0.25">
      <c r="A535" s="6">
        <v>533</v>
      </c>
      <c r="B535" s="7">
        <v>101.17763519287109</v>
      </c>
      <c r="C535" s="3">
        <f t="shared" si="4"/>
        <v>0.10833143598502984</v>
      </c>
    </row>
    <row r="536" spans="1:3" ht="13.2" x14ac:dyDescent="0.25">
      <c r="A536" s="6">
        <v>534</v>
      </c>
      <c r="B536" s="7">
        <v>103.88563537597656</v>
      </c>
      <c r="C536" s="3">
        <f t="shared" si="4"/>
        <v>0.14133990635861624</v>
      </c>
    </row>
    <row r="537" spans="1:3" ht="13.2" x14ac:dyDescent="0.25">
      <c r="A537" s="6">
        <v>535</v>
      </c>
      <c r="B537" s="7">
        <v>102.68611907958984</v>
      </c>
      <c r="C537" s="3">
        <f t="shared" si="4"/>
        <v>0.1201814695399657</v>
      </c>
    </row>
    <row r="538" spans="1:3" ht="13.2" x14ac:dyDescent="0.25">
      <c r="A538" s="6">
        <v>536</v>
      </c>
      <c r="B538" s="7">
        <v>104.58536529541016</v>
      </c>
      <c r="C538" s="3">
        <f t="shared" si="4"/>
        <v>0.14050492635874745</v>
      </c>
    </row>
    <row r="539" spans="1:3" ht="13.2" x14ac:dyDescent="0.25">
      <c r="A539" s="6">
        <v>537</v>
      </c>
      <c r="B539" s="7">
        <v>104.91251373291016</v>
      </c>
      <c r="C539" s="3">
        <f t="shared" si="4"/>
        <v>0.15002589067531058</v>
      </c>
    </row>
    <row r="540" spans="1:3" ht="13.2" x14ac:dyDescent="0.25">
      <c r="A540" s="6">
        <v>538</v>
      </c>
      <c r="B540" s="7">
        <v>103.96743011474609</v>
      </c>
      <c r="C540" s="3">
        <f t="shared" si="4"/>
        <v>0.14270249529082032</v>
      </c>
    </row>
    <row r="541" spans="1:3" ht="13.2" x14ac:dyDescent="0.25">
      <c r="A541" s="6">
        <v>539</v>
      </c>
      <c r="B541" s="7">
        <v>102.19540405273438</v>
      </c>
      <c r="C541" s="3">
        <f t="shared" si="4"/>
        <v>0.11814975209599675</v>
      </c>
    </row>
    <row r="542" spans="1:3" ht="13.2" x14ac:dyDescent="0.25">
      <c r="A542" s="6">
        <v>540</v>
      </c>
      <c r="B542" s="7">
        <v>102.50438690185547</v>
      </c>
      <c r="C542" s="3">
        <f t="shared" si="4"/>
        <v>0.1268046870727727</v>
      </c>
    </row>
    <row r="543" spans="1:3" ht="13.2" x14ac:dyDescent="0.25">
      <c r="A543" s="6">
        <v>541</v>
      </c>
      <c r="B543" s="7">
        <v>102.43167877197266</v>
      </c>
      <c r="C543" s="3">
        <f t="shared" si="4"/>
        <v>0.12849276131882281</v>
      </c>
    </row>
    <row r="544" spans="1:3" ht="13.2" x14ac:dyDescent="0.25">
      <c r="A544" s="6">
        <v>542</v>
      </c>
      <c r="B544" s="7">
        <v>101.80464935302734</v>
      </c>
      <c r="C544" s="3">
        <f t="shared" si="4"/>
        <v>0.10748378790901121</v>
      </c>
    </row>
    <row r="545" spans="1:3" ht="13.2" x14ac:dyDescent="0.25">
      <c r="A545" s="6">
        <v>543</v>
      </c>
      <c r="B545" s="7">
        <v>100.04172515869141</v>
      </c>
      <c r="C545" s="3">
        <f t="shared" si="4"/>
        <v>8.6332451692531675E-2</v>
      </c>
    </row>
    <row r="546" spans="1:3" ht="13.2" x14ac:dyDescent="0.25">
      <c r="A546" s="6">
        <v>544</v>
      </c>
      <c r="B546" s="7">
        <v>102.78608703613281</v>
      </c>
      <c r="C546" s="3">
        <f t="shared" si="4"/>
        <v>0.11935123001716419</v>
      </c>
    </row>
    <row r="547" spans="1:3" ht="13.2" x14ac:dyDescent="0.25">
      <c r="A547" s="6">
        <v>545</v>
      </c>
      <c r="B547" s="7">
        <v>102.66795349121094</v>
      </c>
      <c r="C547" s="3">
        <f t="shared" si="4"/>
        <v>0.12047947900328008</v>
      </c>
    </row>
    <row r="548" spans="1:3" ht="13.2" x14ac:dyDescent="0.25">
      <c r="A548" s="6">
        <v>546</v>
      </c>
      <c r="B548" s="7">
        <v>104.45813751220703</v>
      </c>
      <c r="C548" s="3">
        <f t="shared" si="4"/>
        <v>0.12962569476674604</v>
      </c>
    </row>
    <row r="549" spans="1:3" ht="13.2" x14ac:dyDescent="0.25">
      <c r="A549" s="6">
        <v>547</v>
      </c>
      <c r="B549" s="7">
        <v>101.55930328369141</v>
      </c>
      <c r="C549" s="3">
        <f t="shared" si="4"/>
        <v>0.10167087527020477</v>
      </c>
    </row>
    <row r="550" spans="1:3" ht="13.2" x14ac:dyDescent="0.25">
      <c r="A550" s="6">
        <v>548</v>
      </c>
      <c r="B550" s="7">
        <v>102.09545135498047</v>
      </c>
      <c r="C550" s="3">
        <f t="shared" si="4"/>
        <v>0.11014703399736005</v>
      </c>
    </row>
    <row r="551" spans="1:3" ht="13.2" x14ac:dyDescent="0.25">
      <c r="A551" s="6">
        <v>549</v>
      </c>
      <c r="B551" s="7">
        <v>101.75923156738281</v>
      </c>
      <c r="C551" s="3">
        <f t="shared" si="4"/>
        <v>9.1082272412484955E-2</v>
      </c>
    </row>
    <row r="552" spans="1:3" ht="13.2" x14ac:dyDescent="0.25">
      <c r="A552" s="6">
        <v>550</v>
      </c>
      <c r="B552" s="7">
        <v>104.36726379394531</v>
      </c>
      <c r="C552" s="3">
        <f t="shared" si="4"/>
        <v>9.7572433051841254E-2</v>
      </c>
    </row>
    <row r="553" spans="1:3" ht="13.2" x14ac:dyDescent="0.25">
      <c r="A553" s="6">
        <v>551</v>
      </c>
      <c r="B553" s="7">
        <v>107.81134796142578</v>
      </c>
      <c r="C553" s="3">
        <f t="shared" si="4"/>
        <v>0.11994783160184523</v>
      </c>
    </row>
    <row r="554" spans="1:3" ht="13.2" x14ac:dyDescent="0.25">
      <c r="A554" s="6">
        <v>552</v>
      </c>
      <c r="B554" s="7">
        <v>112.69121551513672</v>
      </c>
      <c r="C554" s="3">
        <f t="shared" si="4"/>
        <v>0.15029300245454005</v>
      </c>
    </row>
    <row r="555" spans="1:3" ht="13.2" x14ac:dyDescent="0.25">
      <c r="A555" s="6">
        <v>553</v>
      </c>
      <c r="B555" s="7">
        <v>112.12779235839844</v>
      </c>
      <c r="C555" s="3">
        <f t="shared" si="4"/>
        <v>0.13861268712869343</v>
      </c>
    </row>
    <row r="556" spans="1:3" ht="13.2" x14ac:dyDescent="0.25">
      <c r="A556" s="6">
        <v>554</v>
      </c>
      <c r="B556" s="7">
        <v>112.15505218505859</v>
      </c>
      <c r="C556" s="3">
        <f t="shared" si="4"/>
        <v>0.14045194452572801</v>
      </c>
    </row>
    <row r="557" spans="1:3" ht="13.2" x14ac:dyDescent="0.25">
      <c r="A557" s="6">
        <v>555</v>
      </c>
      <c r="B557" s="7">
        <v>112.78207397460938</v>
      </c>
      <c r="C557" s="3">
        <f t="shared" si="4"/>
        <v>0.13859939389141029</v>
      </c>
    </row>
    <row r="558" spans="1:3" ht="13.2" x14ac:dyDescent="0.25">
      <c r="A558" s="6">
        <v>556</v>
      </c>
      <c r="B558" s="7">
        <v>112.23685455322266</v>
      </c>
      <c r="C558" s="3">
        <f t="shared" si="4"/>
        <v>0.13551688773306383</v>
      </c>
    </row>
    <row r="559" spans="1:3" ht="13.2" x14ac:dyDescent="0.25">
      <c r="A559" s="6">
        <v>557</v>
      </c>
      <c r="B559" s="7">
        <v>111.4735107421875</v>
      </c>
      <c r="C559" s="3">
        <f t="shared" si="4"/>
        <v>0.1311665905178285</v>
      </c>
    </row>
    <row r="560" spans="1:3" ht="13.2" x14ac:dyDescent="0.25">
      <c r="A560" s="6">
        <v>558</v>
      </c>
      <c r="B560" s="7">
        <v>110.46482086181641</v>
      </c>
      <c r="C560" s="3">
        <f t="shared" si="4"/>
        <v>0.10845674922352219</v>
      </c>
    </row>
    <row r="561" spans="1:3" ht="13.2" x14ac:dyDescent="0.25">
      <c r="A561" s="6">
        <v>559</v>
      </c>
      <c r="B561" s="7">
        <v>110.90101623535156</v>
      </c>
      <c r="C561" s="3">
        <f t="shared" si="4"/>
        <v>0.11100228793272397</v>
      </c>
    </row>
    <row r="562" spans="1:3" ht="13.2" x14ac:dyDescent="0.25">
      <c r="A562" s="6">
        <v>560</v>
      </c>
      <c r="B562" s="7">
        <v>110.13767242431641</v>
      </c>
      <c r="C562" s="3">
        <f t="shared" si="4"/>
        <v>0.10618922984755838</v>
      </c>
    </row>
    <row r="563" spans="1:3" ht="13.2" x14ac:dyDescent="0.25">
      <c r="A563" s="6">
        <v>561</v>
      </c>
      <c r="B563" s="7">
        <v>110.74653625488281</v>
      </c>
      <c r="C563" s="3">
        <f t="shared" si="4"/>
        <v>0.12073849087182842</v>
      </c>
    </row>
    <row r="564" spans="1:3" ht="13.2" x14ac:dyDescent="0.25">
      <c r="A564" s="6">
        <v>562</v>
      </c>
      <c r="B564" s="7">
        <v>109.73784637451172</v>
      </c>
      <c r="C564" s="3">
        <f t="shared" si="4"/>
        <v>0.10115592245994015</v>
      </c>
    </row>
    <row r="565" spans="1:3" ht="13.2" x14ac:dyDescent="0.25">
      <c r="A565" s="6">
        <v>563</v>
      </c>
      <c r="B565" s="7">
        <v>112.71846008300781</v>
      </c>
      <c r="C565" s="3">
        <f t="shared" si="4"/>
        <v>0.10989114069723395</v>
      </c>
    </row>
    <row r="566" spans="1:3" ht="13.2" x14ac:dyDescent="0.25">
      <c r="A566" s="6">
        <v>564</v>
      </c>
      <c r="B566" s="7">
        <v>112.55490112304688</v>
      </c>
      <c r="C566" s="3">
        <f t="shared" si="4"/>
        <v>0.10561649990100784</v>
      </c>
    </row>
    <row r="567" spans="1:3" ht="13.2" x14ac:dyDescent="0.25">
      <c r="A567" s="6">
        <v>565</v>
      </c>
      <c r="B567" s="7">
        <v>113.50906372070313</v>
      </c>
      <c r="C567" s="3">
        <f t="shared" si="4"/>
        <v>0.11602450941308061</v>
      </c>
    </row>
    <row r="568" spans="1:3" ht="13.2" x14ac:dyDescent="0.25">
      <c r="A568" s="6">
        <v>566</v>
      </c>
      <c r="B568" s="7">
        <v>114.21786499023438</v>
      </c>
      <c r="C568" s="3">
        <f t="shared" si="4"/>
        <v>0.12464869457534238</v>
      </c>
    </row>
    <row r="569" spans="1:3" ht="13.2" x14ac:dyDescent="0.25">
      <c r="A569" s="6">
        <v>567</v>
      </c>
      <c r="B569" s="7">
        <v>114.69039916992188</v>
      </c>
      <c r="C569" s="3">
        <f t="shared" si="4"/>
        <v>0.1418155506469374</v>
      </c>
    </row>
    <row r="570" spans="1:3" ht="13.2" x14ac:dyDescent="0.25">
      <c r="A570" s="6">
        <v>568</v>
      </c>
      <c r="B570" s="7">
        <v>114.84488677978516</v>
      </c>
      <c r="C570" s="3">
        <f t="shared" si="4"/>
        <v>0.13270026363358289</v>
      </c>
    </row>
    <row r="571" spans="1:3" ht="13.2" x14ac:dyDescent="0.25">
      <c r="A571" s="6">
        <v>569</v>
      </c>
      <c r="B571" s="7">
        <v>114.78128051757813</v>
      </c>
      <c r="C571" s="3">
        <f t="shared" si="4"/>
        <v>0.12298562099576726</v>
      </c>
    </row>
    <row r="572" spans="1:3" ht="13.2" x14ac:dyDescent="0.25">
      <c r="A572" s="6">
        <v>570</v>
      </c>
      <c r="B572" s="7">
        <v>113.25460052490234</v>
      </c>
      <c r="C572" s="3">
        <f t="shared" si="4"/>
        <v>0.11489336656525764</v>
      </c>
    </row>
    <row r="573" spans="1:3" ht="13.2" x14ac:dyDescent="0.25">
      <c r="A573" s="6">
        <v>571</v>
      </c>
      <c r="B573" s="7">
        <v>114.24513244628906</v>
      </c>
      <c r="C573" s="3">
        <f t="shared" si="4"/>
        <v>0.12497328057605916</v>
      </c>
    </row>
    <row r="574" spans="1:3" ht="13.2" x14ac:dyDescent="0.25">
      <c r="A574" s="6">
        <v>572</v>
      </c>
      <c r="B574" s="7">
        <v>113.09104156494141</v>
      </c>
      <c r="C574" s="3">
        <f t="shared" si="4"/>
        <v>0.12049825214636845</v>
      </c>
    </row>
    <row r="575" spans="1:3" ht="13.2" x14ac:dyDescent="0.25">
      <c r="A575" s="6">
        <v>573</v>
      </c>
      <c r="B575" s="7">
        <v>114.40870666503906</v>
      </c>
      <c r="C575" s="3">
        <f t="shared" ref="C575:C638" si="5">LN(B575/B323)</f>
        <v>0.14187993257984974</v>
      </c>
    </row>
    <row r="576" spans="1:3" ht="13.2" x14ac:dyDescent="0.25">
      <c r="A576" s="6">
        <v>574</v>
      </c>
      <c r="B576" s="7">
        <v>113.22734832763672</v>
      </c>
      <c r="C576" s="3">
        <f t="shared" si="5"/>
        <v>0.12984640350887716</v>
      </c>
    </row>
    <row r="577" spans="1:3" ht="13.2" x14ac:dyDescent="0.25">
      <c r="A577" s="6">
        <v>575</v>
      </c>
      <c r="B577" s="7">
        <v>114.08156585693359</v>
      </c>
      <c r="C577" s="3">
        <f t="shared" si="5"/>
        <v>0.12603153887138932</v>
      </c>
    </row>
    <row r="578" spans="1:3" ht="13.2" x14ac:dyDescent="0.25">
      <c r="A578" s="6">
        <v>576</v>
      </c>
      <c r="B578" s="7">
        <v>113.34548950195313</v>
      </c>
      <c r="C578" s="3">
        <f t="shared" si="5"/>
        <v>0.13813539057181179</v>
      </c>
    </row>
    <row r="579" spans="1:3" ht="13.2" x14ac:dyDescent="0.25">
      <c r="A579" s="6">
        <v>577</v>
      </c>
      <c r="B579" s="7">
        <v>111.93695831298828</v>
      </c>
      <c r="C579" s="3">
        <f t="shared" si="5"/>
        <v>0.1192546343958274</v>
      </c>
    </row>
    <row r="580" spans="1:3" ht="13.2" x14ac:dyDescent="0.25">
      <c r="A580" s="6">
        <v>578</v>
      </c>
      <c r="B580" s="7">
        <v>111.70069122314453</v>
      </c>
      <c r="C580" s="3">
        <f t="shared" si="5"/>
        <v>0.12826035403742297</v>
      </c>
    </row>
    <row r="581" spans="1:3" ht="13.2" x14ac:dyDescent="0.25">
      <c r="A581" s="6">
        <v>579</v>
      </c>
      <c r="B581" s="7">
        <v>111.10093688964844</v>
      </c>
      <c r="C581" s="3">
        <f t="shared" si="5"/>
        <v>0.11280335954966764</v>
      </c>
    </row>
    <row r="582" spans="1:3" ht="13.2" x14ac:dyDescent="0.25">
      <c r="A582" s="6">
        <v>580</v>
      </c>
      <c r="B582" s="7">
        <v>109.71967315673828</v>
      </c>
      <c r="C582" s="3">
        <f t="shared" si="5"/>
        <v>0.11036614695060132</v>
      </c>
    </row>
    <row r="583" spans="1:3" ht="13.2" x14ac:dyDescent="0.25">
      <c r="A583" s="6">
        <v>581</v>
      </c>
      <c r="B583" s="7">
        <v>114.817626953125</v>
      </c>
      <c r="C583" s="3">
        <f t="shared" si="5"/>
        <v>0.16001717748900965</v>
      </c>
    </row>
    <row r="584" spans="1:3" ht="13.2" x14ac:dyDescent="0.25">
      <c r="A584" s="6">
        <v>582</v>
      </c>
      <c r="B584" s="7">
        <v>113.00925445556641</v>
      </c>
      <c r="C584" s="3">
        <f t="shared" si="5"/>
        <v>0.14635454860788694</v>
      </c>
    </row>
    <row r="585" spans="1:3" ht="13.2" x14ac:dyDescent="0.25">
      <c r="A585" s="6">
        <v>583</v>
      </c>
      <c r="B585" s="7">
        <v>113.87254333496094</v>
      </c>
      <c r="C585" s="3">
        <f t="shared" si="5"/>
        <v>0.15307900669854596</v>
      </c>
    </row>
    <row r="586" spans="1:3" ht="13.2" x14ac:dyDescent="0.25">
      <c r="A586" s="6">
        <v>584</v>
      </c>
      <c r="B586" s="7">
        <v>113.49996948242188</v>
      </c>
      <c r="C586" s="3">
        <f t="shared" si="5"/>
        <v>0.14935916425694165</v>
      </c>
    </row>
    <row r="587" spans="1:3" ht="13.2" x14ac:dyDescent="0.25">
      <c r="A587" s="6">
        <v>585</v>
      </c>
      <c r="B587" s="7">
        <v>116.48968505859375</v>
      </c>
      <c r="C587" s="3">
        <f t="shared" si="5"/>
        <v>0.1579035206521589</v>
      </c>
    </row>
    <row r="588" spans="1:3" ht="13.2" x14ac:dyDescent="0.25">
      <c r="A588" s="6">
        <v>586</v>
      </c>
      <c r="B588" s="7">
        <v>114.85398101806641</v>
      </c>
      <c r="C588" s="3">
        <f t="shared" si="5"/>
        <v>0.1402033801539195</v>
      </c>
    </row>
    <row r="589" spans="1:3" ht="13.2" x14ac:dyDescent="0.25">
      <c r="A589" s="6">
        <v>587</v>
      </c>
      <c r="B589" s="7">
        <v>114.96302032470703</v>
      </c>
      <c r="C589" s="3">
        <f t="shared" si="5"/>
        <v>0.1536203627466706</v>
      </c>
    </row>
    <row r="590" spans="1:3" ht="13.2" x14ac:dyDescent="0.25">
      <c r="A590" s="6">
        <v>588</v>
      </c>
      <c r="B590" s="7">
        <v>112.51854705810547</v>
      </c>
      <c r="C590" s="3">
        <f t="shared" si="5"/>
        <v>0.13379638319758508</v>
      </c>
    </row>
    <row r="591" spans="1:3" ht="13.2" x14ac:dyDescent="0.25">
      <c r="A591" s="6">
        <v>589</v>
      </c>
      <c r="B591" s="7">
        <v>113.77259826660156</v>
      </c>
      <c r="C591" s="3">
        <f t="shared" si="5"/>
        <v>0.13883443025435929</v>
      </c>
    </row>
    <row r="592" spans="1:3" ht="13.2" x14ac:dyDescent="0.25">
      <c r="A592" s="6">
        <v>590</v>
      </c>
      <c r="B592" s="7">
        <v>113.80893707275391</v>
      </c>
      <c r="C592" s="3">
        <f t="shared" si="5"/>
        <v>0.12959106795914654</v>
      </c>
    </row>
    <row r="593" spans="1:3" ht="13.2" x14ac:dyDescent="0.25">
      <c r="A593" s="6">
        <v>591</v>
      </c>
      <c r="B593" s="7">
        <v>110.52843475341797</v>
      </c>
      <c r="C593" s="3">
        <f t="shared" si="5"/>
        <v>0.10094862979857322</v>
      </c>
    </row>
    <row r="594" spans="1:3" ht="13.2" x14ac:dyDescent="0.25">
      <c r="A594" s="6">
        <v>592</v>
      </c>
      <c r="B594" s="7">
        <v>109.99228668212891</v>
      </c>
      <c r="C594" s="3">
        <f t="shared" si="5"/>
        <v>9.4010496330796944E-2</v>
      </c>
    </row>
    <row r="595" spans="1:3" ht="13.2" x14ac:dyDescent="0.25">
      <c r="A595" s="6">
        <v>593</v>
      </c>
      <c r="B595" s="7">
        <v>106.3028564453125</v>
      </c>
      <c r="C595" s="3">
        <f t="shared" si="5"/>
        <v>5.5237902711074482E-2</v>
      </c>
    </row>
    <row r="596" spans="1:3" ht="13.2" x14ac:dyDescent="0.25">
      <c r="A596" s="6">
        <v>594</v>
      </c>
      <c r="B596" s="7">
        <v>104.65806579589844</v>
      </c>
      <c r="C596" s="3">
        <f t="shared" si="5"/>
        <v>4.2744888334415476E-2</v>
      </c>
    </row>
    <row r="597" spans="1:3" ht="13.2" x14ac:dyDescent="0.25">
      <c r="A597" s="6">
        <v>595</v>
      </c>
      <c r="B597" s="7">
        <v>105.48499298095703</v>
      </c>
      <c r="C597" s="3">
        <f t="shared" si="5"/>
        <v>4.5967842596273456E-2</v>
      </c>
    </row>
    <row r="598" spans="1:3" ht="13.2" x14ac:dyDescent="0.25">
      <c r="A598" s="6">
        <v>596</v>
      </c>
      <c r="B598" s="7">
        <v>105.40321350097656</v>
      </c>
      <c r="C598" s="3">
        <f t="shared" si="5"/>
        <v>4.6480950290923931E-2</v>
      </c>
    </row>
    <row r="599" spans="1:3" ht="13.2" x14ac:dyDescent="0.25">
      <c r="A599" s="6">
        <v>597</v>
      </c>
      <c r="B599" s="7">
        <v>106.59365081787109</v>
      </c>
      <c r="C599" s="3">
        <f t="shared" si="5"/>
        <v>8.075730098345775E-2</v>
      </c>
    </row>
    <row r="600" spans="1:3" ht="13.2" x14ac:dyDescent="0.25">
      <c r="A600" s="6">
        <v>598</v>
      </c>
      <c r="B600" s="7">
        <v>106.64817810058594</v>
      </c>
      <c r="C600" s="3">
        <f t="shared" si="5"/>
        <v>9.4641845059069168E-2</v>
      </c>
    </row>
    <row r="601" spans="1:3" ht="13.2" x14ac:dyDescent="0.25">
      <c r="A601" s="6">
        <v>599</v>
      </c>
      <c r="B601" s="7">
        <v>109.9559326171875</v>
      </c>
      <c r="C601" s="3">
        <f t="shared" si="5"/>
        <v>0.104799772472916</v>
      </c>
    </row>
    <row r="602" spans="1:3" ht="13.2" x14ac:dyDescent="0.25">
      <c r="A602" s="6">
        <v>600</v>
      </c>
      <c r="B602" s="7">
        <v>110.63747406005859</v>
      </c>
      <c r="C602" s="3">
        <f t="shared" si="5"/>
        <v>0.11808020475438105</v>
      </c>
    </row>
    <row r="603" spans="1:3" ht="13.2" x14ac:dyDescent="0.25">
      <c r="A603" s="6">
        <v>601</v>
      </c>
      <c r="B603" s="7">
        <v>112.14597320556641</v>
      </c>
      <c r="C603" s="3">
        <f t="shared" si="5"/>
        <v>0.14054847483095168</v>
      </c>
    </row>
    <row r="604" spans="1:3" ht="13.2" x14ac:dyDescent="0.25">
      <c r="A604" s="6">
        <v>602</v>
      </c>
      <c r="B604" s="7">
        <v>110.97371673583984</v>
      </c>
      <c r="C604" s="3">
        <f t="shared" si="5"/>
        <v>0.13359775779767957</v>
      </c>
    </row>
    <row r="605" spans="1:3" ht="13.2" x14ac:dyDescent="0.25">
      <c r="A605" s="6">
        <v>603</v>
      </c>
      <c r="B605" s="7">
        <v>109.565185546875</v>
      </c>
      <c r="C605" s="3">
        <f t="shared" si="5"/>
        <v>0.10983790808346106</v>
      </c>
    </row>
    <row r="606" spans="1:3" ht="13.2" x14ac:dyDescent="0.25">
      <c r="A606" s="6">
        <v>604</v>
      </c>
      <c r="B606" s="7">
        <v>108.80184936523438</v>
      </c>
      <c r="C606" s="3">
        <f t="shared" si="5"/>
        <v>9.818738534325723E-2</v>
      </c>
    </row>
    <row r="607" spans="1:3" ht="13.2" x14ac:dyDescent="0.25">
      <c r="A607" s="6">
        <v>605</v>
      </c>
      <c r="B607" s="7">
        <v>108.42018890380859</v>
      </c>
      <c r="C607" s="3">
        <f t="shared" si="5"/>
        <v>0.10365950045686402</v>
      </c>
    </row>
    <row r="608" spans="1:3" ht="13.2" x14ac:dyDescent="0.25">
      <c r="A608" s="6">
        <v>606</v>
      </c>
      <c r="B608" s="7">
        <v>106.73905181884766</v>
      </c>
      <c r="C608" s="3">
        <f t="shared" si="5"/>
        <v>7.9572534849120941E-2</v>
      </c>
    </row>
    <row r="609" spans="1:3" ht="13.2" x14ac:dyDescent="0.25">
      <c r="A609" s="6">
        <v>607</v>
      </c>
      <c r="B609" s="7">
        <v>108.95634460449219</v>
      </c>
      <c r="C609" s="3">
        <f t="shared" si="5"/>
        <v>9.1221973182784258E-2</v>
      </c>
    </row>
    <row r="610" spans="1:3" ht="13.2" x14ac:dyDescent="0.25">
      <c r="A610" s="6">
        <v>608</v>
      </c>
      <c r="B610" s="7">
        <v>107.46602630615234</v>
      </c>
      <c r="C610" s="3">
        <f t="shared" si="5"/>
        <v>9.4200619783222972E-2</v>
      </c>
    </row>
    <row r="611" spans="1:3" ht="13.2" x14ac:dyDescent="0.25">
      <c r="A611" s="6">
        <v>609</v>
      </c>
      <c r="B611" s="7">
        <v>109.02903747558594</v>
      </c>
      <c r="C611" s="3">
        <f t="shared" si="5"/>
        <v>0.12567650990447177</v>
      </c>
    </row>
    <row r="612" spans="1:3" ht="13.2" x14ac:dyDescent="0.25">
      <c r="A612" s="6">
        <v>610</v>
      </c>
      <c r="B612" s="7">
        <v>109.63789367675781</v>
      </c>
      <c r="C612" s="3">
        <f t="shared" si="5"/>
        <v>0.1445576900564281</v>
      </c>
    </row>
    <row r="613" spans="1:3" ht="13.2" x14ac:dyDescent="0.25">
      <c r="A613" s="6">
        <v>611</v>
      </c>
      <c r="B613" s="7">
        <v>110.34669494628906</v>
      </c>
      <c r="C613" s="3">
        <f t="shared" si="5"/>
        <v>0.15804652024806401</v>
      </c>
    </row>
    <row r="614" spans="1:3" ht="13.2" x14ac:dyDescent="0.25">
      <c r="A614" s="6">
        <v>612</v>
      </c>
      <c r="B614" s="7">
        <v>108.32932281494141</v>
      </c>
      <c r="C614" s="3">
        <f t="shared" si="5"/>
        <v>0.13556357733404298</v>
      </c>
    </row>
    <row r="615" spans="1:3" ht="13.2" x14ac:dyDescent="0.25">
      <c r="A615" s="6">
        <v>613</v>
      </c>
      <c r="B615" s="7">
        <v>109.93775939941406</v>
      </c>
      <c r="C615" s="3">
        <f t="shared" si="5"/>
        <v>0.14464870078055889</v>
      </c>
    </row>
    <row r="616" spans="1:3" ht="13.2" x14ac:dyDescent="0.25">
      <c r="A616" s="6">
        <v>614</v>
      </c>
      <c r="B616" s="7">
        <v>109.74693298339844</v>
      </c>
      <c r="C616" s="3">
        <f t="shared" si="5"/>
        <v>0.12176896646670482</v>
      </c>
    </row>
    <row r="617" spans="1:3" ht="13.2" x14ac:dyDescent="0.25">
      <c r="A617" s="6">
        <v>615</v>
      </c>
      <c r="B617" s="7">
        <v>111.58256530761719</v>
      </c>
      <c r="C617" s="3">
        <f t="shared" si="5"/>
        <v>0.14765827047135716</v>
      </c>
    </row>
    <row r="618" spans="1:3" ht="13.2" x14ac:dyDescent="0.25">
      <c r="A618" s="6">
        <v>616</v>
      </c>
      <c r="B618" s="7">
        <v>113.16374206542969</v>
      </c>
      <c r="C618" s="3">
        <f t="shared" si="5"/>
        <v>0.15376403878265235</v>
      </c>
    </row>
    <row r="619" spans="1:3" ht="13.2" x14ac:dyDescent="0.25">
      <c r="A619" s="6">
        <v>617</v>
      </c>
      <c r="B619" s="7">
        <v>112.88204193115234</v>
      </c>
      <c r="C619" s="3">
        <f t="shared" si="5"/>
        <v>0.16229669130946037</v>
      </c>
    </row>
    <row r="620" spans="1:3" ht="13.2" x14ac:dyDescent="0.25">
      <c r="A620" s="6">
        <v>618</v>
      </c>
      <c r="B620" s="7">
        <v>112.21866607666016</v>
      </c>
      <c r="C620" s="3">
        <f t="shared" si="5"/>
        <v>0.13871416133170275</v>
      </c>
    </row>
    <row r="621" spans="1:3" ht="13.2" x14ac:dyDescent="0.25">
      <c r="A621" s="6">
        <v>619</v>
      </c>
      <c r="B621" s="7">
        <v>113.24552917480469</v>
      </c>
      <c r="C621" s="3">
        <f t="shared" si="5"/>
        <v>0.15270519312351166</v>
      </c>
    </row>
    <row r="622" spans="1:3" ht="13.2" x14ac:dyDescent="0.25">
      <c r="A622" s="6">
        <v>620</v>
      </c>
      <c r="B622" s="7">
        <v>115.58095550537109</v>
      </c>
      <c r="C622" s="3">
        <f t="shared" si="5"/>
        <v>0.17080718903263628</v>
      </c>
    </row>
    <row r="623" spans="1:3" ht="13.2" x14ac:dyDescent="0.25">
      <c r="A623" s="6">
        <v>621</v>
      </c>
      <c r="B623" s="7">
        <v>112.71846008300781</v>
      </c>
      <c r="C623" s="3">
        <f t="shared" si="5"/>
        <v>0.15868564885780539</v>
      </c>
    </row>
    <row r="624" spans="1:3" ht="13.2" x14ac:dyDescent="0.25">
      <c r="A624" s="6">
        <v>622</v>
      </c>
      <c r="B624" s="7">
        <v>112.16414642333984</v>
      </c>
      <c r="C624" s="3">
        <f t="shared" si="5"/>
        <v>0.1699854031303118</v>
      </c>
    </row>
    <row r="625" spans="1:3" ht="13.2" x14ac:dyDescent="0.25">
      <c r="A625" s="6">
        <v>623</v>
      </c>
      <c r="B625" s="7">
        <v>115.11750793457031</v>
      </c>
      <c r="C625" s="3">
        <f t="shared" si="5"/>
        <v>0.18642333034487171</v>
      </c>
    </row>
    <row r="626" spans="1:3" ht="13.2" x14ac:dyDescent="0.25">
      <c r="A626" s="6">
        <v>624</v>
      </c>
      <c r="B626" s="7">
        <v>116.79865264892578</v>
      </c>
      <c r="C626" s="3">
        <f t="shared" si="5"/>
        <v>0.19289604028452417</v>
      </c>
    </row>
    <row r="627" spans="1:3" ht="13.2" x14ac:dyDescent="0.25">
      <c r="A627" s="6">
        <v>625</v>
      </c>
      <c r="B627" s="7">
        <v>116.37154388427734</v>
      </c>
      <c r="C627" s="3">
        <f t="shared" si="5"/>
        <v>0.18914263374578177</v>
      </c>
    </row>
    <row r="628" spans="1:3" ht="13.2" x14ac:dyDescent="0.25">
      <c r="A628" s="6">
        <v>626</v>
      </c>
      <c r="B628" s="7">
        <v>116.63507843017578</v>
      </c>
      <c r="C628" s="3">
        <f t="shared" si="5"/>
        <v>0.20615134632026091</v>
      </c>
    </row>
    <row r="629" spans="1:3" ht="13.2" x14ac:dyDescent="0.25">
      <c r="A629" s="6">
        <v>627</v>
      </c>
      <c r="B629" s="7">
        <v>118.27988433837891</v>
      </c>
      <c r="C629" s="3">
        <f t="shared" si="5"/>
        <v>0.25361027773638933</v>
      </c>
    </row>
    <row r="630" spans="1:3" ht="13.2" x14ac:dyDescent="0.25">
      <c r="A630" s="6">
        <v>628</v>
      </c>
      <c r="B630" s="7">
        <v>119.42486572265625</v>
      </c>
      <c r="C630" s="3">
        <f t="shared" si="5"/>
        <v>0.26371541351202904</v>
      </c>
    </row>
    <row r="631" spans="1:3" ht="13.2" x14ac:dyDescent="0.25">
      <c r="A631" s="6">
        <v>629</v>
      </c>
      <c r="B631" s="7">
        <v>119.72474670410156</v>
      </c>
      <c r="C631" s="3">
        <f t="shared" si="5"/>
        <v>0.25833448196527081</v>
      </c>
    </row>
    <row r="632" spans="1:3" ht="13.2" x14ac:dyDescent="0.25">
      <c r="A632" s="6">
        <v>630</v>
      </c>
      <c r="B632" s="7">
        <v>120.85157012939453</v>
      </c>
      <c r="C632" s="3">
        <f t="shared" si="5"/>
        <v>0.27163896809645405</v>
      </c>
    </row>
    <row r="633" spans="1:3" ht="13.2" x14ac:dyDescent="0.25">
      <c r="A633" s="6">
        <v>631</v>
      </c>
      <c r="B633" s="7">
        <v>120.63347625732422</v>
      </c>
      <c r="C633" s="3">
        <f t="shared" si="5"/>
        <v>0.2696447624509733</v>
      </c>
    </row>
    <row r="634" spans="1:3" ht="13.2" x14ac:dyDescent="0.25">
      <c r="A634" s="6">
        <v>632</v>
      </c>
      <c r="B634" s="7">
        <v>121.62397003173828</v>
      </c>
      <c r="C634" s="3">
        <f t="shared" si="5"/>
        <v>0.27136393058411618</v>
      </c>
    </row>
    <row r="635" spans="1:3" ht="13.2" x14ac:dyDescent="0.25">
      <c r="A635" s="6">
        <v>633</v>
      </c>
      <c r="B635" s="7">
        <v>120.02463531494141</v>
      </c>
      <c r="C635" s="3">
        <f t="shared" si="5"/>
        <v>0.26919646852901857</v>
      </c>
    </row>
    <row r="636" spans="1:3" ht="13.2" x14ac:dyDescent="0.25">
      <c r="A636" s="6">
        <v>634</v>
      </c>
      <c r="B636" s="7">
        <v>120.18821716308594</v>
      </c>
      <c r="C636" s="3">
        <f t="shared" si="5"/>
        <v>0.29287918426368037</v>
      </c>
    </row>
    <row r="637" spans="1:3" ht="13.2" x14ac:dyDescent="0.25">
      <c r="A637" s="6">
        <v>635</v>
      </c>
      <c r="B637" s="7">
        <v>120.90610504150391</v>
      </c>
      <c r="C637" s="3">
        <f t="shared" si="5"/>
        <v>0.32324494008022259</v>
      </c>
    </row>
    <row r="638" spans="1:3" ht="13.2" x14ac:dyDescent="0.25">
      <c r="A638" s="6">
        <v>636</v>
      </c>
      <c r="B638" s="7">
        <v>118.16173553466797</v>
      </c>
      <c r="C638" s="3">
        <f t="shared" si="5"/>
        <v>0.26857023190000756</v>
      </c>
    </row>
    <row r="639" spans="1:3" ht="13.2" x14ac:dyDescent="0.25">
      <c r="A639" s="6">
        <v>637</v>
      </c>
      <c r="B639" s="7">
        <v>119.14318084716797</v>
      </c>
      <c r="C639" s="3">
        <f t="shared" ref="C639:C702" si="6">LN(B639/B387)</f>
        <v>0.26845050987931057</v>
      </c>
    </row>
    <row r="640" spans="1:3" ht="13.2" x14ac:dyDescent="0.25">
      <c r="A640" s="6">
        <v>638</v>
      </c>
      <c r="B640" s="7">
        <v>117.56196594238281</v>
      </c>
      <c r="C640" s="3">
        <f t="shared" si="6"/>
        <v>0.24498088128069734</v>
      </c>
    </row>
    <row r="641" spans="1:3" ht="13.2" x14ac:dyDescent="0.25">
      <c r="A641" s="6">
        <v>639</v>
      </c>
      <c r="B641" s="7">
        <v>119.82472229003906</v>
      </c>
      <c r="C641" s="3">
        <f t="shared" si="6"/>
        <v>0.24745133109167544</v>
      </c>
    </row>
    <row r="642" spans="1:3" ht="13.2" x14ac:dyDescent="0.25">
      <c r="A642" s="6">
        <v>640</v>
      </c>
      <c r="B642" s="7">
        <v>119.83380126953125</v>
      </c>
      <c r="C642" s="3">
        <f t="shared" si="6"/>
        <v>0.25476471124115202</v>
      </c>
    </row>
    <row r="643" spans="1:3" ht="13.2" x14ac:dyDescent="0.25">
      <c r="A643" s="6">
        <v>641</v>
      </c>
      <c r="B643" s="7">
        <v>121.36953735351563</v>
      </c>
      <c r="C643" s="3">
        <f t="shared" si="6"/>
        <v>0.26815107550768857</v>
      </c>
    </row>
    <row r="644" spans="1:3" ht="13.2" x14ac:dyDescent="0.25">
      <c r="A644" s="6">
        <v>642</v>
      </c>
      <c r="B644" s="7">
        <v>121.45132446289063</v>
      </c>
      <c r="C644" s="3">
        <f t="shared" si="6"/>
        <v>0.26798628507602917</v>
      </c>
    </row>
    <row r="645" spans="1:3" ht="13.2" x14ac:dyDescent="0.25">
      <c r="A645" s="6">
        <v>643</v>
      </c>
      <c r="B645" s="7">
        <v>122.35096740722656</v>
      </c>
      <c r="C645" s="3">
        <f t="shared" si="6"/>
        <v>0.26961024157114249</v>
      </c>
    </row>
    <row r="646" spans="1:3" ht="13.2" x14ac:dyDescent="0.25">
      <c r="A646" s="6">
        <v>644</v>
      </c>
      <c r="B646" s="7">
        <v>120.55168914794922</v>
      </c>
      <c r="C646" s="3">
        <f t="shared" si="6"/>
        <v>0.2559066698774814</v>
      </c>
    </row>
    <row r="647" spans="1:3" ht="13.2" x14ac:dyDescent="0.25">
      <c r="A647" s="6">
        <v>645</v>
      </c>
      <c r="B647" s="7">
        <v>118.65245819091797</v>
      </c>
      <c r="C647" s="3">
        <f t="shared" si="6"/>
        <v>0.23688056087533818</v>
      </c>
    </row>
    <row r="648" spans="1:3" ht="13.2" x14ac:dyDescent="0.25">
      <c r="A648" s="6">
        <v>646</v>
      </c>
      <c r="B648" s="7">
        <v>117.94362640380859</v>
      </c>
      <c r="C648" s="3">
        <f t="shared" si="6"/>
        <v>0.23533302186110622</v>
      </c>
    </row>
    <row r="649" spans="1:3" ht="13.2" x14ac:dyDescent="0.25">
      <c r="A649" s="6">
        <v>647</v>
      </c>
      <c r="B649" s="7">
        <v>118.83420562744141</v>
      </c>
      <c r="C649" s="3">
        <f t="shared" si="6"/>
        <v>0.23555121568052848</v>
      </c>
    </row>
    <row r="650" spans="1:3" ht="13.2" x14ac:dyDescent="0.25">
      <c r="A650" s="6">
        <v>648</v>
      </c>
      <c r="B650" s="7">
        <v>119.03411102294922</v>
      </c>
      <c r="C650" s="3">
        <f t="shared" si="6"/>
        <v>0.26573211164397254</v>
      </c>
    </row>
    <row r="651" spans="1:3" ht="13.2" x14ac:dyDescent="0.25">
      <c r="A651" s="6">
        <v>649</v>
      </c>
      <c r="B651" s="7">
        <v>119.27947235107422</v>
      </c>
      <c r="C651" s="3">
        <f t="shared" si="6"/>
        <v>0.2599546191515949</v>
      </c>
    </row>
    <row r="652" spans="1:3" ht="13.2" x14ac:dyDescent="0.25">
      <c r="A652" s="6">
        <v>650</v>
      </c>
      <c r="B652" s="7">
        <v>120.96970367431641</v>
      </c>
      <c r="C652" s="3">
        <f t="shared" si="6"/>
        <v>0.24273256902676876</v>
      </c>
    </row>
    <row r="653" spans="1:3" ht="13.2" x14ac:dyDescent="0.25">
      <c r="A653" s="6">
        <v>651</v>
      </c>
      <c r="B653" s="7">
        <v>121.8330078125</v>
      </c>
      <c r="C653" s="3">
        <f t="shared" si="6"/>
        <v>0.24330236559163079</v>
      </c>
    </row>
    <row r="654" spans="1:3" ht="13.2" x14ac:dyDescent="0.25">
      <c r="A654" s="6">
        <v>652</v>
      </c>
      <c r="B654" s="7">
        <v>121.66033172607422</v>
      </c>
      <c r="C654" s="3">
        <f t="shared" si="6"/>
        <v>0.22982280652991754</v>
      </c>
    </row>
    <row r="655" spans="1:3" ht="13.2" x14ac:dyDescent="0.25">
      <c r="A655" s="6">
        <v>653</v>
      </c>
      <c r="B655" s="7">
        <v>123.45053100585938</v>
      </c>
      <c r="C655" s="3">
        <f t="shared" si="6"/>
        <v>0.24407244010360629</v>
      </c>
    </row>
    <row r="656" spans="1:3" ht="13.2" x14ac:dyDescent="0.25">
      <c r="A656" s="6">
        <v>654</v>
      </c>
      <c r="B656" s="7">
        <v>122.72354888916016</v>
      </c>
      <c r="C656" s="3">
        <f t="shared" si="6"/>
        <v>0.23139193964332885</v>
      </c>
    </row>
    <row r="657" spans="1:3" ht="13.2" x14ac:dyDescent="0.25">
      <c r="A657" s="6">
        <v>655</v>
      </c>
      <c r="B657" s="7">
        <v>123.13246917724609</v>
      </c>
      <c r="C657" s="3">
        <f t="shared" si="6"/>
        <v>0.22649078956309046</v>
      </c>
    </row>
    <row r="658" spans="1:3" ht="13.2" x14ac:dyDescent="0.25">
      <c r="A658" s="6">
        <v>656</v>
      </c>
      <c r="B658" s="7">
        <v>124.04121398925781</v>
      </c>
      <c r="C658" s="3">
        <f t="shared" si="6"/>
        <v>0.23817047747604378</v>
      </c>
    </row>
    <row r="659" spans="1:3" ht="13.2" x14ac:dyDescent="0.25">
      <c r="A659" s="6">
        <v>657</v>
      </c>
      <c r="B659" s="7">
        <v>122.93254089355469</v>
      </c>
      <c r="C659" s="3">
        <f t="shared" si="6"/>
        <v>0.24291318563774617</v>
      </c>
    </row>
    <row r="660" spans="1:3" ht="13.2" x14ac:dyDescent="0.25">
      <c r="A660" s="6">
        <v>658</v>
      </c>
      <c r="B660" s="7">
        <v>122.82351684570313</v>
      </c>
      <c r="C660" s="3">
        <f t="shared" si="6"/>
        <v>0.24571088340204983</v>
      </c>
    </row>
    <row r="661" spans="1:3" ht="13.2" x14ac:dyDescent="0.25">
      <c r="A661" s="6">
        <v>659</v>
      </c>
      <c r="B661" s="7">
        <v>122.123779296875</v>
      </c>
      <c r="C661" s="3">
        <f t="shared" si="6"/>
        <v>0.23568471779315656</v>
      </c>
    </row>
    <row r="662" spans="1:3" ht="13.2" x14ac:dyDescent="0.25">
      <c r="A662" s="6">
        <v>660</v>
      </c>
      <c r="B662" s="7">
        <v>119.85196685791016</v>
      </c>
      <c r="C662" s="3">
        <f t="shared" si="6"/>
        <v>0.21547363722637941</v>
      </c>
    </row>
    <row r="663" spans="1:3" ht="13.2" x14ac:dyDescent="0.25">
      <c r="A663" s="6">
        <v>661</v>
      </c>
      <c r="B663" s="7">
        <v>117.77098083496094</v>
      </c>
      <c r="C663" s="3">
        <f t="shared" si="6"/>
        <v>0.1957224570749462</v>
      </c>
    </row>
    <row r="664" spans="1:3" ht="13.2" x14ac:dyDescent="0.25">
      <c r="A664" s="6">
        <v>662</v>
      </c>
      <c r="B664" s="7">
        <v>114.96302032470703</v>
      </c>
      <c r="C664" s="3">
        <f t="shared" si="6"/>
        <v>0.16260973895656938</v>
      </c>
    </row>
    <row r="665" spans="1:3" ht="13.2" x14ac:dyDescent="0.25">
      <c r="A665" s="6">
        <v>663</v>
      </c>
      <c r="B665" s="7">
        <v>117.28028106689453</v>
      </c>
      <c r="C665" s="3">
        <f t="shared" si="6"/>
        <v>0.19799948155648964</v>
      </c>
    </row>
    <row r="666" spans="1:3" ht="13.2" x14ac:dyDescent="0.25">
      <c r="A666" s="6">
        <v>664</v>
      </c>
      <c r="B666" s="7">
        <v>116.84408569335938</v>
      </c>
      <c r="C666" s="3">
        <f t="shared" si="6"/>
        <v>0.19787579971498637</v>
      </c>
    </row>
    <row r="667" spans="1:3" ht="13.2" x14ac:dyDescent="0.25">
      <c r="A667" s="6">
        <v>665</v>
      </c>
      <c r="B667" s="7">
        <v>119.35216522216797</v>
      </c>
      <c r="C667" s="3">
        <f t="shared" si="6"/>
        <v>0.22927093204429078</v>
      </c>
    </row>
    <row r="668" spans="1:3" ht="13.2" x14ac:dyDescent="0.25">
      <c r="A668" s="6">
        <v>666</v>
      </c>
      <c r="B668" s="7">
        <v>118.56157684326172</v>
      </c>
      <c r="C668" s="3">
        <f t="shared" si="6"/>
        <v>0.22162263042979841</v>
      </c>
    </row>
    <row r="669" spans="1:3" ht="13.2" x14ac:dyDescent="0.25">
      <c r="A669" s="6">
        <v>667</v>
      </c>
      <c r="B669" s="7">
        <v>118.73424530029297</v>
      </c>
      <c r="C669" s="3">
        <f t="shared" si="6"/>
        <v>0.2063725388607929</v>
      </c>
    </row>
    <row r="670" spans="1:3" ht="13.2" x14ac:dyDescent="0.25">
      <c r="A670" s="6">
        <v>668</v>
      </c>
      <c r="B670" s="7">
        <v>122.03291320800781</v>
      </c>
      <c r="C670" s="3">
        <f t="shared" si="6"/>
        <v>0.22131664526883849</v>
      </c>
    </row>
    <row r="671" spans="1:3" ht="13.2" x14ac:dyDescent="0.25">
      <c r="A671" s="6">
        <v>669</v>
      </c>
      <c r="B671" s="7">
        <v>120.67891693115234</v>
      </c>
      <c r="C671" s="3">
        <f t="shared" si="6"/>
        <v>0.21993540487323568</v>
      </c>
    </row>
    <row r="672" spans="1:3" ht="13.2" x14ac:dyDescent="0.25">
      <c r="A672" s="6">
        <v>670</v>
      </c>
      <c r="B672" s="7">
        <v>120.18821716308594</v>
      </c>
      <c r="C672" s="3">
        <f t="shared" si="6"/>
        <v>0.20325877534512535</v>
      </c>
    </row>
    <row r="673" spans="1:3" ht="13.2" x14ac:dyDescent="0.25">
      <c r="A673" s="6">
        <v>671</v>
      </c>
      <c r="B673" s="7">
        <v>123.67771911621094</v>
      </c>
      <c r="C673" s="3">
        <f t="shared" si="6"/>
        <v>0.23134988853564703</v>
      </c>
    </row>
    <row r="674" spans="1:3" ht="13.2" x14ac:dyDescent="0.25">
      <c r="A674" s="6">
        <v>672</v>
      </c>
      <c r="B674" s="7">
        <v>122.66901397705078</v>
      </c>
      <c r="C674" s="3">
        <f t="shared" si="6"/>
        <v>0.2315694699198482</v>
      </c>
    </row>
    <row r="675" spans="1:3" ht="13.2" x14ac:dyDescent="0.25">
      <c r="A675" s="6">
        <v>673</v>
      </c>
      <c r="B675" s="7">
        <v>122.33278656005859</v>
      </c>
      <c r="C675" s="3">
        <f t="shared" si="6"/>
        <v>0.24857397127217534</v>
      </c>
    </row>
    <row r="676" spans="1:3" ht="13.2" x14ac:dyDescent="0.25">
      <c r="A676" s="6">
        <v>674</v>
      </c>
      <c r="B676" s="7">
        <v>120.66073608398438</v>
      </c>
      <c r="C676" s="3">
        <f t="shared" si="6"/>
        <v>0.24172587213961821</v>
      </c>
    </row>
    <row r="677" spans="1:3" ht="13.2" x14ac:dyDescent="0.25">
      <c r="A677" s="6">
        <v>675</v>
      </c>
      <c r="B677" s="7">
        <v>122.01473236083984</v>
      </c>
      <c r="C677" s="3">
        <f t="shared" si="6"/>
        <v>0.25599368987617338</v>
      </c>
    </row>
    <row r="678" spans="1:3" ht="13.2" x14ac:dyDescent="0.25">
      <c r="A678" s="6">
        <v>676</v>
      </c>
      <c r="B678" s="7">
        <v>125.3861083984375</v>
      </c>
      <c r="C678" s="3">
        <f t="shared" si="6"/>
        <v>0.28986481115549562</v>
      </c>
    </row>
    <row r="679" spans="1:3" ht="13.2" x14ac:dyDescent="0.25">
      <c r="A679" s="6">
        <v>677</v>
      </c>
      <c r="B679" s="7">
        <v>128.72113037109375</v>
      </c>
      <c r="C679" s="3">
        <f t="shared" si="6"/>
        <v>0.2951348960094935</v>
      </c>
    </row>
    <row r="680" spans="1:3" ht="13.2" x14ac:dyDescent="0.25">
      <c r="A680" s="6">
        <v>678</v>
      </c>
      <c r="B680" s="7">
        <v>128.92106628417969</v>
      </c>
      <c r="C680" s="3">
        <f t="shared" si="6"/>
        <v>0.29740942270670001</v>
      </c>
    </row>
    <row r="681" spans="1:3" ht="13.2" x14ac:dyDescent="0.25">
      <c r="A681" s="6">
        <v>679</v>
      </c>
      <c r="B681" s="7">
        <v>129.43904113769531</v>
      </c>
      <c r="C681" s="3">
        <f t="shared" si="6"/>
        <v>0.30730811571025463</v>
      </c>
    </row>
    <row r="682" spans="1:3" ht="13.2" x14ac:dyDescent="0.25">
      <c r="A682" s="6">
        <v>680</v>
      </c>
      <c r="B682" s="7">
        <v>126.24031829833984</v>
      </c>
      <c r="C682" s="3">
        <f t="shared" si="6"/>
        <v>0.29334146153489316</v>
      </c>
    </row>
    <row r="683" spans="1:3" ht="13.2" x14ac:dyDescent="0.25">
      <c r="A683" s="6">
        <v>681</v>
      </c>
      <c r="B683" s="7">
        <v>126.94911193847656</v>
      </c>
      <c r="C683" s="3">
        <f t="shared" si="6"/>
        <v>0.30419107348655711</v>
      </c>
    </row>
    <row r="684" spans="1:3" ht="13.2" x14ac:dyDescent="0.25">
      <c r="A684" s="6">
        <v>682</v>
      </c>
      <c r="B684" s="7">
        <v>130.19328308105469</v>
      </c>
      <c r="C684" s="3">
        <f t="shared" si="6"/>
        <v>0.32822491351202054</v>
      </c>
    </row>
    <row r="685" spans="1:3" ht="13.2" x14ac:dyDescent="0.25">
      <c r="A685" s="6">
        <v>683</v>
      </c>
      <c r="B685" s="7">
        <v>128.88471984863281</v>
      </c>
      <c r="C685" s="3">
        <f t="shared" si="6"/>
        <v>0.29361059716217286</v>
      </c>
    </row>
    <row r="686" spans="1:3" ht="13.2" x14ac:dyDescent="0.25">
      <c r="A686" s="6">
        <v>684</v>
      </c>
      <c r="B686" s="7">
        <v>126.15855407714844</v>
      </c>
      <c r="C686" s="3">
        <f t="shared" si="6"/>
        <v>0.29076590960844279</v>
      </c>
    </row>
    <row r="687" spans="1:3" ht="13.2" x14ac:dyDescent="0.25">
      <c r="A687" s="6">
        <v>685</v>
      </c>
      <c r="B687" s="7">
        <v>126.24940490722656</v>
      </c>
      <c r="C687" s="3">
        <f t="shared" si="6"/>
        <v>0.29258678685684136</v>
      </c>
    </row>
    <row r="688" spans="1:3" ht="13.2" x14ac:dyDescent="0.25">
      <c r="A688" s="6">
        <v>686</v>
      </c>
      <c r="B688" s="7">
        <v>123.79583740234375</v>
      </c>
      <c r="C688" s="3">
        <f t="shared" si="6"/>
        <v>0.26037202098165457</v>
      </c>
    </row>
    <row r="689" spans="1:3" ht="13.2" x14ac:dyDescent="0.25">
      <c r="A689" s="6">
        <v>687</v>
      </c>
      <c r="B689" s="7">
        <v>121.21505737304688</v>
      </c>
      <c r="C689" s="3">
        <f t="shared" si="6"/>
        <v>0.24184616167932868</v>
      </c>
    </row>
    <row r="690" spans="1:3" ht="13.2" x14ac:dyDescent="0.25">
      <c r="A690" s="6">
        <v>688</v>
      </c>
      <c r="B690" s="7">
        <v>120.46080017089844</v>
      </c>
      <c r="C690" s="3">
        <f t="shared" si="6"/>
        <v>0.24629469605147156</v>
      </c>
    </row>
    <row r="691" spans="1:3" ht="13.2" x14ac:dyDescent="0.25">
      <c r="A691" s="6">
        <v>689</v>
      </c>
      <c r="B691" s="7">
        <v>118.95233154296875</v>
      </c>
      <c r="C691" s="3">
        <f t="shared" si="6"/>
        <v>0.22345715635909355</v>
      </c>
    </row>
    <row r="692" spans="1:3" ht="13.2" x14ac:dyDescent="0.25">
      <c r="A692" s="6">
        <v>690</v>
      </c>
      <c r="B692" s="7">
        <v>119.77927398681641</v>
      </c>
      <c r="C692" s="3">
        <f t="shared" si="6"/>
        <v>0.25869625657035528</v>
      </c>
    </row>
    <row r="693" spans="1:3" ht="13.2" x14ac:dyDescent="0.25">
      <c r="A693" s="6">
        <v>691</v>
      </c>
      <c r="B693" s="7">
        <v>119.34307861328125</v>
      </c>
      <c r="C693" s="3">
        <f t="shared" si="6"/>
        <v>0.23541224379933842</v>
      </c>
    </row>
    <row r="694" spans="1:3" ht="13.2" x14ac:dyDescent="0.25">
      <c r="A694" s="6">
        <v>692</v>
      </c>
      <c r="B694" s="7">
        <v>119.41577911376953</v>
      </c>
      <c r="C694" s="3">
        <f t="shared" si="6"/>
        <v>0.23336495742287613</v>
      </c>
    </row>
    <row r="695" spans="1:3" ht="13.2" x14ac:dyDescent="0.25">
      <c r="A695" s="6">
        <v>693</v>
      </c>
      <c r="B695" s="7">
        <v>118.13447570800781</v>
      </c>
      <c r="C695" s="3">
        <f t="shared" si="6"/>
        <v>0.22743711205006459</v>
      </c>
    </row>
    <row r="696" spans="1:3" ht="13.2" x14ac:dyDescent="0.25">
      <c r="A696" s="6">
        <v>694</v>
      </c>
      <c r="B696" s="7">
        <v>119.26130676269531</v>
      </c>
      <c r="C696" s="3">
        <f t="shared" si="6"/>
        <v>0.2384943185694603</v>
      </c>
    </row>
    <row r="697" spans="1:3" ht="13.2" x14ac:dyDescent="0.25">
      <c r="A697" s="6">
        <v>695</v>
      </c>
      <c r="B697" s="7">
        <v>118.36167144775391</v>
      </c>
      <c r="C697" s="3">
        <f t="shared" si="6"/>
        <v>0.19502502303581382</v>
      </c>
    </row>
    <row r="698" spans="1:3" ht="13.2" x14ac:dyDescent="0.25">
      <c r="A698" s="6">
        <v>696</v>
      </c>
      <c r="B698" s="7">
        <v>119.57935333251953</v>
      </c>
      <c r="C698" s="3">
        <f t="shared" si="6"/>
        <v>0.20659338843861069</v>
      </c>
    </row>
    <row r="699" spans="1:3" ht="13.2" x14ac:dyDescent="0.25">
      <c r="A699" s="6">
        <v>697</v>
      </c>
      <c r="B699" s="7">
        <v>120.19728851318359</v>
      </c>
      <c r="C699" s="3">
        <f t="shared" si="6"/>
        <v>0.24162764261074929</v>
      </c>
    </row>
    <row r="700" spans="1:3" ht="13.2" x14ac:dyDescent="0.25">
      <c r="A700" s="6">
        <v>698</v>
      </c>
      <c r="B700" s="7">
        <v>119.99736022949219</v>
      </c>
      <c r="C700" s="3">
        <f t="shared" si="6"/>
        <v>0.24612121421556704</v>
      </c>
    </row>
    <row r="701" spans="1:3" ht="13.2" x14ac:dyDescent="0.25">
      <c r="A701" s="6">
        <v>699</v>
      </c>
      <c r="B701" s="7">
        <v>121.93294525146484</v>
      </c>
      <c r="C701" s="3">
        <f t="shared" si="6"/>
        <v>0.22315387548536275</v>
      </c>
    </row>
    <row r="702" spans="1:3" ht="13.2" x14ac:dyDescent="0.25">
      <c r="A702" s="6">
        <v>700</v>
      </c>
      <c r="B702" s="7">
        <v>121.8148193359375</v>
      </c>
      <c r="C702" s="3">
        <f t="shared" si="6"/>
        <v>0.22475945428630728</v>
      </c>
    </row>
    <row r="703" spans="1:3" ht="13.2" x14ac:dyDescent="0.25">
      <c r="A703" s="6">
        <v>701</v>
      </c>
      <c r="B703" s="7">
        <v>120.17002868652344</v>
      </c>
      <c r="C703" s="3">
        <f t="shared" ref="C703:C766" si="7">LN(B703/B451)</f>
        <v>0.23692077399359526</v>
      </c>
    </row>
    <row r="704" spans="1:3" ht="13.2" x14ac:dyDescent="0.25">
      <c r="A704" s="6">
        <v>702</v>
      </c>
      <c r="B704" s="7">
        <v>120.14277648925781</v>
      </c>
      <c r="C704" s="3">
        <f t="shared" si="7"/>
        <v>0.2064144637010559</v>
      </c>
    </row>
    <row r="705" spans="1:3" ht="13.2" x14ac:dyDescent="0.25">
      <c r="A705" s="6">
        <v>703</v>
      </c>
      <c r="B705" s="7">
        <v>120.397216796875</v>
      </c>
      <c r="C705" s="3">
        <f t="shared" si="7"/>
        <v>0.22270206518880289</v>
      </c>
    </row>
    <row r="706" spans="1:3" ht="13.2" x14ac:dyDescent="0.25">
      <c r="A706" s="6">
        <v>704</v>
      </c>
      <c r="B706" s="7">
        <v>121.08783721923828</v>
      </c>
      <c r="C706" s="3">
        <f t="shared" si="7"/>
        <v>0.23952455471666925</v>
      </c>
    </row>
    <row r="707" spans="1:3" ht="13.2" x14ac:dyDescent="0.25">
      <c r="A707" s="6">
        <v>705</v>
      </c>
      <c r="B707" s="7">
        <v>124.86813354492188</v>
      </c>
      <c r="C707" s="3">
        <f t="shared" si="7"/>
        <v>0.27600134749469568</v>
      </c>
    </row>
    <row r="708" spans="1:3" ht="13.2" x14ac:dyDescent="0.25">
      <c r="A708" s="6">
        <v>706</v>
      </c>
      <c r="B708" s="7">
        <v>126.01313781738281</v>
      </c>
      <c r="C708" s="3">
        <f t="shared" si="7"/>
        <v>0.28805489386049665</v>
      </c>
    </row>
    <row r="709" spans="1:3" ht="13.2" x14ac:dyDescent="0.25">
      <c r="A709" s="6">
        <v>707</v>
      </c>
      <c r="B709" s="7">
        <v>127.93054962158203</v>
      </c>
      <c r="C709" s="3">
        <f t="shared" si="7"/>
        <v>0.29376992302490423</v>
      </c>
    </row>
    <row r="710" spans="1:3" ht="13.2" x14ac:dyDescent="0.25">
      <c r="A710" s="6">
        <v>708</v>
      </c>
      <c r="B710" s="7">
        <v>128.1123046875</v>
      </c>
      <c r="C710" s="3">
        <f t="shared" si="7"/>
        <v>0.31868345108840135</v>
      </c>
    </row>
    <row r="711" spans="1:3" ht="13.2" x14ac:dyDescent="0.25">
      <c r="A711" s="6">
        <v>709</v>
      </c>
      <c r="B711" s="7">
        <v>127.91236114501953</v>
      </c>
      <c r="C711" s="3">
        <f t="shared" si="7"/>
        <v>0.31471002337473747</v>
      </c>
    </row>
    <row r="712" spans="1:3" ht="13.2" x14ac:dyDescent="0.25">
      <c r="A712" s="6">
        <v>710</v>
      </c>
      <c r="B712" s="7">
        <v>129.03010559082031</v>
      </c>
      <c r="C712" s="3">
        <f t="shared" si="7"/>
        <v>0.34239455320044643</v>
      </c>
    </row>
    <row r="713" spans="1:3" ht="13.2" x14ac:dyDescent="0.25">
      <c r="A713" s="6">
        <v>711</v>
      </c>
      <c r="B713" s="7">
        <v>127.66703796386719</v>
      </c>
      <c r="C713" s="3">
        <f t="shared" si="7"/>
        <v>0.33026491043346357</v>
      </c>
    </row>
    <row r="714" spans="1:3" ht="13.2" x14ac:dyDescent="0.25">
      <c r="A714" s="6">
        <v>712</v>
      </c>
      <c r="B714" s="7">
        <v>129.57534790039063</v>
      </c>
      <c r="C714" s="3">
        <f t="shared" si="7"/>
        <v>0.32614633365964973</v>
      </c>
    </row>
    <row r="715" spans="1:3" ht="13.2" x14ac:dyDescent="0.25">
      <c r="A715" s="6">
        <v>713</v>
      </c>
      <c r="B715" s="7">
        <v>128.51214599609375</v>
      </c>
      <c r="C715" s="3">
        <f t="shared" si="7"/>
        <v>0.31200475786364884</v>
      </c>
    </row>
    <row r="716" spans="1:3" ht="13.2" x14ac:dyDescent="0.25">
      <c r="A716" s="6">
        <v>714</v>
      </c>
      <c r="B716" s="7">
        <v>128.85743713378906</v>
      </c>
      <c r="C716" s="3">
        <f t="shared" si="7"/>
        <v>0.33503150033107076</v>
      </c>
    </row>
    <row r="717" spans="1:3" ht="13.2" x14ac:dyDescent="0.25">
      <c r="A717" s="6">
        <v>715</v>
      </c>
      <c r="B717" s="7">
        <v>130.33866882324219</v>
      </c>
      <c r="C717" s="3">
        <f t="shared" si="7"/>
        <v>0.34458579438171588</v>
      </c>
    </row>
    <row r="718" spans="1:3" ht="13.2" x14ac:dyDescent="0.25">
      <c r="A718" s="6">
        <v>716</v>
      </c>
      <c r="B718" s="7">
        <v>129.48448181152344</v>
      </c>
      <c r="C718" s="3">
        <f t="shared" si="7"/>
        <v>0.33473750806480501</v>
      </c>
    </row>
    <row r="719" spans="1:3" ht="13.2" x14ac:dyDescent="0.25">
      <c r="A719" s="6">
        <v>717</v>
      </c>
      <c r="B719" s="7">
        <v>129.98428344726563</v>
      </c>
      <c r="C719" s="3">
        <f t="shared" si="7"/>
        <v>0.33244731409693151</v>
      </c>
    </row>
    <row r="720" spans="1:3" ht="13.2" x14ac:dyDescent="0.25">
      <c r="A720" s="6">
        <v>718</v>
      </c>
      <c r="B720" s="7">
        <v>131.91078186035156</v>
      </c>
      <c r="C720" s="3">
        <f t="shared" si="7"/>
        <v>0.34428701179259374</v>
      </c>
    </row>
    <row r="721" spans="1:3" ht="13.2" x14ac:dyDescent="0.25">
      <c r="A721" s="6">
        <v>719</v>
      </c>
      <c r="B721" s="7">
        <v>130.66581726074219</v>
      </c>
      <c r="C721" s="3">
        <f t="shared" si="7"/>
        <v>0.33767681805510213</v>
      </c>
    </row>
    <row r="722" spans="1:3" ht="13.2" x14ac:dyDescent="0.25">
      <c r="A722" s="6">
        <v>720</v>
      </c>
      <c r="B722" s="7">
        <v>129.875244140625</v>
      </c>
      <c r="C722" s="3">
        <f t="shared" si="7"/>
        <v>0.31595672024746246</v>
      </c>
    </row>
    <row r="723" spans="1:3" ht="13.2" x14ac:dyDescent="0.25">
      <c r="A723" s="6">
        <v>721</v>
      </c>
      <c r="B723" s="7">
        <v>130.30232238769531</v>
      </c>
      <c r="C723" s="3">
        <f t="shared" si="7"/>
        <v>0.35154547828883492</v>
      </c>
    </row>
    <row r="724" spans="1:3" ht="13.2" x14ac:dyDescent="0.25">
      <c r="A724" s="6">
        <v>722</v>
      </c>
      <c r="B724" s="7">
        <v>131.52912902832031</v>
      </c>
      <c r="C724" s="3">
        <f t="shared" si="7"/>
        <v>0.32806275324024919</v>
      </c>
    </row>
    <row r="725" spans="1:3" ht="13.2" x14ac:dyDescent="0.25">
      <c r="A725" s="6">
        <v>723</v>
      </c>
      <c r="B725" s="7">
        <v>131.61090087890625</v>
      </c>
      <c r="C725" s="3">
        <f t="shared" si="7"/>
        <v>0.31580314341840215</v>
      </c>
    </row>
    <row r="726" spans="1:3" ht="13.2" x14ac:dyDescent="0.25">
      <c r="A726" s="6">
        <v>724</v>
      </c>
      <c r="B726" s="7">
        <v>133.48286437988281</v>
      </c>
      <c r="C726" s="3">
        <f t="shared" si="7"/>
        <v>0.33236285040335212</v>
      </c>
    </row>
    <row r="727" spans="1:3" ht="13.2" x14ac:dyDescent="0.25">
      <c r="A727" s="6">
        <v>725</v>
      </c>
      <c r="B727" s="7">
        <v>134.26437377929688</v>
      </c>
      <c r="C727" s="3">
        <f t="shared" si="7"/>
        <v>0.34091473397832844</v>
      </c>
    </row>
    <row r="728" spans="1:3" ht="13.2" x14ac:dyDescent="0.25">
      <c r="A728" s="6">
        <v>726</v>
      </c>
      <c r="B728" s="7">
        <v>135.94554138183594</v>
      </c>
      <c r="C728" s="3">
        <f t="shared" si="7"/>
        <v>0.34928972905712619</v>
      </c>
    </row>
    <row r="729" spans="1:3" ht="13.2" x14ac:dyDescent="0.25">
      <c r="A729" s="6">
        <v>727</v>
      </c>
      <c r="B729" s="7">
        <v>135.75468444824219</v>
      </c>
      <c r="C729" s="3">
        <f t="shared" si="7"/>
        <v>0.35349472647414554</v>
      </c>
    </row>
    <row r="730" spans="1:3" ht="13.2" x14ac:dyDescent="0.25">
      <c r="A730" s="6">
        <v>728</v>
      </c>
      <c r="B730" s="7">
        <v>137.36312866210938</v>
      </c>
      <c r="C730" s="3">
        <f t="shared" si="7"/>
        <v>0.35975367861821544</v>
      </c>
    </row>
    <row r="731" spans="1:3" ht="13.2" x14ac:dyDescent="0.25">
      <c r="A731" s="6">
        <v>729</v>
      </c>
      <c r="B731" s="7">
        <v>137.06326293945313</v>
      </c>
      <c r="C731" s="3">
        <f t="shared" si="7"/>
        <v>0.36463155349905713</v>
      </c>
    </row>
    <row r="732" spans="1:3" ht="13.2" x14ac:dyDescent="0.25">
      <c r="A732" s="6">
        <v>730</v>
      </c>
      <c r="B732" s="7">
        <v>136.97239685058594</v>
      </c>
      <c r="C732" s="3">
        <f t="shared" si="7"/>
        <v>0.36324164887531762</v>
      </c>
    </row>
    <row r="733" spans="1:3" ht="13.2" x14ac:dyDescent="0.25">
      <c r="A733" s="6">
        <v>731</v>
      </c>
      <c r="B733" s="7">
        <v>137.17228698730469</v>
      </c>
      <c r="C733" s="3">
        <f t="shared" si="7"/>
        <v>0.36197932992323567</v>
      </c>
    </row>
    <row r="734" spans="1:3" ht="13.2" x14ac:dyDescent="0.25">
      <c r="A734" s="6">
        <v>732</v>
      </c>
      <c r="B734" s="7">
        <v>136.86332702636719</v>
      </c>
      <c r="C734" s="3">
        <f t="shared" si="7"/>
        <v>0.34507041010453093</v>
      </c>
    </row>
    <row r="735" spans="1:3" ht="13.2" x14ac:dyDescent="0.25">
      <c r="A735" s="6">
        <v>733</v>
      </c>
      <c r="B735" s="7">
        <v>136.76338195800781</v>
      </c>
      <c r="C735" s="3">
        <f t="shared" si="7"/>
        <v>0.34024307514710417</v>
      </c>
    </row>
    <row r="736" spans="1:3" ht="13.2" x14ac:dyDescent="0.25">
      <c r="A736" s="6">
        <v>734</v>
      </c>
      <c r="B736" s="7">
        <v>137.00874328613281</v>
      </c>
      <c r="C736" s="3">
        <f t="shared" si="7"/>
        <v>0.33037151988957003</v>
      </c>
    </row>
    <row r="737" spans="1:3" ht="13.2" x14ac:dyDescent="0.25">
      <c r="A737" s="6">
        <v>735</v>
      </c>
      <c r="B737" s="7">
        <v>136.59979248046875</v>
      </c>
      <c r="C737" s="3">
        <f t="shared" si="7"/>
        <v>0.32037885237415814</v>
      </c>
    </row>
    <row r="738" spans="1:3" ht="13.2" x14ac:dyDescent="0.25">
      <c r="A738" s="6">
        <v>736</v>
      </c>
      <c r="B738" s="7">
        <v>136.92694091796875</v>
      </c>
      <c r="C738" s="3">
        <f t="shared" si="7"/>
        <v>0.32556631082497034</v>
      </c>
    </row>
    <row r="739" spans="1:3" ht="13.2" x14ac:dyDescent="0.25">
      <c r="A739" s="6">
        <v>737</v>
      </c>
      <c r="B739" s="7">
        <v>138.21734619140625</v>
      </c>
      <c r="C739" s="3">
        <f t="shared" si="7"/>
        <v>0.34549957909289475</v>
      </c>
    </row>
    <row r="740" spans="1:3" ht="13.2" x14ac:dyDescent="0.25">
      <c r="A740" s="6">
        <v>738</v>
      </c>
      <c r="B740" s="7">
        <v>138.698974609375</v>
      </c>
      <c r="C740" s="3">
        <f t="shared" si="7"/>
        <v>0.37268545628202387</v>
      </c>
    </row>
    <row r="741" spans="1:3" ht="13.2" x14ac:dyDescent="0.25">
      <c r="A741" s="6">
        <v>739</v>
      </c>
      <c r="B741" s="7">
        <v>137.21774291992188</v>
      </c>
      <c r="C741" s="3">
        <f t="shared" si="7"/>
        <v>0.360772261209927</v>
      </c>
    </row>
    <row r="742" spans="1:3" ht="13.2" x14ac:dyDescent="0.25">
      <c r="A742" s="6">
        <v>740</v>
      </c>
      <c r="B742" s="7">
        <v>135.26399230957031</v>
      </c>
      <c r="C742" s="3">
        <f t="shared" si="7"/>
        <v>0.32637895317789728</v>
      </c>
    </row>
    <row r="743" spans="1:3" ht="13.2" x14ac:dyDescent="0.25">
      <c r="A743" s="6">
        <v>741</v>
      </c>
      <c r="B743" s="7">
        <v>138.36016845703125</v>
      </c>
      <c r="C743" s="3">
        <f t="shared" si="7"/>
        <v>0.31361139773424695</v>
      </c>
    </row>
    <row r="744" spans="1:3" ht="13.2" x14ac:dyDescent="0.25">
      <c r="A744" s="6">
        <v>742</v>
      </c>
      <c r="B744" s="7">
        <v>141.28683471679688</v>
      </c>
      <c r="C744" s="3">
        <f t="shared" si="7"/>
        <v>0.35956844513136133</v>
      </c>
    </row>
    <row r="745" spans="1:3" ht="13.2" x14ac:dyDescent="0.25">
      <c r="A745" s="6">
        <v>743</v>
      </c>
      <c r="B745" s="7">
        <v>143.14498901367188</v>
      </c>
      <c r="C745" s="3">
        <f t="shared" si="7"/>
        <v>0.36245783097109496</v>
      </c>
    </row>
    <row r="746" spans="1:3" ht="13.2" x14ac:dyDescent="0.25">
      <c r="A746" s="6">
        <v>744</v>
      </c>
      <c r="B746" s="7">
        <v>144.21345520019531</v>
      </c>
      <c r="C746" s="3">
        <f t="shared" si="7"/>
        <v>0.33608396867646262</v>
      </c>
    </row>
    <row r="747" spans="1:3" ht="13.2" x14ac:dyDescent="0.25">
      <c r="A747" s="6">
        <v>745</v>
      </c>
      <c r="B747" s="7">
        <v>145.63493347167969</v>
      </c>
      <c r="C747" s="3">
        <f t="shared" si="7"/>
        <v>0.36593319237041516</v>
      </c>
    </row>
    <row r="748" spans="1:3" ht="13.2" x14ac:dyDescent="0.25">
      <c r="A748" s="6">
        <v>746</v>
      </c>
      <c r="B748" s="7">
        <v>148.63591003417969</v>
      </c>
      <c r="C748" s="3">
        <f t="shared" si="7"/>
        <v>0.40531236343075766</v>
      </c>
    </row>
    <row r="749" spans="1:3" ht="13.2" x14ac:dyDescent="0.25">
      <c r="A749" s="6">
        <v>747</v>
      </c>
      <c r="B749" s="7">
        <v>149.28627014160156</v>
      </c>
      <c r="C749" s="3">
        <f t="shared" si="7"/>
        <v>0.40136892092608062</v>
      </c>
    </row>
    <row r="750" spans="1:3" ht="13.2" x14ac:dyDescent="0.25">
      <c r="A750" s="6">
        <v>748</v>
      </c>
      <c r="B750" s="7">
        <v>147.44668579101563</v>
      </c>
      <c r="C750" s="3">
        <f t="shared" si="7"/>
        <v>0.39718758104216784</v>
      </c>
    </row>
    <row r="751" spans="1:3" ht="13.2" x14ac:dyDescent="0.25">
      <c r="A751" s="6">
        <v>749</v>
      </c>
      <c r="B751" s="7">
        <v>147.99484252929688</v>
      </c>
      <c r="C751" s="3">
        <f t="shared" si="7"/>
        <v>0.40356077042685207</v>
      </c>
    </row>
    <row r="752" spans="1:3" ht="13.2" x14ac:dyDescent="0.25">
      <c r="A752" s="6">
        <v>750</v>
      </c>
      <c r="B752" s="7">
        <v>144.78948974609375</v>
      </c>
      <c r="C752" s="3">
        <f t="shared" si="7"/>
        <v>0.36173175432050486</v>
      </c>
    </row>
    <row r="753" spans="1:3" ht="13.2" x14ac:dyDescent="0.25">
      <c r="A753" s="6">
        <v>751</v>
      </c>
      <c r="B753" s="7">
        <v>144.00904846191406</v>
      </c>
      <c r="C753" s="3">
        <f t="shared" si="7"/>
        <v>0.35263922844898643</v>
      </c>
    </row>
    <row r="754" spans="1:3" ht="13.2" x14ac:dyDescent="0.25">
      <c r="A754" s="6">
        <v>752</v>
      </c>
      <c r="B754" s="7">
        <v>144.32492065429688</v>
      </c>
      <c r="C754" s="3">
        <f t="shared" si="7"/>
        <v>0.34731673703159621</v>
      </c>
    </row>
    <row r="755" spans="1:3" ht="13.2" x14ac:dyDescent="0.25">
      <c r="A755" s="6">
        <v>753</v>
      </c>
      <c r="B755" s="7">
        <v>144.77090454101563</v>
      </c>
      <c r="C755" s="3">
        <f t="shared" si="7"/>
        <v>0.34515835986938465</v>
      </c>
    </row>
    <row r="756" spans="1:3" ht="13.2" x14ac:dyDescent="0.25">
      <c r="A756" s="6">
        <v>754</v>
      </c>
      <c r="B756" s="7">
        <v>145.76504516601563</v>
      </c>
      <c r="C756" s="3">
        <f t="shared" si="7"/>
        <v>0.39104884299794457</v>
      </c>
    </row>
    <row r="757" spans="1:3" ht="13.2" x14ac:dyDescent="0.25">
      <c r="A757" s="6">
        <v>755</v>
      </c>
      <c r="B757" s="7">
        <v>146.30389404296875</v>
      </c>
      <c r="C757" s="3">
        <f t="shared" si="7"/>
        <v>0.38128011444198318</v>
      </c>
    </row>
    <row r="758" spans="1:3" ht="13.2" x14ac:dyDescent="0.25">
      <c r="A758" s="6">
        <v>756</v>
      </c>
      <c r="B758" s="7">
        <v>143.24717712402344</v>
      </c>
      <c r="C758" s="3">
        <f t="shared" si="7"/>
        <v>0.33670721692694</v>
      </c>
    </row>
    <row r="759" spans="1:3" ht="13.2" x14ac:dyDescent="0.25">
      <c r="A759" s="6">
        <v>757</v>
      </c>
      <c r="B759" s="7">
        <v>142.21591186523438</v>
      </c>
      <c r="C759" s="3">
        <f t="shared" si="7"/>
        <v>0.31870254799557401</v>
      </c>
    </row>
    <row r="760" spans="1:3" ht="13.2" x14ac:dyDescent="0.25">
      <c r="A760" s="6">
        <v>758</v>
      </c>
      <c r="B760" s="7">
        <v>141.14744567871094</v>
      </c>
      <c r="C760" s="3">
        <f t="shared" si="7"/>
        <v>0.31662477630033342</v>
      </c>
    </row>
    <row r="761" spans="1:3" ht="13.2" x14ac:dyDescent="0.25">
      <c r="A761" s="6">
        <v>759</v>
      </c>
      <c r="B761" s="7">
        <v>141.46334838867188</v>
      </c>
      <c r="C761" s="3">
        <f t="shared" si="7"/>
        <v>0.312167309426374</v>
      </c>
    </row>
    <row r="762" spans="1:3" ht="13.2" x14ac:dyDescent="0.25">
      <c r="A762" s="6">
        <v>760</v>
      </c>
      <c r="B762" s="7">
        <v>139.36358642578125</v>
      </c>
      <c r="C762" s="3">
        <f t="shared" si="7"/>
        <v>0.28847384579113622</v>
      </c>
    </row>
    <row r="763" spans="1:3" ht="13.2" x14ac:dyDescent="0.25">
      <c r="A763" s="6">
        <v>761</v>
      </c>
      <c r="B763" s="7">
        <v>135.647216796875</v>
      </c>
      <c r="C763" s="3">
        <f t="shared" si="7"/>
        <v>0.24822044313668887</v>
      </c>
    </row>
    <row r="764" spans="1:3" ht="13.2" x14ac:dyDescent="0.25">
      <c r="A764" s="6">
        <v>762</v>
      </c>
      <c r="B764" s="7">
        <v>138.06288146972656</v>
      </c>
      <c r="C764" s="3">
        <f t="shared" si="7"/>
        <v>0.26424193611979996</v>
      </c>
    </row>
    <row r="765" spans="1:3" ht="13.2" x14ac:dyDescent="0.25">
      <c r="A765" s="6">
        <v>763</v>
      </c>
      <c r="B765" s="7">
        <v>136.23257446289063</v>
      </c>
      <c r="C765" s="3">
        <f t="shared" si="7"/>
        <v>0.24032235850096531</v>
      </c>
    </row>
    <row r="766" spans="1:3" ht="13.2" x14ac:dyDescent="0.25">
      <c r="A766" s="6">
        <v>764</v>
      </c>
      <c r="B766" s="7">
        <v>136.06532287597656</v>
      </c>
      <c r="C766" s="3">
        <f t="shared" si="7"/>
        <v>0.25689505709282806</v>
      </c>
    </row>
    <row r="767" spans="1:3" ht="13.2" x14ac:dyDescent="0.25">
      <c r="A767" s="6">
        <v>765</v>
      </c>
      <c r="B767" s="7">
        <v>136.20469665527344</v>
      </c>
      <c r="C767" s="3">
        <f t="shared" ref="C767:C830" si="8">LN(B767/B515)</f>
        <v>0.28531782223457397</v>
      </c>
    </row>
    <row r="768" spans="1:3" ht="13.2" x14ac:dyDescent="0.25">
      <c r="A768" s="6">
        <v>766</v>
      </c>
      <c r="B768" s="7">
        <v>137.63548278808594</v>
      </c>
      <c r="C768" s="3">
        <f t="shared" si="8"/>
        <v>0.29426010700139421</v>
      </c>
    </row>
    <row r="769" spans="1:3" ht="13.2" x14ac:dyDescent="0.25">
      <c r="A769" s="6">
        <v>767</v>
      </c>
      <c r="B769" s="7">
        <v>137.15237426757813</v>
      </c>
      <c r="C769" s="3">
        <f t="shared" si="8"/>
        <v>0.30349643187697523</v>
      </c>
    </row>
    <row r="770" spans="1:3" ht="13.2" x14ac:dyDescent="0.25">
      <c r="A770" s="6">
        <v>768</v>
      </c>
      <c r="B770" s="7">
        <v>140.33914184570313</v>
      </c>
      <c r="C770" s="3">
        <f t="shared" si="8"/>
        <v>0.31043996962693698</v>
      </c>
    </row>
    <row r="771" spans="1:3" ht="13.2" x14ac:dyDescent="0.25">
      <c r="A771" s="6">
        <v>769</v>
      </c>
      <c r="B771" s="7">
        <v>142.17874145507813</v>
      </c>
      <c r="C771" s="3">
        <f t="shared" si="8"/>
        <v>0.33904029260709845</v>
      </c>
    </row>
    <row r="772" spans="1:3" ht="13.2" x14ac:dyDescent="0.25">
      <c r="A772" s="6">
        <v>770</v>
      </c>
      <c r="B772" s="7">
        <v>142.19731140136719</v>
      </c>
      <c r="C772" s="3">
        <f t="shared" si="8"/>
        <v>0.34809183924266013</v>
      </c>
    </row>
    <row r="773" spans="1:3" ht="13.2" x14ac:dyDescent="0.25">
      <c r="A773" s="6">
        <v>771</v>
      </c>
      <c r="B773" s="7">
        <v>141.41690063476563</v>
      </c>
      <c r="C773" s="3">
        <f t="shared" si="8"/>
        <v>0.33160649349528643</v>
      </c>
    </row>
    <row r="774" spans="1:3" ht="13.2" x14ac:dyDescent="0.25">
      <c r="A774" s="6">
        <v>772</v>
      </c>
      <c r="B774" s="7">
        <v>141.29611206054688</v>
      </c>
      <c r="C774" s="3">
        <f t="shared" si="8"/>
        <v>0.31406113657574253</v>
      </c>
    </row>
    <row r="775" spans="1:3" ht="13.2" x14ac:dyDescent="0.25">
      <c r="A775" s="6">
        <v>773</v>
      </c>
      <c r="B775" s="7">
        <v>140.95234680175781</v>
      </c>
      <c r="C775" s="3">
        <f t="shared" si="8"/>
        <v>0.29503526686214404</v>
      </c>
    </row>
    <row r="776" spans="1:3" ht="13.2" x14ac:dyDescent="0.25">
      <c r="A776" s="6">
        <v>774</v>
      </c>
      <c r="B776" s="7">
        <v>140.47850036621094</v>
      </c>
      <c r="C776" s="3">
        <f t="shared" si="8"/>
        <v>0.31249285802312016</v>
      </c>
    </row>
    <row r="777" spans="1:3" ht="13.2" x14ac:dyDescent="0.25">
      <c r="A777" s="6">
        <v>775</v>
      </c>
      <c r="B777" s="7">
        <v>139.42863464355469</v>
      </c>
      <c r="C777" s="3">
        <f t="shared" si="8"/>
        <v>0.29882123266976879</v>
      </c>
    </row>
    <row r="778" spans="1:3" ht="13.2" x14ac:dyDescent="0.25">
      <c r="A778" s="6">
        <v>776</v>
      </c>
      <c r="B778" s="7">
        <v>140.80368041992188</v>
      </c>
      <c r="C778" s="3">
        <f t="shared" si="8"/>
        <v>0.31870287596300267</v>
      </c>
    </row>
    <row r="779" spans="1:3" ht="13.2" x14ac:dyDescent="0.25">
      <c r="A779" s="6">
        <v>777</v>
      </c>
      <c r="B779" s="7">
        <v>140.72006225585938</v>
      </c>
      <c r="C779" s="3">
        <f t="shared" si="8"/>
        <v>0.32720394973261485</v>
      </c>
    </row>
    <row r="780" spans="1:3" ht="13.2" x14ac:dyDescent="0.25">
      <c r="A780" s="6">
        <v>778</v>
      </c>
      <c r="B780" s="7">
        <v>140.51567077636719</v>
      </c>
      <c r="C780" s="3">
        <f t="shared" si="8"/>
        <v>0.29609770649565781</v>
      </c>
    </row>
    <row r="781" spans="1:3" ht="13.2" x14ac:dyDescent="0.25">
      <c r="A781" s="6">
        <v>779</v>
      </c>
      <c r="B781" s="7">
        <v>140.76651000976563</v>
      </c>
      <c r="C781" s="3">
        <f t="shared" si="8"/>
        <v>0.30837090231360842</v>
      </c>
    </row>
    <row r="782" spans="1:3" ht="13.2" x14ac:dyDescent="0.25">
      <c r="A782" s="6">
        <v>780</v>
      </c>
      <c r="B782" s="7">
        <v>138.76898193359375</v>
      </c>
      <c r="C782" s="3">
        <f t="shared" si="8"/>
        <v>0.29487000863789742</v>
      </c>
    </row>
    <row r="783" spans="1:3" ht="13.2" x14ac:dyDescent="0.25">
      <c r="A783" s="6">
        <v>781</v>
      </c>
      <c r="B783" s="7">
        <v>136.60420227050781</v>
      </c>
      <c r="C783" s="3">
        <f t="shared" si="8"/>
        <v>0.26422092281764986</v>
      </c>
    </row>
    <row r="784" spans="1:3" ht="13.2" x14ac:dyDescent="0.25">
      <c r="A784" s="6">
        <v>782</v>
      </c>
      <c r="B784" s="7">
        <v>134.59736633300781</v>
      </c>
      <c r="C784" s="3">
        <f t="shared" si="8"/>
        <v>0.22502846641352023</v>
      </c>
    </row>
    <row r="785" spans="1:3" ht="13.2" x14ac:dyDescent="0.25">
      <c r="A785" s="6">
        <v>783</v>
      </c>
      <c r="B785" s="7">
        <v>133.52891540527344</v>
      </c>
      <c r="C785" s="3">
        <f t="shared" si="8"/>
        <v>0.2512897782026417</v>
      </c>
    </row>
    <row r="786" spans="1:3" ht="13.2" x14ac:dyDescent="0.25">
      <c r="A786" s="6">
        <v>784</v>
      </c>
      <c r="B786" s="7">
        <v>132.46046447753906</v>
      </c>
      <c r="C786" s="3">
        <f t="shared" si="8"/>
        <v>0.25620142092849019</v>
      </c>
    </row>
    <row r="787" spans="1:3" ht="13.2" x14ac:dyDescent="0.25">
      <c r="A787" s="6">
        <v>785</v>
      </c>
      <c r="B787" s="7">
        <v>132.80421447753906</v>
      </c>
      <c r="C787" s="3">
        <f t="shared" si="8"/>
        <v>0.27199823575015969</v>
      </c>
    </row>
    <row r="788" spans="1:3" ht="13.2" x14ac:dyDescent="0.25">
      <c r="A788" s="6">
        <v>786</v>
      </c>
      <c r="B788" s="7">
        <v>133.90054321289063</v>
      </c>
      <c r="C788" s="3">
        <f t="shared" si="8"/>
        <v>0.25380667531846007</v>
      </c>
    </row>
    <row r="789" spans="1:3" ht="13.2" x14ac:dyDescent="0.25">
      <c r="A789" s="6">
        <v>787</v>
      </c>
      <c r="B789" s="7">
        <v>130.5465087890625</v>
      </c>
      <c r="C789" s="3">
        <f t="shared" si="8"/>
        <v>0.24005260454698107</v>
      </c>
    </row>
    <row r="790" spans="1:3" ht="13.2" x14ac:dyDescent="0.25">
      <c r="A790" s="6">
        <v>788</v>
      </c>
      <c r="B790" s="7">
        <v>132.60911560058594</v>
      </c>
      <c r="C790" s="3">
        <f t="shared" si="8"/>
        <v>0.23740218978278327</v>
      </c>
    </row>
    <row r="791" spans="1:3" ht="13.2" x14ac:dyDescent="0.25">
      <c r="A791" s="6">
        <v>789</v>
      </c>
      <c r="B791" s="7">
        <v>130.44430541992188</v>
      </c>
      <c r="C791" s="3">
        <f t="shared" si="8"/>
        <v>0.21781955696788763</v>
      </c>
    </row>
    <row r="792" spans="1:3" ht="13.2" x14ac:dyDescent="0.25">
      <c r="A792" s="6">
        <v>790</v>
      </c>
      <c r="B792" s="7">
        <v>130.03553771972656</v>
      </c>
      <c r="C792" s="3">
        <f t="shared" si="8"/>
        <v>0.22373010205323729</v>
      </c>
    </row>
    <row r="793" spans="1:3" ht="13.2" x14ac:dyDescent="0.25">
      <c r="A793" s="6">
        <v>791</v>
      </c>
      <c r="B793" s="7">
        <v>128.36317443847656</v>
      </c>
      <c r="C793" s="3">
        <f t="shared" si="8"/>
        <v>0.22797684005261631</v>
      </c>
    </row>
    <row r="794" spans="1:3" ht="13.2" x14ac:dyDescent="0.25">
      <c r="A794" s="6">
        <v>792</v>
      </c>
      <c r="B794" s="7">
        <v>128.35386657714844</v>
      </c>
      <c r="C794" s="3">
        <f t="shared" si="8"/>
        <v>0.22488543541850431</v>
      </c>
    </row>
    <row r="795" spans="1:3" ht="13.2" x14ac:dyDescent="0.25">
      <c r="A795" s="6">
        <v>793</v>
      </c>
      <c r="B795" s="7">
        <v>130.00764465332031</v>
      </c>
      <c r="C795" s="3">
        <f t="shared" si="8"/>
        <v>0.23839722598209084</v>
      </c>
    </row>
    <row r="796" spans="1:3" ht="13.2" x14ac:dyDescent="0.25">
      <c r="A796" s="6">
        <v>794</v>
      </c>
      <c r="B796" s="7">
        <v>133.13870239257813</v>
      </c>
      <c r="C796" s="3">
        <f t="shared" si="8"/>
        <v>0.26833568541963682</v>
      </c>
    </row>
    <row r="797" spans="1:3" ht="13.2" x14ac:dyDescent="0.25">
      <c r="A797" s="6">
        <v>795</v>
      </c>
      <c r="B797" s="7">
        <v>131.31768798828125</v>
      </c>
      <c r="C797" s="3">
        <f t="shared" si="8"/>
        <v>0.27203213599108916</v>
      </c>
    </row>
    <row r="798" spans="1:3" ht="13.2" x14ac:dyDescent="0.25">
      <c r="A798" s="6">
        <v>796</v>
      </c>
      <c r="B798" s="7">
        <v>130.12843322753906</v>
      </c>
      <c r="C798" s="3">
        <f t="shared" si="8"/>
        <v>0.23587190691406104</v>
      </c>
    </row>
    <row r="799" spans="1:3" ht="13.2" x14ac:dyDescent="0.25">
      <c r="A799" s="6">
        <v>797</v>
      </c>
      <c r="B799" s="7">
        <v>130.5465087890625</v>
      </c>
      <c r="C799" s="3">
        <f t="shared" si="8"/>
        <v>0.24022952422720828</v>
      </c>
    </row>
    <row r="800" spans="1:3" ht="13.2" x14ac:dyDescent="0.25">
      <c r="A800" s="6">
        <v>798</v>
      </c>
      <c r="B800" s="7">
        <v>129.75679016113281</v>
      </c>
      <c r="C800" s="3">
        <f t="shared" si="8"/>
        <v>0.21687546015036235</v>
      </c>
    </row>
    <row r="801" spans="1:3" ht="13.2" x14ac:dyDescent="0.25">
      <c r="A801" s="6">
        <v>799</v>
      </c>
      <c r="B801" s="7">
        <v>129.65460205078125</v>
      </c>
      <c r="C801" s="3">
        <f t="shared" si="8"/>
        <v>0.2442311106432489</v>
      </c>
    </row>
    <row r="802" spans="1:3" ht="13.2" x14ac:dyDescent="0.25">
      <c r="A802" s="6">
        <v>800</v>
      </c>
      <c r="B802" s="7">
        <v>131.73574829101563</v>
      </c>
      <c r="C802" s="3">
        <f t="shared" si="8"/>
        <v>0.254889835909692</v>
      </c>
    </row>
    <row r="803" spans="1:3" ht="13.2" x14ac:dyDescent="0.25">
      <c r="A803" s="6">
        <v>801</v>
      </c>
      <c r="B803" s="7">
        <v>127.96366119384766</v>
      </c>
      <c r="C803" s="3">
        <f t="shared" si="8"/>
        <v>0.2291367785480514</v>
      </c>
    </row>
    <row r="804" spans="1:3" ht="13.2" x14ac:dyDescent="0.25">
      <c r="A804" s="6">
        <v>802</v>
      </c>
      <c r="B804" s="7">
        <v>129.1064453125</v>
      </c>
      <c r="C804" s="3">
        <f t="shared" si="8"/>
        <v>0.21272116048305836</v>
      </c>
    </row>
    <row r="805" spans="1:3" ht="13.2" x14ac:dyDescent="0.25">
      <c r="A805" s="6">
        <v>803</v>
      </c>
      <c r="B805" s="7">
        <v>133.18515014648438</v>
      </c>
      <c r="C805" s="3">
        <f t="shared" si="8"/>
        <v>0.21135734491117067</v>
      </c>
    </row>
    <row r="806" spans="1:3" ht="13.2" x14ac:dyDescent="0.25">
      <c r="A806" s="6">
        <v>804</v>
      </c>
      <c r="B806" s="7">
        <v>131.30836486816406</v>
      </c>
      <c r="C806" s="3">
        <f t="shared" si="8"/>
        <v>0.15289701507049888</v>
      </c>
    </row>
    <row r="807" spans="1:3" ht="13.2" x14ac:dyDescent="0.25">
      <c r="A807" s="6">
        <v>805</v>
      </c>
      <c r="B807" s="7">
        <v>131.43844604492188</v>
      </c>
      <c r="C807" s="3">
        <f t="shared" si="8"/>
        <v>0.15889942707026741</v>
      </c>
    </row>
    <row r="808" spans="1:3" ht="13.2" x14ac:dyDescent="0.25">
      <c r="A808" s="6">
        <v>806</v>
      </c>
      <c r="B808" s="7">
        <v>131.08540344238281</v>
      </c>
      <c r="C808" s="3">
        <f t="shared" si="8"/>
        <v>0.15596673704476613</v>
      </c>
    </row>
    <row r="809" spans="1:3" ht="13.2" x14ac:dyDescent="0.25">
      <c r="A809" s="6">
        <v>807</v>
      </c>
      <c r="B809" s="7">
        <v>131.1968994140625</v>
      </c>
      <c r="C809" s="3">
        <f t="shared" si="8"/>
        <v>0.15124183594572976</v>
      </c>
    </row>
    <row r="810" spans="1:3" ht="13.2" x14ac:dyDescent="0.25">
      <c r="A810" s="6">
        <v>808</v>
      </c>
      <c r="B810" s="7">
        <v>130.5372314453125</v>
      </c>
      <c r="C810" s="3">
        <f t="shared" si="8"/>
        <v>0.15104707339705264</v>
      </c>
    </row>
    <row r="811" spans="1:3" ht="13.2" x14ac:dyDescent="0.25">
      <c r="A811" s="6">
        <v>809</v>
      </c>
      <c r="B811" s="7">
        <v>130.07267761230469</v>
      </c>
      <c r="C811" s="3">
        <f t="shared" si="8"/>
        <v>0.15430636194018479</v>
      </c>
    </row>
    <row r="812" spans="1:3" ht="13.2" x14ac:dyDescent="0.25">
      <c r="A812" s="6">
        <v>810</v>
      </c>
      <c r="B812" s="7">
        <v>128.95777893066406</v>
      </c>
      <c r="C812" s="3">
        <f t="shared" si="8"/>
        <v>0.15478794864981441</v>
      </c>
    </row>
    <row r="813" spans="1:3" ht="13.2" x14ac:dyDescent="0.25">
      <c r="A813" s="6">
        <v>811</v>
      </c>
      <c r="B813" s="7">
        <v>130.07267761230469</v>
      </c>
      <c r="C813" s="3">
        <f t="shared" si="8"/>
        <v>0.15945529495355179</v>
      </c>
    </row>
    <row r="814" spans="1:3" ht="13.2" x14ac:dyDescent="0.25">
      <c r="A814" s="6">
        <v>812</v>
      </c>
      <c r="B814" s="7">
        <v>128.74411010742188</v>
      </c>
      <c r="C814" s="3">
        <f t="shared" si="8"/>
        <v>0.15609564103047366</v>
      </c>
    </row>
    <row r="815" spans="1:3" ht="13.2" x14ac:dyDescent="0.25">
      <c r="A815" s="6">
        <v>813</v>
      </c>
      <c r="B815" s="7">
        <v>130.37928771972656</v>
      </c>
      <c r="C815" s="3">
        <f t="shared" si="8"/>
        <v>0.1632036672863188</v>
      </c>
    </row>
    <row r="816" spans="1:3" ht="13.2" x14ac:dyDescent="0.25">
      <c r="A816" s="6">
        <v>814</v>
      </c>
      <c r="B816" s="7">
        <v>130.76950073242188</v>
      </c>
      <c r="C816" s="3">
        <f t="shared" si="8"/>
        <v>0.17534193036620122</v>
      </c>
    </row>
    <row r="817" spans="1:3" ht="13.2" x14ac:dyDescent="0.25">
      <c r="A817" s="6">
        <v>815</v>
      </c>
      <c r="B817" s="7">
        <v>130.39788818359375</v>
      </c>
      <c r="C817" s="3">
        <f t="shared" si="8"/>
        <v>0.14569724838856205</v>
      </c>
    </row>
    <row r="818" spans="1:3" ht="13.2" x14ac:dyDescent="0.25">
      <c r="A818" s="6">
        <v>816</v>
      </c>
      <c r="B818" s="7">
        <v>131.02964782714844</v>
      </c>
      <c r="C818" s="3">
        <f t="shared" si="8"/>
        <v>0.15198250429704513</v>
      </c>
    </row>
    <row r="819" spans="1:3" ht="13.2" x14ac:dyDescent="0.25">
      <c r="A819" s="6">
        <v>817</v>
      </c>
      <c r="B819" s="7">
        <v>132.23745727539063</v>
      </c>
      <c r="C819" s="3">
        <f t="shared" si="8"/>
        <v>0.15271653491971196</v>
      </c>
    </row>
    <row r="820" spans="1:3" ht="13.2" x14ac:dyDescent="0.25">
      <c r="A820" s="6">
        <v>818</v>
      </c>
      <c r="B820" s="7">
        <v>133.73329162597656</v>
      </c>
      <c r="C820" s="3">
        <f t="shared" si="8"/>
        <v>0.15773973457143461</v>
      </c>
    </row>
    <row r="821" spans="1:3" ht="13.2" x14ac:dyDescent="0.25">
      <c r="A821" s="6">
        <v>819</v>
      </c>
      <c r="B821" s="7">
        <v>134.69027709960938</v>
      </c>
      <c r="C821" s="3">
        <f t="shared" si="8"/>
        <v>0.16074158212732048</v>
      </c>
    </row>
    <row r="822" spans="1:3" ht="13.2" x14ac:dyDescent="0.25">
      <c r="A822" s="6">
        <v>820</v>
      </c>
      <c r="B822" s="7">
        <v>137.35676574707031</v>
      </c>
      <c r="C822" s="3">
        <f t="shared" si="8"/>
        <v>0.1789992632097383</v>
      </c>
    </row>
    <row r="823" spans="1:3" ht="13.2" x14ac:dyDescent="0.25">
      <c r="A823" s="6">
        <v>821</v>
      </c>
      <c r="B823" s="7">
        <v>135.19197082519531</v>
      </c>
      <c r="C823" s="3">
        <f t="shared" si="8"/>
        <v>0.16366736556186209</v>
      </c>
    </row>
    <row r="824" spans="1:3" ht="13.2" x14ac:dyDescent="0.25">
      <c r="A824" s="6">
        <v>822</v>
      </c>
      <c r="B824" s="7">
        <v>135.12693786621094</v>
      </c>
      <c r="C824" s="3">
        <f t="shared" si="8"/>
        <v>0.17657623086758753</v>
      </c>
    </row>
    <row r="825" spans="1:3" ht="13.2" x14ac:dyDescent="0.25">
      <c r="A825" s="6">
        <v>823</v>
      </c>
      <c r="B825" s="7">
        <v>135.7215576171875</v>
      </c>
      <c r="C825" s="3">
        <f t="shared" si="8"/>
        <v>0.17225899208834758</v>
      </c>
    </row>
    <row r="826" spans="1:3" ht="13.2" x14ac:dyDescent="0.25">
      <c r="A826" s="6">
        <v>824</v>
      </c>
      <c r="B826" s="7">
        <v>134.40226745605469</v>
      </c>
      <c r="C826" s="3">
        <f t="shared" si="8"/>
        <v>0.17264412700527962</v>
      </c>
    </row>
    <row r="827" spans="1:3" ht="13.2" x14ac:dyDescent="0.25">
      <c r="A827" s="6">
        <v>825</v>
      </c>
      <c r="B827" s="7">
        <v>135.647216796875</v>
      </c>
      <c r="C827" s="3">
        <f t="shared" si="8"/>
        <v>0.17028033810155224</v>
      </c>
    </row>
    <row r="828" spans="1:3" ht="13.2" x14ac:dyDescent="0.25">
      <c r="A828" s="6">
        <v>826</v>
      </c>
      <c r="B828" s="7">
        <v>135.2198486328125</v>
      </c>
      <c r="C828" s="3">
        <f t="shared" si="8"/>
        <v>0.17750423265719237</v>
      </c>
    </row>
    <row r="829" spans="1:3" ht="13.2" x14ac:dyDescent="0.25">
      <c r="A829" s="6">
        <v>827</v>
      </c>
      <c r="B829" s="7">
        <v>137.18023681640625</v>
      </c>
      <c r="C829" s="3">
        <f t="shared" si="8"/>
        <v>0.18438197586176261</v>
      </c>
    </row>
    <row r="830" spans="1:3" ht="13.2" x14ac:dyDescent="0.25">
      <c r="A830" s="6">
        <v>828</v>
      </c>
      <c r="B830" s="7">
        <v>138.72251892089844</v>
      </c>
      <c r="C830" s="3">
        <f t="shared" si="8"/>
        <v>0.20203508767687384</v>
      </c>
    </row>
    <row r="831" spans="1:3" ht="13.2" x14ac:dyDescent="0.25">
      <c r="A831" s="6">
        <v>829</v>
      </c>
      <c r="B831" s="7">
        <v>134.43940734863281</v>
      </c>
      <c r="C831" s="3">
        <f t="shared" ref="C831:C894" si="9">LN(B831/B579)</f>
        <v>0.18317775393319063</v>
      </c>
    </row>
    <row r="832" spans="1:3" ht="13.2" x14ac:dyDescent="0.25">
      <c r="A832" s="6">
        <v>830</v>
      </c>
      <c r="B832" s="7">
        <v>134.45799255371094</v>
      </c>
      <c r="C832" s="3">
        <f t="shared" si="9"/>
        <v>0.18542893297137325</v>
      </c>
    </row>
    <row r="833" spans="1:3" ht="13.2" x14ac:dyDescent="0.25">
      <c r="A833" s="6">
        <v>831</v>
      </c>
      <c r="B833" s="7">
        <v>131.10397338867188</v>
      </c>
      <c r="C833" s="3">
        <f t="shared" si="9"/>
        <v>0.16555156892552511</v>
      </c>
    </row>
    <row r="834" spans="1:3" ht="13.2" x14ac:dyDescent="0.25">
      <c r="A834" s="6">
        <v>832</v>
      </c>
      <c r="B834" s="7">
        <v>134.78318786621094</v>
      </c>
      <c r="C834" s="3">
        <f t="shared" si="9"/>
        <v>0.2057387844267731</v>
      </c>
    </row>
    <row r="835" spans="1:3" ht="13.2" x14ac:dyDescent="0.25">
      <c r="A835" s="6">
        <v>833</v>
      </c>
      <c r="B835" s="7">
        <v>136.02815246582031</v>
      </c>
      <c r="C835" s="3">
        <f t="shared" si="9"/>
        <v>0.16951685075244383</v>
      </c>
    </row>
    <row r="836" spans="1:3" ht="13.2" x14ac:dyDescent="0.25">
      <c r="A836" s="6">
        <v>834</v>
      </c>
      <c r="B836" s="7">
        <v>134.50445556640625</v>
      </c>
      <c r="C836" s="3">
        <f t="shared" si="9"/>
        <v>0.17412761218522269</v>
      </c>
    </row>
    <row r="837" spans="1:3" ht="13.2" x14ac:dyDescent="0.25">
      <c r="A837" s="6">
        <v>835</v>
      </c>
      <c r="B837" s="7">
        <v>133.08294677734375</v>
      </c>
      <c r="C837" s="3">
        <f t="shared" si="9"/>
        <v>0.15589281180761458</v>
      </c>
    </row>
    <row r="838" spans="1:3" ht="13.2" x14ac:dyDescent="0.25">
      <c r="A838" s="6">
        <v>836</v>
      </c>
      <c r="B838" s="7">
        <v>132.33036804199219</v>
      </c>
      <c r="C838" s="3">
        <f t="shared" si="9"/>
        <v>0.1534990159808105</v>
      </c>
    </row>
    <row r="839" spans="1:3" ht="13.2" x14ac:dyDescent="0.25">
      <c r="A839" s="6">
        <v>837</v>
      </c>
      <c r="B839" s="7">
        <v>127.60131072998047</v>
      </c>
      <c r="C839" s="3">
        <f t="shared" si="9"/>
        <v>9.1107914220208641E-2</v>
      </c>
    </row>
    <row r="840" spans="1:3" ht="13.2" x14ac:dyDescent="0.25">
      <c r="A840" s="6">
        <v>838</v>
      </c>
      <c r="B840" s="7">
        <v>127.61989593505859</v>
      </c>
      <c r="C840" s="3">
        <f t="shared" si="9"/>
        <v>0.10539469171664359</v>
      </c>
    </row>
    <row r="841" spans="1:3" ht="13.2" x14ac:dyDescent="0.25">
      <c r="A841" s="6">
        <v>839</v>
      </c>
      <c r="B841" s="7">
        <v>128.23309326171875</v>
      </c>
      <c r="C841" s="3">
        <f t="shared" si="9"/>
        <v>0.10923913468454041</v>
      </c>
    </row>
    <row r="842" spans="1:3" ht="13.2" x14ac:dyDescent="0.25">
      <c r="A842" s="6">
        <v>840</v>
      </c>
      <c r="B842" s="7">
        <v>126.19837951660156</v>
      </c>
      <c r="C842" s="3">
        <f t="shared" si="9"/>
        <v>0.11473703863239743</v>
      </c>
    </row>
    <row r="843" spans="1:3" ht="13.2" x14ac:dyDescent="0.25">
      <c r="A843" s="6">
        <v>841</v>
      </c>
      <c r="B843" s="7">
        <v>126.81158447265625</v>
      </c>
      <c r="C843" s="3">
        <f t="shared" si="9"/>
        <v>0.108500693844906</v>
      </c>
    </row>
    <row r="844" spans="1:3" ht="13.2" x14ac:dyDescent="0.25">
      <c r="A844" s="6">
        <v>842</v>
      </c>
      <c r="B844" s="7">
        <v>129.38516235351563</v>
      </c>
      <c r="C844" s="3">
        <f t="shared" si="9"/>
        <v>0.12827265876600835</v>
      </c>
    </row>
    <row r="845" spans="1:3" ht="13.2" x14ac:dyDescent="0.25">
      <c r="A845" s="6">
        <v>843</v>
      </c>
      <c r="B845" s="7">
        <v>129.05998229980469</v>
      </c>
      <c r="C845" s="3">
        <f t="shared" si="9"/>
        <v>0.15500445942081209</v>
      </c>
    </row>
    <row r="846" spans="1:3" ht="13.2" x14ac:dyDescent="0.25">
      <c r="A846" s="6">
        <v>844</v>
      </c>
      <c r="B846" s="7">
        <v>126.66292572021484</v>
      </c>
      <c r="C846" s="3">
        <f t="shared" si="9"/>
        <v>0.14111918756614983</v>
      </c>
    </row>
    <row r="847" spans="1:3" ht="13.2" x14ac:dyDescent="0.25">
      <c r="A847" s="6">
        <v>845</v>
      </c>
      <c r="B847" s="7">
        <v>125.97539520263672</v>
      </c>
      <c r="C847" s="3">
        <f t="shared" si="9"/>
        <v>0.16979445518044256</v>
      </c>
    </row>
    <row r="848" spans="1:3" ht="13.2" x14ac:dyDescent="0.25">
      <c r="A848" s="6">
        <v>846</v>
      </c>
      <c r="B848" s="7">
        <v>126.30986022949219</v>
      </c>
      <c r="C848" s="3">
        <f t="shared" si="9"/>
        <v>0.18803957627888923</v>
      </c>
    </row>
    <row r="849" spans="1:3" ht="13.2" x14ac:dyDescent="0.25">
      <c r="A849" s="6">
        <v>847</v>
      </c>
      <c r="B849" s="7">
        <v>125.33432006835938</v>
      </c>
      <c r="C849" s="3">
        <f t="shared" si="9"/>
        <v>0.17241603140452916</v>
      </c>
    </row>
    <row r="850" spans="1:3" ht="13.2" x14ac:dyDescent="0.25">
      <c r="A850" s="6">
        <v>848</v>
      </c>
      <c r="B850" s="7">
        <v>124.37736511230469</v>
      </c>
      <c r="C850" s="3">
        <f t="shared" si="9"/>
        <v>0.16552708700972518</v>
      </c>
    </row>
    <row r="851" spans="1:3" ht="13.2" x14ac:dyDescent="0.25">
      <c r="A851" s="6">
        <v>849</v>
      </c>
      <c r="B851" s="7">
        <v>127.87075042724609</v>
      </c>
      <c r="C851" s="3">
        <f t="shared" si="9"/>
        <v>0.18199604232912228</v>
      </c>
    </row>
    <row r="852" spans="1:3" ht="13.2" x14ac:dyDescent="0.25">
      <c r="A852" s="6">
        <v>850</v>
      </c>
      <c r="B852" s="7">
        <v>126.46781921386719</v>
      </c>
      <c r="C852" s="3">
        <f t="shared" si="9"/>
        <v>0.1704525204425536</v>
      </c>
    </row>
    <row r="853" spans="1:3" ht="13.2" x14ac:dyDescent="0.25">
      <c r="A853" s="6">
        <v>851</v>
      </c>
      <c r="B853" s="7">
        <v>127.62915802001953</v>
      </c>
      <c r="C853" s="3">
        <f t="shared" si="9"/>
        <v>0.14904918297993855</v>
      </c>
    </row>
    <row r="854" spans="1:3" ht="13.2" x14ac:dyDescent="0.25">
      <c r="A854" s="6">
        <v>852</v>
      </c>
      <c r="B854" s="7">
        <v>127.22039794921875</v>
      </c>
      <c r="C854" s="3">
        <f t="shared" si="9"/>
        <v>0.13966214244941536</v>
      </c>
    </row>
    <row r="855" spans="1:3" ht="13.2" x14ac:dyDescent="0.25">
      <c r="A855" s="6">
        <v>853</v>
      </c>
      <c r="B855" s="7">
        <v>127.07171630859375</v>
      </c>
      <c r="C855" s="3">
        <f t="shared" si="9"/>
        <v>0.12495026753392367</v>
      </c>
    </row>
    <row r="856" spans="1:3" ht="13.2" x14ac:dyDescent="0.25">
      <c r="A856" s="6">
        <v>854</v>
      </c>
      <c r="B856" s="7">
        <v>128.07514953613281</v>
      </c>
      <c r="C856" s="3">
        <f t="shared" si="9"/>
        <v>0.14332381028104135</v>
      </c>
    </row>
    <row r="857" spans="1:3" ht="13.2" x14ac:dyDescent="0.25">
      <c r="A857" s="6">
        <v>855</v>
      </c>
      <c r="B857" s="7">
        <v>126.41207122802734</v>
      </c>
      <c r="C857" s="3">
        <f t="shared" si="9"/>
        <v>0.14302730344196055</v>
      </c>
    </row>
    <row r="858" spans="1:3" ht="13.2" x14ac:dyDescent="0.25">
      <c r="A858" s="6">
        <v>856</v>
      </c>
      <c r="B858" s="7">
        <v>125.80815887451172</v>
      </c>
      <c r="C858" s="3">
        <f t="shared" si="9"/>
        <v>0.14522986596189486</v>
      </c>
    </row>
    <row r="859" spans="1:3" ht="13.2" x14ac:dyDescent="0.25">
      <c r="A859" s="6">
        <v>857</v>
      </c>
      <c r="B859" s="7">
        <v>127.65704345703125</v>
      </c>
      <c r="C859" s="3">
        <f t="shared" si="9"/>
        <v>0.1633330038860642</v>
      </c>
    </row>
    <row r="860" spans="1:3" ht="13.2" x14ac:dyDescent="0.25">
      <c r="A860" s="6">
        <v>858</v>
      </c>
      <c r="B860" s="7">
        <v>126.61647033691406</v>
      </c>
      <c r="C860" s="3">
        <f t="shared" si="9"/>
        <v>0.17077551092094934</v>
      </c>
    </row>
    <row r="861" spans="1:3" ht="13.2" x14ac:dyDescent="0.25">
      <c r="A861" s="6">
        <v>859</v>
      </c>
      <c r="B861" s="7">
        <v>126.50498199462891</v>
      </c>
      <c r="C861" s="3">
        <f t="shared" si="9"/>
        <v>0.14933439696018205</v>
      </c>
    </row>
    <row r="862" spans="1:3" ht="13.2" x14ac:dyDescent="0.25">
      <c r="A862" s="6">
        <v>860</v>
      </c>
      <c r="B862" s="7">
        <v>123.25316619873047</v>
      </c>
      <c r="C862" s="3">
        <f t="shared" si="9"/>
        <v>0.13706573857506804</v>
      </c>
    </row>
    <row r="863" spans="1:3" ht="13.2" x14ac:dyDescent="0.25">
      <c r="A863" s="6">
        <v>861</v>
      </c>
      <c r="B863" s="7">
        <v>124.51673126220703</v>
      </c>
      <c r="C863" s="3">
        <f t="shared" si="9"/>
        <v>0.1328258489139455</v>
      </c>
    </row>
    <row r="864" spans="1:3" ht="13.2" x14ac:dyDescent="0.25">
      <c r="A864" s="6">
        <v>862</v>
      </c>
      <c r="B864" s="7">
        <v>125.39008331298828</v>
      </c>
      <c r="C864" s="3">
        <f t="shared" si="9"/>
        <v>0.13424648464940739</v>
      </c>
    </row>
    <row r="865" spans="1:3" ht="13.2" x14ac:dyDescent="0.25">
      <c r="A865" s="6">
        <v>863</v>
      </c>
      <c r="B865" s="7">
        <v>123.04875946044922</v>
      </c>
      <c r="C865" s="3">
        <f t="shared" si="9"/>
        <v>0.10895351358815049</v>
      </c>
    </row>
    <row r="866" spans="1:3" ht="13.2" x14ac:dyDescent="0.25">
      <c r="A866" s="6">
        <v>864</v>
      </c>
      <c r="B866" s="7">
        <v>120.35440063476563</v>
      </c>
      <c r="C866" s="3">
        <f t="shared" si="9"/>
        <v>0.10526485606156002</v>
      </c>
    </row>
    <row r="867" spans="1:3" ht="13.2" x14ac:dyDescent="0.25">
      <c r="A867" s="6">
        <v>865</v>
      </c>
      <c r="B867" s="7">
        <v>117.74365234375</v>
      </c>
      <c r="C867" s="3">
        <f t="shared" si="9"/>
        <v>6.859544152261926E-2</v>
      </c>
    </row>
    <row r="868" spans="1:3" ht="13.2" x14ac:dyDescent="0.25">
      <c r="A868" s="6">
        <v>866</v>
      </c>
      <c r="B868" s="7">
        <v>120.53092193603516</v>
      </c>
      <c r="C868" s="3">
        <f t="shared" si="9"/>
        <v>9.3729227504897372E-2</v>
      </c>
    </row>
    <row r="869" spans="1:3" ht="13.2" x14ac:dyDescent="0.25">
      <c r="A869" s="6">
        <v>867</v>
      </c>
      <c r="B869" s="7">
        <v>123.65267181396484</v>
      </c>
      <c r="C869" s="3">
        <f t="shared" si="9"/>
        <v>0.10271178871006754</v>
      </c>
    </row>
    <row r="870" spans="1:3" ht="13.2" x14ac:dyDescent="0.25">
      <c r="A870" s="6">
        <v>868</v>
      </c>
      <c r="B870" s="7">
        <v>125.33432006835938</v>
      </c>
      <c r="C870" s="3">
        <f t="shared" si="9"/>
        <v>0.10214891288984261</v>
      </c>
    </row>
    <row r="871" spans="1:3" ht="13.2" x14ac:dyDescent="0.25">
      <c r="A871" s="6">
        <v>869</v>
      </c>
      <c r="B871" s="7">
        <v>128.46534729003906</v>
      </c>
      <c r="C871" s="3">
        <f t="shared" si="9"/>
        <v>0.12931580029478729</v>
      </c>
    </row>
    <row r="872" spans="1:3" ht="13.2" x14ac:dyDescent="0.25">
      <c r="A872" s="6">
        <v>870</v>
      </c>
      <c r="B872" s="7">
        <v>126.33773040771484</v>
      </c>
      <c r="C872" s="3">
        <f t="shared" si="9"/>
        <v>0.11850937757554082</v>
      </c>
    </row>
    <row r="873" spans="1:3" ht="13.2" x14ac:dyDescent="0.25">
      <c r="A873" s="6">
        <v>871</v>
      </c>
      <c r="B873" s="7">
        <v>129.951904296875</v>
      </c>
      <c r="C873" s="3">
        <f t="shared" si="9"/>
        <v>0.13760612895509292</v>
      </c>
    </row>
    <row r="874" spans="1:3" ht="13.2" x14ac:dyDescent="0.25">
      <c r="A874" s="6">
        <v>872</v>
      </c>
      <c r="B874" s="7">
        <v>130.03727722167969</v>
      </c>
      <c r="C874" s="3">
        <f t="shared" si="9"/>
        <v>0.117849959307205</v>
      </c>
    </row>
    <row r="875" spans="1:3" ht="13.2" x14ac:dyDescent="0.25">
      <c r="A875" s="6">
        <v>873</v>
      </c>
      <c r="B875" s="7">
        <v>129.80007934570313</v>
      </c>
      <c r="C875" s="3">
        <f t="shared" si="9"/>
        <v>0.14110220950005398</v>
      </c>
    </row>
    <row r="876" spans="1:3" ht="13.2" x14ac:dyDescent="0.25">
      <c r="A876" s="6">
        <v>874</v>
      </c>
      <c r="B876" s="7">
        <v>134.87599182128906</v>
      </c>
      <c r="C876" s="3">
        <f t="shared" si="9"/>
        <v>0.18439238575723763</v>
      </c>
    </row>
    <row r="877" spans="1:3" ht="13.2" x14ac:dyDescent="0.25">
      <c r="A877" s="6">
        <v>875</v>
      </c>
      <c r="B877" s="7">
        <v>136.6217041015625</v>
      </c>
      <c r="C877" s="3">
        <f t="shared" si="9"/>
        <v>0.17126240772153661</v>
      </c>
    </row>
    <row r="878" spans="1:3" ht="13.2" x14ac:dyDescent="0.25">
      <c r="A878" s="6">
        <v>876</v>
      </c>
      <c r="B878" s="7">
        <v>137.23838806152344</v>
      </c>
      <c r="C878" s="3">
        <f t="shared" si="9"/>
        <v>0.16126793773529732</v>
      </c>
    </row>
    <row r="879" spans="1:3" ht="13.2" x14ac:dyDescent="0.25">
      <c r="A879" s="6">
        <v>877</v>
      </c>
      <c r="B879" s="7">
        <v>138.07330322265625</v>
      </c>
      <c r="C879" s="3">
        <f t="shared" si="9"/>
        <v>0.17099668984049882</v>
      </c>
    </row>
    <row r="880" spans="1:3" ht="13.2" x14ac:dyDescent="0.25">
      <c r="A880" s="6">
        <v>878</v>
      </c>
      <c r="B880" s="7">
        <v>139.5628662109375</v>
      </c>
      <c r="C880" s="3">
        <f t="shared" si="9"/>
        <v>0.17946508074785833</v>
      </c>
    </row>
    <row r="881" spans="1:3" ht="13.2" x14ac:dyDescent="0.25">
      <c r="A881" s="6">
        <v>879</v>
      </c>
      <c r="B881" s="7">
        <v>138.29151916503906</v>
      </c>
      <c r="C881" s="3">
        <f t="shared" si="9"/>
        <v>0.1563101976524483</v>
      </c>
    </row>
    <row r="882" spans="1:3" ht="13.2" x14ac:dyDescent="0.25">
      <c r="A882" s="6">
        <v>880</v>
      </c>
      <c r="B882" s="7">
        <v>138.71847534179688</v>
      </c>
      <c r="C882" s="3">
        <f t="shared" si="9"/>
        <v>0.14975908715788516</v>
      </c>
    </row>
    <row r="883" spans="1:3" ht="13.2" x14ac:dyDescent="0.25">
      <c r="A883" s="6">
        <v>881</v>
      </c>
      <c r="B883" s="7">
        <v>139.98031616210938</v>
      </c>
      <c r="C883" s="3">
        <f t="shared" si="9"/>
        <v>0.15630648330336211</v>
      </c>
    </row>
    <row r="884" spans="1:3" ht="13.2" x14ac:dyDescent="0.25">
      <c r="A884" s="6">
        <v>882</v>
      </c>
      <c r="B884" s="7">
        <v>138.31048583984375</v>
      </c>
      <c r="C884" s="3">
        <f t="shared" si="9"/>
        <v>0.1349379558708661</v>
      </c>
    </row>
    <row r="885" spans="1:3" ht="13.2" x14ac:dyDescent="0.25">
      <c r="A885" s="6">
        <v>883</v>
      </c>
      <c r="B885" s="7">
        <v>139.27822875976563</v>
      </c>
      <c r="C885" s="3">
        <f t="shared" si="9"/>
        <v>0.14371675157965225</v>
      </c>
    </row>
    <row r="886" spans="1:3" ht="13.2" x14ac:dyDescent="0.25">
      <c r="A886" s="6">
        <v>884</v>
      </c>
      <c r="B886" s="7">
        <v>137.91203308105469</v>
      </c>
      <c r="C886" s="3">
        <f t="shared" si="9"/>
        <v>0.12568196838578188</v>
      </c>
    </row>
    <row r="887" spans="1:3" ht="13.2" x14ac:dyDescent="0.25">
      <c r="A887" s="6">
        <v>885</v>
      </c>
      <c r="B887" s="7">
        <v>138.04486083984375</v>
      </c>
      <c r="C887" s="3">
        <f t="shared" si="9"/>
        <v>0.13988169487697866</v>
      </c>
    </row>
    <row r="888" spans="1:3" ht="13.2" x14ac:dyDescent="0.25">
      <c r="A888" s="6">
        <v>886</v>
      </c>
      <c r="B888" s="7">
        <v>139.58184814453125</v>
      </c>
      <c r="C888" s="3">
        <f t="shared" si="9"/>
        <v>0.14959216388922522</v>
      </c>
    </row>
    <row r="889" spans="1:3" ht="13.2" x14ac:dyDescent="0.25">
      <c r="A889" s="6">
        <v>887</v>
      </c>
      <c r="B889" s="7">
        <v>139.27822875976563</v>
      </c>
      <c r="C889" s="3">
        <f t="shared" si="9"/>
        <v>0.14145932529374564</v>
      </c>
    </row>
    <row r="890" spans="1:3" ht="13.2" x14ac:dyDescent="0.25">
      <c r="A890" s="6">
        <v>888</v>
      </c>
      <c r="B890" s="7">
        <v>142.58940124511719</v>
      </c>
      <c r="C890" s="3">
        <f t="shared" si="9"/>
        <v>0.18791485402841365</v>
      </c>
    </row>
    <row r="891" spans="1:3" ht="13.2" x14ac:dyDescent="0.25">
      <c r="A891" s="6">
        <v>889</v>
      </c>
      <c r="B891" s="7">
        <v>139.21182250976563</v>
      </c>
      <c r="C891" s="3">
        <f t="shared" si="9"/>
        <v>0.15567070587444579</v>
      </c>
    </row>
    <row r="892" spans="1:3" ht="13.2" x14ac:dyDescent="0.25">
      <c r="A892" s="6">
        <v>890</v>
      </c>
      <c r="B892" s="7">
        <v>138.367431640625</v>
      </c>
      <c r="C892" s="3">
        <f t="shared" si="9"/>
        <v>0.16294713067955718</v>
      </c>
    </row>
    <row r="893" spans="1:3" ht="13.2" x14ac:dyDescent="0.25">
      <c r="A893" s="6">
        <v>891</v>
      </c>
      <c r="B893" s="7">
        <v>137.56098937988281</v>
      </c>
      <c r="C893" s="3">
        <f t="shared" si="9"/>
        <v>0.13803735047631838</v>
      </c>
    </row>
    <row r="894" spans="1:3" ht="13.2" x14ac:dyDescent="0.25">
      <c r="A894" s="6">
        <v>892</v>
      </c>
      <c r="B894" s="7">
        <v>139.34463500976563</v>
      </c>
      <c r="C894" s="3">
        <f t="shared" si="9"/>
        <v>0.15084445970034002</v>
      </c>
    </row>
    <row r="895" spans="1:3" ht="13.2" x14ac:dyDescent="0.25">
      <c r="A895" s="6">
        <v>893</v>
      </c>
      <c r="B895" s="7">
        <v>139.9044189453125</v>
      </c>
      <c r="C895" s="3">
        <f t="shared" ref="C895:C958" si="10">LN(B895/B643)</f>
        <v>0.14211954838697038</v>
      </c>
    </row>
    <row r="896" spans="1:3" ht="13.2" x14ac:dyDescent="0.25">
      <c r="A896" s="6">
        <v>894</v>
      </c>
      <c r="B896" s="7">
        <v>142.532470703125</v>
      </c>
      <c r="C896" s="3">
        <f t="shared" si="10"/>
        <v>0.16005627752916274</v>
      </c>
    </row>
    <row r="897" spans="1:3" ht="13.2" x14ac:dyDescent="0.25">
      <c r="A897" s="6">
        <v>895</v>
      </c>
      <c r="B897" s="7">
        <v>143.91767883300781</v>
      </c>
      <c r="C897" s="3">
        <f t="shared" si="10"/>
        <v>0.16234776459572686</v>
      </c>
    </row>
    <row r="898" spans="1:3" ht="13.2" x14ac:dyDescent="0.25">
      <c r="A898" s="6">
        <v>896</v>
      </c>
      <c r="B898" s="7">
        <v>145.59700012207031</v>
      </c>
      <c r="C898" s="3">
        <f t="shared" si="10"/>
        <v>0.18876391545291502</v>
      </c>
    </row>
    <row r="899" spans="1:3" ht="13.2" x14ac:dyDescent="0.25">
      <c r="A899" s="6">
        <v>897</v>
      </c>
      <c r="B899" s="7">
        <v>146.07138061523438</v>
      </c>
      <c r="C899" s="3">
        <f t="shared" si="10"/>
        <v>0.20789670988613082</v>
      </c>
    </row>
    <row r="900" spans="1:3" ht="13.2" x14ac:dyDescent="0.25">
      <c r="A900" s="6">
        <v>898</v>
      </c>
      <c r="B900" s="7">
        <v>145.76776123046875</v>
      </c>
      <c r="C900" s="3">
        <f t="shared" si="10"/>
        <v>0.21180791076579319</v>
      </c>
    </row>
    <row r="901" spans="1:3" ht="13.2" x14ac:dyDescent="0.25">
      <c r="A901" s="6">
        <v>899</v>
      </c>
      <c r="B901" s="7">
        <v>148.83226013183594</v>
      </c>
      <c r="C901" s="3">
        <f t="shared" si="10"/>
        <v>0.22509060921942786</v>
      </c>
    </row>
    <row r="902" spans="1:3" ht="13.2" x14ac:dyDescent="0.25">
      <c r="A902" s="6">
        <v>900</v>
      </c>
      <c r="B902" s="7">
        <v>153.00682067871094</v>
      </c>
      <c r="C902" s="3">
        <f t="shared" si="10"/>
        <v>0.2510724007104832</v>
      </c>
    </row>
    <row r="903" spans="1:3" ht="13.2" x14ac:dyDescent="0.25">
      <c r="A903" s="6">
        <v>901</v>
      </c>
      <c r="B903" s="7">
        <v>156.73544311523438</v>
      </c>
      <c r="C903" s="3">
        <f t="shared" si="10"/>
        <v>0.27309006148155585</v>
      </c>
    </row>
    <row r="904" spans="1:3" ht="13.2" x14ac:dyDescent="0.25">
      <c r="A904" s="6">
        <v>902</v>
      </c>
      <c r="B904" s="7">
        <v>157.96884155273438</v>
      </c>
      <c r="C904" s="3">
        <f t="shared" si="10"/>
        <v>0.26685767682816069</v>
      </c>
    </row>
    <row r="905" spans="1:3" ht="13.2" x14ac:dyDescent="0.25">
      <c r="A905" s="6">
        <v>903</v>
      </c>
      <c r="B905" s="7">
        <v>159.50582885742188</v>
      </c>
      <c r="C905" s="3">
        <f t="shared" si="10"/>
        <v>0.2694291474532729</v>
      </c>
    </row>
    <row r="906" spans="1:3" ht="13.2" x14ac:dyDescent="0.25">
      <c r="A906" s="6">
        <v>904</v>
      </c>
      <c r="B906" s="7">
        <v>159.84739685058594</v>
      </c>
      <c r="C906" s="3">
        <f t="shared" si="10"/>
        <v>0.27298659486834298</v>
      </c>
    </row>
    <row r="907" spans="1:3" ht="13.2" x14ac:dyDescent="0.25">
      <c r="A907" s="6">
        <v>905</v>
      </c>
      <c r="B907" s="7">
        <v>156.30850219726563</v>
      </c>
      <c r="C907" s="3">
        <f t="shared" si="10"/>
        <v>0.23599111543758211</v>
      </c>
    </row>
    <row r="908" spans="1:3" ht="13.2" x14ac:dyDescent="0.25">
      <c r="A908" s="6">
        <v>906</v>
      </c>
      <c r="B908" s="7">
        <v>155.14152526855469</v>
      </c>
      <c r="C908" s="3">
        <f t="shared" si="10"/>
        <v>0.23440351078741953</v>
      </c>
    </row>
    <row r="909" spans="1:3" ht="13.2" x14ac:dyDescent="0.25">
      <c r="A909" s="6">
        <v>907</v>
      </c>
      <c r="B909" s="7">
        <v>153.60452270507813</v>
      </c>
      <c r="C909" s="3">
        <f t="shared" si="10"/>
        <v>0.221120503953803</v>
      </c>
    </row>
    <row r="910" spans="1:3" ht="13.2" x14ac:dyDescent="0.25">
      <c r="A910" s="6">
        <v>908</v>
      </c>
      <c r="B910" s="7">
        <v>153.87966918945313</v>
      </c>
      <c r="C910" s="3">
        <f t="shared" si="10"/>
        <v>0.21555704682300103</v>
      </c>
    </row>
    <row r="911" spans="1:3" ht="13.2" x14ac:dyDescent="0.25">
      <c r="A911" s="6">
        <v>909</v>
      </c>
      <c r="B911" s="7">
        <v>153.70889282226563</v>
      </c>
      <c r="C911" s="3">
        <f t="shared" si="10"/>
        <v>0.22342475028103503</v>
      </c>
    </row>
    <row r="912" spans="1:3" ht="13.2" x14ac:dyDescent="0.25">
      <c r="A912" s="6">
        <v>910</v>
      </c>
      <c r="B912" s="7">
        <v>152.89295959472656</v>
      </c>
      <c r="C912" s="3">
        <f t="shared" si="10"/>
        <v>0.21898956342240974</v>
      </c>
    </row>
    <row r="913" spans="1:3" ht="13.2" x14ac:dyDescent="0.25">
      <c r="A913" s="6">
        <v>911</v>
      </c>
      <c r="B913" s="7">
        <v>152.96885681152344</v>
      </c>
      <c r="C913" s="3">
        <f t="shared" si="10"/>
        <v>0.22519923563080546</v>
      </c>
    </row>
    <row r="914" spans="1:3" ht="13.2" x14ac:dyDescent="0.25">
      <c r="A914" s="6">
        <v>912</v>
      </c>
      <c r="B914" s="7">
        <v>150.41668701171875</v>
      </c>
      <c r="C914" s="3">
        <f t="shared" si="10"/>
        <v>0.22715198449487126</v>
      </c>
    </row>
    <row r="915" spans="1:3" ht="13.2" x14ac:dyDescent="0.25">
      <c r="A915" s="6">
        <v>913</v>
      </c>
      <c r="B915" s="7">
        <v>148.38633728027344</v>
      </c>
      <c r="C915" s="3">
        <f t="shared" si="10"/>
        <v>0.23107736143757696</v>
      </c>
    </row>
    <row r="916" spans="1:3" ht="13.2" x14ac:dyDescent="0.25">
      <c r="A916" s="6">
        <v>914</v>
      </c>
      <c r="B916" s="7">
        <v>146.35598754882813</v>
      </c>
      <c r="C916" s="3">
        <f t="shared" si="10"/>
        <v>0.24143141057430251</v>
      </c>
    </row>
    <row r="917" spans="1:3" ht="13.2" x14ac:dyDescent="0.25">
      <c r="A917" s="6">
        <v>915</v>
      </c>
      <c r="B917" s="7">
        <v>145.13211059570313</v>
      </c>
      <c r="C917" s="3">
        <f t="shared" si="10"/>
        <v>0.21307780048929817</v>
      </c>
    </row>
    <row r="918" spans="1:3" ht="13.2" x14ac:dyDescent="0.25">
      <c r="A918" s="6">
        <v>916</v>
      </c>
      <c r="B918" s="7">
        <v>143.89869689941406</v>
      </c>
      <c r="C918" s="3">
        <f t="shared" si="10"/>
        <v>0.20826911306999368</v>
      </c>
    </row>
    <row r="919" spans="1:3" ht="13.2" x14ac:dyDescent="0.25">
      <c r="A919" s="6">
        <v>917</v>
      </c>
      <c r="B919" s="7">
        <v>145.06565856933594</v>
      </c>
      <c r="C919" s="3">
        <f t="shared" si="10"/>
        <v>0.19510796324277449</v>
      </c>
    </row>
    <row r="920" spans="1:3" ht="13.2" x14ac:dyDescent="0.25">
      <c r="A920" s="6">
        <v>918</v>
      </c>
      <c r="B920" s="7">
        <v>146.09033203125</v>
      </c>
      <c r="C920" s="3">
        <f t="shared" si="10"/>
        <v>0.20879268150808369</v>
      </c>
    </row>
    <row r="921" spans="1:3" ht="13.2" x14ac:dyDescent="0.25">
      <c r="A921" s="6">
        <v>919</v>
      </c>
      <c r="B921" s="7">
        <v>144.09796142578125</v>
      </c>
      <c r="C921" s="3">
        <f t="shared" si="10"/>
        <v>0.19360559300653751</v>
      </c>
    </row>
    <row r="922" spans="1:3" ht="13.2" x14ac:dyDescent="0.25">
      <c r="A922" s="6">
        <v>920</v>
      </c>
      <c r="B922" s="7">
        <v>148.95559692382813</v>
      </c>
      <c r="C922" s="3">
        <f t="shared" si="10"/>
        <v>0.19935746556727629</v>
      </c>
    </row>
    <row r="923" spans="1:3" ht="13.2" x14ac:dyDescent="0.25">
      <c r="A923" s="6">
        <v>921</v>
      </c>
      <c r="B923" s="7">
        <v>147.80758666992188</v>
      </c>
      <c r="C923" s="3">
        <f t="shared" si="10"/>
        <v>0.20277789831214005</v>
      </c>
    </row>
    <row r="924" spans="1:3" ht="13.2" x14ac:dyDescent="0.25">
      <c r="A924" s="6">
        <v>922</v>
      </c>
      <c r="B924" s="7">
        <v>149.27818298339844</v>
      </c>
      <c r="C924" s="3">
        <f t="shared" si="10"/>
        <v>0.21675257478922211</v>
      </c>
    </row>
    <row r="925" spans="1:3" ht="13.2" x14ac:dyDescent="0.25">
      <c r="A925" s="6">
        <v>923</v>
      </c>
      <c r="B925" s="7">
        <v>148.35787963867188</v>
      </c>
      <c r="C925" s="3">
        <f t="shared" si="10"/>
        <v>0.18194831766468433</v>
      </c>
    </row>
    <row r="926" spans="1:3" ht="13.2" x14ac:dyDescent="0.25">
      <c r="A926" s="6">
        <v>924</v>
      </c>
      <c r="B926" s="7">
        <v>148.39584350585938</v>
      </c>
      <c r="C926" s="3">
        <f t="shared" si="10"/>
        <v>0.19039353662018874</v>
      </c>
    </row>
    <row r="927" spans="1:3" ht="13.2" x14ac:dyDescent="0.25">
      <c r="A927" s="6">
        <v>925</v>
      </c>
      <c r="B927" s="7">
        <v>147.77912902832031</v>
      </c>
      <c r="C927" s="3">
        <f t="shared" si="10"/>
        <v>0.18897369779827308</v>
      </c>
    </row>
    <row r="928" spans="1:3" ht="13.2" x14ac:dyDescent="0.25">
      <c r="A928" s="6">
        <v>926</v>
      </c>
      <c r="B928" s="7">
        <v>146.36549377441406</v>
      </c>
      <c r="C928" s="3">
        <f t="shared" si="10"/>
        <v>0.19312410200924354</v>
      </c>
    </row>
    <row r="929" spans="1:3" ht="13.2" x14ac:dyDescent="0.25">
      <c r="A929" s="6">
        <v>927</v>
      </c>
      <c r="B929" s="7">
        <v>148.92715454101563</v>
      </c>
      <c r="C929" s="3">
        <f t="shared" si="10"/>
        <v>0.19931549620033517</v>
      </c>
    </row>
    <row r="930" spans="1:3" ht="13.2" x14ac:dyDescent="0.25">
      <c r="A930" s="6">
        <v>928</v>
      </c>
      <c r="B930" s="7">
        <v>146.82089233398438</v>
      </c>
      <c r="C930" s="3">
        <f t="shared" si="10"/>
        <v>0.15781558066493279</v>
      </c>
    </row>
    <row r="931" spans="1:3" ht="13.2" x14ac:dyDescent="0.25">
      <c r="A931" s="6">
        <v>929</v>
      </c>
      <c r="B931" s="7">
        <v>148.53814697265625</v>
      </c>
      <c r="C931" s="3">
        <f t="shared" si="10"/>
        <v>0.14319352295189461</v>
      </c>
    </row>
    <row r="932" spans="1:3" ht="13.2" x14ac:dyDescent="0.25">
      <c r="A932" s="6">
        <v>930</v>
      </c>
      <c r="B932" s="7">
        <v>149.40151977539063</v>
      </c>
      <c r="C932" s="3">
        <f t="shared" si="10"/>
        <v>0.14743711736191159</v>
      </c>
    </row>
    <row r="933" spans="1:3" ht="13.2" x14ac:dyDescent="0.25">
      <c r="A933" s="6">
        <v>931</v>
      </c>
      <c r="B933" s="7">
        <v>151.36544799804688</v>
      </c>
      <c r="C933" s="3">
        <f t="shared" si="10"/>
        <v>0.15648705279196456</v>
      </c>
    </row>
    <row r="934" spans="1:3" ht="13.2" x14ac:dyDescent="0.25">
      <c r="A934" s="6">
        <v>932</v>
      </c>
      <c r="B934" s="7">
        <v>152.02009582519531</v>
      </c>
      <c r="C934" s="3">
        <f t="shared" si="10"/>
        <v>0.18582534301460471</v>
      </c>
    </row>
    <row r="935" spans="1:3" ht="13.2" x14ac:dyDescent="0.25">
      <c r="A935" s="6">
        <v>933</v>
      </c>
      <c r="B935" s="7">
        <v>155.19845581054688</v>
      </c>
      <c r="C935" s="3">
        <f t="shared" si="10"/>
        <v>0.20091834526359018</v>
      </c>
    </row>
    <row r="936" spans="1:3" ht="13.2" x14ac:dyDescent="0.25">
      <c r="A936" s="6">
        <v>934</v>
      </c>
      <c r="B936" s="7">
        <v>158.95555114746094</v>
      </c>
      <c r="C936" s="3">
        <f t="shared" si="10"/>
        <v>0.19960447140195953</v>
      </c>
    </row>
    <row r="937" spans="1:3" ht="13.2" x14ac:dyDescent="0.25">
      <c r="A937" s="6">
        <v>935</v>
      </c>
      <c r="B937" s="7">
        <v>166.19459533691406</v>
      </c>
      <c r="C937" s="3">
        <f t="shared" si="10"/>
        <v>0.25424100262172711</v>
      </c>
    </row>
    <row r="938" spans="1:3" ht="13.2" x14ac:dyDescent="0.25">
      <c r="A938" s="6">
        <v>936</v>
      </c>
      <c r="B938" s="7">
        <v>158.67092895507813</v>
      </c>
      <c r="C938" s="3">
        <f t="shared" si="10"/>
        <v>0.22929294680015938</v>
      </c>
    </row>
    <row r="939" spans="1:3" ht="13.2" x14ac:dyDescent="0.25">
      <c r="A939" s="6">
        <v>937</v>
      </c>
      <c r="B939" s="7">
        <v>157.98782348632813</v>
      </c>
      <c r="C939" s="3">
        <f t="shared" si="10"/>
        <v>0.22425860897672731</v>
      </c>
    </row>
    <row r="940" spans="1:3" ht="13.2" x14ac:dyDescent="0.25">
      <c r="A940" s="6">
        <v>938</v>
      </c>
      <c r="B940" s="7">
        <v>159.22120666503906</v>
      </c>
      <c r="C940" s="3">
        <f t="shared" si="10"/>
        <v>0.2516607361161815</v>
      </c>
    </row>
    <row r="941" spans="1:3" ht="13.2" x14ac:dyDescent="0.25">
      <c r="A941" s="6">
        <v>939</v>
      </c>
      <c r="B941" s="7">
        <v>157.97833251953125</v>
      </c>
      <c r="C941" s="3">
        <f t="shared" si="10"/>
        <v>0.26489158600083446</v>
      </c>
    </row>
    <row r="942" spans="1:3" ht="13.2" x14ac:dyDescent="0.25">
      <c r="A942" s="6">
        <v>940</v>
      </c>
      <c r="B942" s="7">
        <v>158.76579284667969</v>
      </c>
      <c r="C942" s="3">
        <f t="shared" si="10"/>
        <v>0.27610572510258702</v>
      </c>
    </row>
    <row r="943" spans="1:3" ht="13.2" x14ac:dyDescent="0.25">
      <c r="A943" s="6">
        <v>941</v>
      </c>
      <c r="B943" s="7">
        <v>158.57603454589844</v>
      </c>
      <c r="C943" s="3">
        <f t="shared" si="10"/>
        <v>0.28751135392441152</v>
      </c>
    </row>
    <row r="944" spans="1:3" ht="13.2" x14ac:dyDescent="0.25">
      <c r="A944" s="6">
        <v>942</v>
      </c>
      <c r="B944" s="7">
        <v>158.99349975585938</v>
      </c>
      <c r="C944" s="3">
        <f t="shared" si="10"/>
        <v>0.28321265375007471</v>
      </c>
    </row>
    <row r="945" spans="1:3" ht="13.2" x14ac:dyDescent="0.25">
      <c r="A945" s="6">
        <v>943</v>
      </c>
      <c r="B945" s="7">
        <v>162.579833984375</v>
      </c>
      <c r="C945" s="3">
        <f t="shared" si="10"/>
        <v>0.30916680843065653</v>
      </c>
    </row>
    <row r="946" spans="1:3" ht="13.2" x14ac:dyDescent="0.25">
      <c r="A946" s="6">
        <v>944</v>
      </c>
      <c r="B946" s="7">
        <v>162.72213745117188</v>
      </c>
      <c r="C946" s="3">
        <f t="shared" si="10"/>
        <v>0.30943272236718161</v>
      </c>
    </row>
    <row r="947" spans="1:3" ht="13.2" x14ac:dyDescent="0.25">
      <c r="A947" s="6">
        <v>945</v>
      </c>
      <c r="B947" s="7">
        <v>168.94602966308594</v>
      </c>
      <c r="C947" s="3">
        <f t="shared" si="10"/>
        <v>0.3577557125830767</v>
      </c>
    </row>
    <row r="948" spans="1:3" ht="13.2" x14ac:dyDescent="0.25">
      <c r="A948" s="6">
        <v>946</v>
      </c>
      <c r="B948" s="7">
        <v>162.91189575195313</v>
      </c>
      <c r="C948" s="3">
        <f t="shared" si="10"/>
        <v>0.311892596921861</v>
      </c>
    </row>
    <row r="949" spans="1:3" ht="13.2" x14ac:dyDescent="0.25">
      <c r="A949" s="6">
        <v>947</v>
      </c>
      <c r="B949" s="7">
        <v>162.94036865234375</v>
      </c>
      <c r="C949" s="3">
        <f t="shared" si="10"/>
        <v>0.3196393482230469</v>
      </c>
    </row>
    <row r="950" spans="1:3" ht="13.2" x14ac:dyDescent="0.25">
      <c r="A950" s="6">
        <v>948</v>
      </c>
      <c r="B950" s="7">
        <v>163.81321716308594</v>
      </c>
      <c r="C950" s="3">
        <f t="shared" si="10"/>
        <v>0.31474666340988239</v>
      </c>
    </row>
    <row r="951" spans="1:3" ht="13.2" x14ac:dyDescent="0.25">
      <c r="A951" s="6">
        <v>949</v>
      </c>
      <c r="B951" s="7">
        <v>160.95744323730469</v>
      </c>
      <c r="C951" s="3">
        <f t="shared" si="10"/>
        <v>0.29200553860505335</v>
      </c>
    </row>
    <row r="952" spans="1:3" ht="13.2" x14ac:dyDescent="0.25">
      <c r="A952" s="6">
        <v>950</v>
      </c>
      <c r="B952" s="7">
        <v>160.25535583496094</v>
      </c>
      <c r="C952" s="3">
        <f t="shared" si="10"/>
        <v>0.28929877253679204</v>
      </c>
    </row>
    <row r="953" spans="1:3" ht="13.2" x14ac:dyDescent="0.25">
      <c r="A953" s="6">
        <v>951</v>
      </c>
      <c r="B953" s="7">
        <v>161.95362854003906</v>
      </c>
      <c r="C953" s="3">
        <f t="shared" si="10"/>
        <v>0.28383878613139779</v>
      </c>
    </row>
    <row r="954" spans="1:3" ht="13.2" x14ac:dyDescent="0.25">
      <c r="A954" s="6">
        <v>952</v>
      </c>
      <c r="B954" s="7">
        <v>156.68800354003906</v>
      </c>
      <c r="C954" s="3">
        <f t="shared" si="10"/>
        <v>0.25175457227190928</v>
      </c>
    </row>
    <row r="955" spans="1:3" ht="13.2" x14ac:dyDescent="0.25">
      <c r="A955" s="6">
        <v>953</v>
      </c>
      <c r="B955" s="7">
        <v>157.5513916015625</v>
      </c>
      <c r="C955" s="3">
        <f t="shared" si="10"/>
        <v>0.27084405528633937</v>
      </c>
    </row>
    <row r="956" spans="1:3" ht="13.2" x14ac:dyDescent="0.25">
      <c r="A956" s="6">
        <v>954</v>
      </c>
      <c r="B956" s="7">
        <v>156.24209594726563</v>
      </c>
      <c r="C956" s="3">
        <f t="shared" si="10"/>
        <v>0.26272586179623403</v>
      </c>
    </row>
    <row r="957" spans="1:3" ht="13.2" x14ac:dyDescent="0.25">
      <c r="A957" s="6">
        <v>955</v>
      </c>
      <c r="B957" s="7">
        <v>154.36355590820313</v>
      </c>
      <c r="C957" s="3">
        <f t="shared" si="10"/>
        <v>0.24851415656311182</v>
      </c>
    </row>
    <row r="958" spans="1:3" ht="13.2" x14ac:dyDescent="0.25">
      <c r="A958" s="6">
        <v>956</v>
      </c>
      <c r="B958" s="7">
        <v>156.147216796875</v>
      </c>
      <c r="C958" s="3">
        <f t="shared" si="10"/>
        <v>0.25428304999235002</v>
      </c>
    </row>
    <row r="959" spans="1:3" ht="13.2" x14ac:dyDescent="0.25">
      <c r="A959" s="6">
        <v>957</v>
      </c>
      <c r="B959" s="7">
        <v>154.51535034179688</v>
      </c>
      <c r="C959" s="3">
        <f t="shared" ref="C959:C1022" si="11">LN(B959/B707)</f>
        <v>0.21303519753586395</v>
      </c>
    </row>
    <row r="960" spans="1:3" ht="13.2" x14ac:dyDescent="0.25">
      <c r="A960" s="6">
        <v>958</v>
      </c>
      <c r="B960" s="7">
        <v>154.0599365234375</v>
      </c>
      <c r="C960" s="3">
        <f t="shared" si="11"/>
        <v>0.20095555499195913</v>
      </c>
    </row>
    <row r="961" spans="1:3" ht="13.2" x14ac:dyDescent="0.25">
      <c r="A961" s="6">
        <v>959</v>
      </c>
      <c r="B961" s="7">
        <v>152.94039916992188</v>
      </c>
      <c r="C961" s="3">
        <f t="shared" si="11"/>
        <v>0.17856076200208548</v>
      </c>
    </row>
    <row r="962" spans="1:3" ht="13.2" x14ac:dyDescent="0.25">
      <c r="A962" s="6">
        <v>960</v>
      </c>
      <c r="B962" s="7">
        <v>153.57606506347656</v>
      </c>
      <c r="C962" s="3">
        <f t="shared" si="11"/>
        <v>0.1812887225441778</v>
      </c>
    </row>
    <row r="963" spans="1:3" ht="13.2" x14ac:dyDescent="0.25">
      <c r="A963" s="6">
        <v>961</v>
      </c>
      <c r="B963" s="7">
        <v>156.63107299804688</v>
      </c>
      <c r="C963" s="3">
        <f t="shared" si="11"/>
        <v>0.20254783572844737</v>
      </c>
    </row>
    <row r="964" spans="1:3" ht="13.2" x14ac:dyDescent="0.25">
      <c r="A964" s="6">
        <v>962</v>
      </c>
      <c r="B964" s="7">
        <v>158.21549987792969</v>
      </c>
      <c r="C964" s="3">
        <f t="shared" si="11"/>
        <v>0.2039122731999489</v>
      </c>
    </row>
    <row r="965" spans="1:3" ht="13.2" x14ac:dyDescent="0.25">
      <c r="A965" s="6">
        <v>963</v>
      </c>
      <c r="B965" s="7">
        <v>158.20603942871094</v>
      </c>
      <c r="C965" s="3">
        <f t="shared" si="11"/>
        <v>0.21447262167181466</v>
      </c>
    </row>
    <row r="966" spans="1:3" ht="13.2" x14ac:dyDescent="0.25">
      <c r="A966" s="6">
        <v>964</v>
      </c>
      <c r="B966" s="7">
        <v>155.85311889648438</v>
      </c>
      <c r="C966" s="3">
        <f t="shared" si="11"/>
        <v>0.18465146917506975</v>
      </c>
    </row>
    <row r="967" spans="1:3" ht="13.2" x14ac:dyDescent="0.25">
      <c r="A967" s="6">
        <v>965</v>
      </c>
      <c r="B967" s="7">
        <v>153.65196228027344</v>
      </c>
      <c r="C967" s="3">
        <f t="shared" si="11"/>
        <v>0.17866663836108929</v>
      </c>
    </row>
    <row r="968" spans="1:3" ht="13.2" x14ac:dyDescent="0.25">
      <c r="A968" s="6">
        <v>966</v>
      </c>
      <c r="B968" s="7">
        <v>155.70130920410156</v>
      </c>
      <c r="C968" s="3">
        <f t="shared" si="11"/>
        <v>0.18923283256070947</v>
      </c>
    </row>
    <row r="969" spans="1:3" ht="13.2" x14ac:dyDescent="0.25">
      <c r="A969" s="6">
        <v>967</v>
      </c>
      <c r="B969" s="7">
        <v>153.90815734863281</v>
      </c>
      <c r="C969" s="3">
        <f t="shared" si="11"/>
        <v>0.16621983591272105</v>
      </c>
    </row>
    <row r="970" spans="1:3" ht="13.2" x14ac:dyDescent="0.25">
      <c r="A970" s="6">
        <v>968</v>
      </c>
      <c r="B970" s="7">
        <v>153.57606506347656</v>
      </c>
      <c r="C970" s="3">
        <f t="shared" si="11"/>
        <v>0.17063493977374913</v>
      </c>
    </row>
    <row r="971" spans="1:3" ht="13.2" x14ac:dyDescent="0.25">
      <c r="A971" s="6">
        <v>969</v>
      </c>
      <c r="B971" s="7">
        <v>150.05618286132813</v>
      </c>
      <c r="C971" s="3">
        <f t="shared" si="11"/>
        <v>0.14359622979035769</v>
      </c>
    </row>
    <row r="972" spans="1:3" ht="13.2" x14ac:dyDescent="0.25">
      <c r="A972" s="6">
        <v>970</v>
      </c>
      <c r="B972" s="7">
        <v>151.95370483398438</v>
      </c>
      <c r="C972" s="3">
        <f t="shared" si="11"/>
        <v>0.14145010192469648</v>
      </c>
    </row>
    <row r="973" spans="1:3" ht="13.2" x14ac:dyDescent="0.25">
      <c r="A973" s="6">
        <v>971</v>
      </c>
      <c r="B973" s="7">
        <v>151.95370483398438</v>
      </c>
      <c r="C973" s="3">
        <f t="shared" si="11"/>
        <v>0.15093285044805119</v>
      </c>
    </row>
    <row r="974" spans="1:3" ht="13.2" x14ac:dyDescent="0.25">
      <c r="A974" s="6">
        <v>972</v>
      </c>
      <c r="B974" s="7">
        <v>152.10549926757813</v>
      </c>
      <c r="C974" s="3">
        <f t="shared" si="11"/>
        <v>0.15800002498708371</v>
      </c>
    </row>
    <row r="975" spans="1:3" ht="13.2" x14ac:dyDescent="0.25">
      <c r="A975" s="6">
        <v>973</v>
      </c>
      <c r="B975" s="7">
        <v>149.65769958496094</v>
      </c>
      <c r="C975" s="3">
        <f t="shared" si="11"/>
        <v>0.13849337623121988</v>
      </c>
    </row>
    <row r="976" spans="1:3" ht="13.2" x14ac:dyDescent="0.25">
      <c r="A976" s="6">
        <v>974</v>
      </c>
      <c r="B976" s="7">
        <v>147.07707214355469</v>
      </c>
      <c r="C976" s="3">
        <f t="shared" si="11"/>
        <v>0.11172840906697964</v>
      </c>
    </row>
    <row r="977" spans="1:3" ht="13.2" x14ac:dyDescent="0.25">
      <c r="A977" s="6">
        <v>975</v>
      </c>
      <c r="B977" s="7">
        <v>150.76774597167969</v>
      </c>
      <c r="C977" s="3">
        <f t="shared" si="11"/>
        <v>0.13589069768045317</v>
      </c>
    </row>
    <row r="978" spans="1:3" ht="13.2" x14ac:dyDescent="0.25">
      <c r="A978" s="6">
        <v>976</v>
      </c>
      <c r="B978" s="7">
        <v>149.49639892578125</v>
      </c>
      <c r="C978" s="3">
        <f t="shared" si="11"/>
        <v>0.11329919219078587</v>
      </c>
    </row>
    <row r="979" spans="1:3" ht="13.2" x14ac:dyDescent="0.25">
      <c r="A979" s="6">
        <v>977</v>
      </c>
      <c r="B979" s="7">
        <v>148.46224975585938</v>
      </c>
      <c r="C979" s="3">
        <f t="shared" si="11"/>
        <v>0.10051992061254389</v>
      </c>
    </row>
    <row r="980" spans="1:3" ht="13.2" x14ac:dyDescent="0.25">
      <c r="A980" s="6">
        <v>978</v>
      </c>
      <c r="B980" s="7">
        <v>147.77912902832031</v>
      </c>
      <c r="C980" s="3">
        <f t="shared" si="11"/>
        <v>8.346441311220773E-2</v>
      </c>
    </row>
    <row r="981" spans="1:3" ht="13.2" x14ac:dyDescent="0.25">
      <c r="A981" s="6">
        <v>979</v>
      </c>
      <c r="B981" s="7">
        <v>146.44137573242188</v>
      </c>
      <c r="C981" s="3">
        <f t="shared" si="11"/>
        <v>7.5775716595804496E-2</v>
      </c>
    </row>
    <row r="982" spans="1:3" ht="13.2" x14ac:dyDescent="0.25">
      <c r="A982" s="6">
        <v>980</v>
      </c>
      <c r="B982" s="7">
        <v>148.26301574707031</v>
      </c>
      <c r="C982" s="3">
        <f t="shared" si="11"/>
        <v>7.6359836529715563E-2</v>
      </c>
    </row>
    <row r="983" spans="1:3" ht="13.2" x14ac:dyDescent="0.25">
      <c r="A983" s="6">
        <v>981</v>
      </c>
      <c r="B983" s="7">
        <v>156.69068908691406</v>
      </c>
      <c r="C983" s="3">
        <f t="shared" si="11"/>
        <v>0.13383113635443661</v>
      </c>
    </row>
    <row r="984" spans="1:3" ht="13.2" x14ac:dyDescent="0.25">
      <c r="A984" s="6">
        <v>982</v>
      </c>
      <c r="B984" s="7">
        <v>153.84597778320313</v>
      </c>
      <c r="C984" s="3">
        <f t="shared" si="11"/>
        <v>0.11617253498541931</v>
      </c>
    </row>
    <row r="985" spans="1:3" ht="13.2" x14ac:dyDescent="0.25">
      <c r="A985" s="6">
        <v>983</v>
      </c>
      <c r="B985" s="7">
        <v>153.76856994628906</v>
      </c>
      <c r="C985" s="3">
        <f t="shared" si="11"/>
        <v>0.11421097453112905</v>
      </c>
    </row>
    <row r="986" spans="1:3" ht="13.2" x14ac:dyDescent="0.25">
      <c r="A986" s="6">
        <v>984</v>
      </c>
      <c r="B986" s="7">
        <v>151.22381591796875</v>
      </c>
      <c r="C986" s="3">
        <f t="shared" si="11"/>
        <v>9.9778149091685767E-2</v>
      </c>
    </row>
    <row r="987" spans="1:3" ht="13.2" x14ac:dyDescent="0.25">
      <c r="A987" s="6">
        <v>985</v>
      </c>
      <c r="B987" s="7">
        <v>154.28138732910156</v>
      </c>
      <c r="C987" s="3">
        <f t="shared" si="11"/>
        <v>0.12052583196917814</v>
      </c>
    </row>
    <row r="988" spans="1:3" ht="13.2" x14ac:dyDescent="0.25">
      <c r="A988" s="6">
        <v>986</v>
      </c>
      <c r="B988" s="7">
        <v>155.007080078125</v>
      </c>
      <c r="C988" s="3">
        <f t="shared" si="11"/>
        <v>0.12342605040087991</v>
      </c>
    </row>
    <row r="989" spans="1:3" ht="13.2" x14ac:dyDescent="0.25">
      <c r="A989" s="6">
        <v>987</v>
      </c>
      <c r="B989" s="7">
        <v>157.66792297363281</v>
      </c>
      <c r="C989" s="3">
        <f t="shared" si="11"/>
        <v>0.14343563995349115</v>
      </c>
    </row>
    <row r="990" spans="1:3" ht="13.2" x14ac:dyDescent="0.25">
      <c r="A990" s="6">
        <v>988</v>
      </c>
      <c r="B990" s="7">
        <v>155.30702209472656</v>
      </c>
      <c r="C990" s="3">
        <f t="shared" si="11"/>
        <v>0.12595643984007468</v>
      </c>
    </row>
    <row r="991" spans="1:3" ht="13.2" x14ac:dyDescent="0.25">
      <c r="A991" s="6">
        <v>989</v>
      </c>
      <c r="B991" s="7">
        <v>158.03561401367188</v>
      </c>
      <c r="C991" s="3">
        <f t="shared" si="11"/>
        <v>0.13399299418647487</v>
      </c>
    </row>
    <row r="992" spans="1:3" ht="13.2" x14ac:dyDescent="0.25">
      <c r="A992" s="6">
        <v>990</v>
      </c>
      <c r="B992" s="7">
        <v>164.08302307128906</v>
      </c>
      <c r="C992" s="3">
        <f t="shared" si="11"/>
        <v>0.16806660354175784</v>
      </c>
    </row>
    <row r="993" spans="1:3" ht="13.2" x14ac:dyDescent="0.25">
      <c r="A993" s="6">
        <v>991</v>
      </c>
      <c r="B993" s="7">
        <v>165.12800598144531</v>
      </c>
      <c r="C993" s="3">
        <f t="shared" si="11"/>
        <v>0.18515193845079364</v>
      </c>
    </row>
    <row r="994" spans="1:3" ht="13.2" x14ac:dyDescent="0.25">
      <c r="A994" s="6">
        <v>992</v>
      </c>
      <c r="B994" s="7">
        <v>165.55375671386719</v>
      </c>
      <c r="C994" s="3">
        <f t="shared" si="11"/>
        <v>0.20206758852813228</v>
      </c>
    </row>
    <row r="995" spans="1:3" ht="13.2" x14ac:dyDescent="0.25">
      <c r="A995" s="6">
        <v>993</v>
      </c>
      <c r="B995" s="7">
        <v>164.09268188476563</v>
      </c>
      <c r="C995" s="3">
        <f t="shared" si="11"/>
        <v>0.17057120004493012</v>
      </c>
    </row>
    <row r="996" spans="1:3" ht="13.2" x14ac:dyDescent="0.25">
      <c r="A996" s="6">
        <v>994</v>
      </c>
      <c r="B996" s="7">
        <v>160.39651489257813</v>
      </c>
      <c r="C996" s="3">
        <f t="shared" si="11"/>
        <v>0.1268568548076992</v>
      </c>
    </row>
    <row r="997" spans="1:3" ht="13.2" x14ac:dyDescent="0.25">
      <c r="A997" s="6">
        <v>995</v>
      </c>
      <c r="B997" s="7">
        <v>161.79951477050781</v>
      </c>
      <c r="C997" s="3">
        <f t="shared" si="11"/>
        <v>0.12249997988603532</v>
      </c>
    </row>
    <row r="998" spans="1:3" ht="13.2" x14ac:dyDescent="0.25">
      <c r="A998" s="6">
        <v>996</v>
      </c>
      <c r="B998" s="7">
        <v>158.78067016601563</v>
      </c>
      <c r="C998" s="3">
        <f t="shared" si="11"/>
        <v>9.6229287216841361E-2</v>
      </c>
    </row>
    <row r="999" spans="1:3" ht="13.2" x14ac:dyDescent="0.25">
      <c r="A999" s="6">
        <v>997</v>
      </c>
      <c r="B999" s="7">
        <v>162.99932861328125</v>
      </c>
      <c r="C999" s="3">
        <f t="shared" si="11"/>
        <v>0.11264304718670652</v>
      </c>
    </row>
    <row r="1000" spans="1:3" ht="13.2" x14ac:dyDescent="0.25">
      <c r="A1000" s="6">
        <v>998</v>
      </c>
      <c r="B1000" s="7">
        <v>162.47683715820313</v>
      </c>
      <c r="C1000" s="3">
        <f t="shared" si="11"/>
        <v>8.9035692274502365E-2</v>
      </c>
    </row>
    <row r="1001" spans="1:3" ht="13.2" x14ac:dyDescent="0.25">
      <c r="A1001" s="6">
        <v>999</v>
      </c>
      <c r="B1001" s="7">
        <v>164.44102478027344</v>
      </c>
      <c r="C1001" s="3">
        <f t="shared" si="11"/>
        <v>9.6686255177391559E-2</v>
      </c>
    </row>
    <row r="1002" spans="1:3" ht="13.2" x14ac:dyDescent="0.25">
      <c r="A1002" s="6">
        <v>1000</v>
      </c>
      <c r="B1002" s="7">
        <v>162.74774169921875</v>
      </c>
      <c r="C1002" s="3">
        <f t="shared" si="11"/>
        <v>9.8734746928391931E-2</v>
      </c>
    </row>
    <row r="1003" spans="1:3" ht="13.2" x14ac:dyDescent="0.25">
      <c r="A1003" s="6">
        <v>1001</v>
      </c>
      <c r="B1003" s="7">
        <v>164.26686096191406</v>
      </c>
      <c r="C1003" s="3">
        <f t="shared" si="11"/>
        <v>0.10431488097246461</v>
      </c>
    </row>
    <row r="1004" spans="1:3" ht="13.2" x14ac:dyDescent="0.25">
      <c r="A1004" s="6">
        <v>1002</v>
      </c>
      <c r="B1004" s="7">
        <v>163.87983703613281</v>
      </c>
      <c r="C1004" s="3">
        <f t="shared" si="11"/>
        <v>0.12385256557764188</v>
      </c>
    </row>
    <row r="1005" spans="1:3" ht="13.2" x14ac:dyDescent="0.25">
      <c r="A1005" s="6">
        <v>1003</v>
      </c>
      <c r="B1005" s="7">
        <v>162.08010864257813</v>
      </c>
      <c r="C1005" s="3">
        <f t="shared" si="11"/>
        <v>0.11821457665939582</v>
      </c>
    </row>
    <row r="1006" spans="1:3" ht="13.2" x14ac:dyDescent="0.25">
      <c r="A1006" s="6">
        <v>1004</v>
      </c>
      <c r="B1006" s="7">
        <v>158.45167541503906</v>
      </c>
      <c r="C1006" s="3">
        <f t="shared" si="11"/>
        <v>9.3382508682669452E-2</v>
      </c>
    </row>
    <row r="1007" spans="1:3" ht="13.2" x14ac:dyDescent="0.25">
      <c r="A1007" s="6">
        <v>1005</v>
      </c>
      <c r="B1007" s="7">
        <v>156.75839233398438</v>
      </c>
      <c r="C1007" s="3">
        <f t="shared" si="11"/>
        <v>7.9553193419429666E-2</v>
      </c>
    </row>
    <row r="1008" spans="1:3" ht="13.2" x14ac:dyDescent="0.25">
      <c r="A1008" s="6">
        <v>1006</v>
      </c>
      <c r="B1008" s="7">
        <v>155.82952880859375</v>
      </c>
      <c r="C1008" s="3">
        <f t="shared" si="11"/>
        <v>6.6766599958050316E-2</v>
      </c>
    </row>
    <row r="1009" spans="1:3" ht="13.2" x14ac:dyDescent="0.25">
      <c r="A1009" s="6">
        <v>1007</v>
      </c>
      <c r="B1009" s="7">
        <v>156.23590087890625</v>
      </c>
      <c r="C1009" s="3">
        <f t="shared" si="11"/>
        <v>6.5681125663231338E-2</v>
      </c>
    </row>
    <row r="1010" spans="1:3" ht="13.2" x14ac:dyDescent="0.25">
      <c r="A1010" s="6">
        <v>1008</v>
      </c>
      <c r="B1010" s="7">
        <v>154.40716552734375</v>
      </c>
      <c r="C1010" s="3">
        <f t="shared" si="11"/>
        <v>7.502139590948663E-2</v>
      </c>
    </row>
    <row r="1011" spans="1:3" ht="13.2" x14ac:dyDescent="0.25">
      <c r="A1011" s="6">
        <v>1009</v>
      </c>
      <c r="B1011" s="7">
        <v>155.90695190429688</v>
      </c>
      <c r="C1011" s="3">
        <f t="shared" si="11"/>
        <v>9.191295824777046E-2</v>
      </c>
    </row>
    <row r="1012" spans="1:3" ht="13.2" x14ac:dyDescent="0.25">
      <c r="A1012" s="6">
        <v>1010</v>
      </c>
      <c r="B1012" s="7">
        <v>152.94613647460938</v>
      </c>
      <c r="C1012" s="3">
        <f t="shared" si="11"/>
        <v>8.0280752189483606E-2</v>
      </c>
    </row>
    <row r="1013" spans="1:3" ht="13.2" x14ac:dyDescent="0.25">
      <c r="A1013" s="6">
        <v>1011</v>
      </c>
      <c r="B1013" s="7">
        <v>150.30461120605469</v>
      </c>
      <c r="C1013" s="3">
        <f t="shared" si="11"/>
        <v>6.0623314758858758E-2</v>
      </c>
    </row>
    <row r="1014" spans="1:3" ht="13.2" x14ac:dyDescent="0.25">
      <c r="A1014" s="6">
        <v>1012</v>
      </c>
      <c r="B1014" s="7">
        <v>152.85903930664063</v>
      </c>
      <c r="C1014" s="3">
        <f t="shared" si="11"/>
        <v>9.2429937256981731E-2</v>
      </c>
    </row>
    <row r="1015" spans="1:3" ht="13.2" x14ac:dyDescent="0.25">
      <c r="A1015" s="6">
        <v>1013</v>
      </c>
      <c r="B1015" s="7">
        <v>154.99740600585938</v>
      </c>
      <c r="C1015" s="3">
        <f t="shared" si="11"/>
        <v>0.13335085997001617</v>
      </c>
    </row>
    <row r="1016" spans="1:3" ht="13.2" x14ac:dyDescent="0.25">
      <c r="A1016" s="6">
        <v>1014</v>
      </c>
      <c r="B1016" s="7">
        <v>155.92626953125</v>
      </c>
      <c r="C1016" s="3">
        <f t="shared" si="11"/>
        <v>0.12167402011573521</v>
      </c>
    </row>
    <row r="1017" spans="1:3" ht="13.2" x14ac:dyDescent="0.25">
      <c r="A1017" s="6">
        <v>1015</v>
      </c>
      <c r="B1017" s="7">
        <v>153.31381225585938</v>
      </c>
      <c r="C1017" s="3">
        <f t="shared" si="11"/>
        <v>0.11812334982152624</v>
      </c>
    </row>
    <row r="1018" spans="1:3" ht="13.2" x14ac:dyDescent="0.25">
      <c r="A1018" s="6">
        <v>1016</v>
      </c>
      <c r="B1018" s="7">
        <v>151.79470825195313</v>
      </c>
      <c r="C1018" s="3">
        <f t="shared" si="11"/>
        <v>0.10939391866746453</v>
      </c>
    </row>
    <row r="1019" spans="1:3" ht="13.2" x14ac:dyDescent="0.25">
      <c r="A1019" s="6">
        <v>1017</v>
      </c>
      <c r="B1019" s="7">
        <v>156.73904418945313</v>
      </c>
      <c r="C1019" s="3">
        <f t="shared" si="11"/>
        <v>0.14042340690239014</v>
      </c>
    </row>
    <row r="1020" spans="1:3" ht="13.2" x14ac:dyDescent="0.25">
      <c r="A1020" s="6">
        <v>1018</v>
      </c>
      <c r="B1020" s="7">
        <v>157.9678955078125</v>
      </c>
      <c r="C1020" s="3">
        <f t="shared" si="11"/>
        <v>0.13778305803576268</v>
      </c>
    </row>
    <row r="1021" spans="1:3" ht="13.2" x14ac:dyDescent="0.25">
      <c r="A1021" s="6">
        <v>1019</v>
      </c>
      <c r="B1021" s="7">
        <v>160.00949096679688</v>
      </c>
      <c r="C1021" s="3">
        <f t="shared" si="11"/>
        <v>0.15414060331714341</v>
      </c>
    </row>
    <row r="1022" spans="1:3" ht="13.2" x14ac:dyDescent="0.25">
      <c r="A1022" s="6">
        <v>1020</v>
      </c>
      <c r="B1022" s="7">
        <v>160.14495849609375</v>
      </c>
      <c r="C1022" s="3">
        <f t="shared" si="11"/>
        <v>0.13201746069046216</v>
      </c>
    </row>
    <row r="1023" spans="1:3" ht="13.2" x14ac:dyDescent="0.25">
      <c r="A1023" s="6">
        <v>1021</v>
      </c>
      <c r="B1023" s="7">
        <v>156.41973876953125</v>
      </c>
      <c r="C1023" s="3">
        <f t="shared" ref="C1023:C1086" si="12">LN(B1023/B771)</f>
        <v>9.5458018423785734E-2</v>
      </c>
    </row>
    <row r="1024" spans="1:3" ht="13.2" x14ac:dyDescent="0.25">
      <c r="A1024" s="6">
        <v>1022</v>
      </c>
      <c r="B1024" s="7">
        <v>156.71002197265625</v>
      </c>
      <c r="C1024" s="3">
        <f t="shared" si="12"/>
        <v>9.7181493720313553E-2</v>
      </c>
    </row>
    <row r="1025" spans="1:3" ht="13.2" x14ac:dyDescent="0.25">
      <c r="A1025" s="6">
        <v>1023</v>
      </c>
      <c r="B1025" s="7">
        <v>156.43910217285156</v>
      </c>
      <c r="C1025" s="3">
        <f t="shared" si="12"/>
        <v>0.10095454085184506</v>
      </c>
    </row>
    <row r="1026" spans="1:3" ht="13.2" x14ac:dyDescent="0.25">
      <c r="A1026" s="6">
        <v>1024</v>
      </c>
      <c r="B1026" s="7">
        <v>153.10092163085938</v>
      </c>
      <c r="C1026" s="3">
        <f t="shared" si="12"/>
        <v>8.0239548625263238E-2</v>
      </c>
    </row>
    <row r="1027" spans="1:3" ht="13.2" x14ac:dyDescent="0.25">
      <c r="A1027" s="6">
        <v>1025</v>
      </c>
      <c r="B1027" s="7">
        <v>151.68826293945313</v>
      </c>
      <c r="C1027" s="3">
        <f t="shared" si="12"/>
        <v>7.3405645843474504E-2</v>
      </c>
    </row>
    <row r="1028" spans="1:3" ht="13.2" x14ac:dyDescent="0.25">
      <c r="A1028" s="6">
        <v>1026</v>
      </c>
      <c r="B1028" s="7">
        <v>151.41734313964844</v>
      </c>
      <c r="C1028" s="3">
        <f t="shared" si="12"/>
        <v>7.4985431463682861E-2</v>
      </c>
    </row>
    <row r="1029" spans="1:3" ht="13.2" x14ac:dyDescent="0.25">
      <c r="A1029" s="6">
        <v>1027</v>
      </c>
      <c r="B1029" s="7">
        <v>152.49136352539063</v>
      </c>
      <c r="C1029" s="3">
        <f t="shared" si="12"/>
        <v>8.9555071079562676E-2</v>
      </c>
    </row>
    <row r="1030" spans="1:3" ht="13.2" x14ac:dyDescent="0.25">
      <c r="A1030" s="6">
        <v>1028</v>
      </c>
      <c r="B1030" s="7">
        <v>151.70761108398438</v>
      </c>
      <c r="C1030" s="3">
        <f t="shared" si="12"/>
        <v>7.4588474312089925E-2</v>
      </c>
    </row>
    <row r="1031" spans="1:3" ht="13.2" x14ac:dyDescent="0.25">
      <c r="A1031" s="6">
        <v>1029</v>
      </c>
      <c r="B1031" s="7">
        <v>150.323974609375</v>
      </c>
      <c r="C1031" s="3">
        <f t="shared" si="12"/>
        <v>6.6020252905378482E-2</v>
      </c>
    </row>
    <row r="1032" spans="1:3" ht="13.2" x14ac:dyDescent="0.25">
      <c r="A1032" s="6">
        <v>1030</v>
      </c>
      <c r="B1032" s="7">
        <v>146.66650390625</v>
      </c>
      <c r="C1032" s="3">
        <f t="shared" si="12"/>
        <v>4.2842310184463911E-2</v>
      </c>
    </row>
    <row r="1033" spans="1:3" ht="13.2" x14ac:dyDescent="0.25">
      <c r="A1033" s="6">
        <v>1031</v>
      </c>
      <c r="B1033" s="7">
        <v>147.06320190429688</v>
      </c>
      <c r="C1033" s="3">
        <f t="shared" si="12"/>
        <v>4.3759878918422992E-2</v>
      </c>
    </row>
    <row r="1034" spans="1:3" ht="13.2" x14ac:dyDescent="0.25">
      <c r="A1034" s="6">
        <v>1032</v>
      </c>
      <c r="B1034" s="7">
        <v>149.5595703125</v>
      </c>
      <c r="C1034" s="3">
        <f t="shared" si="12"/>
        <v>7.4884227095993711E-2</v>
      </c>
    </row>
    <row r="1035" spans="1:3" ht="13.2" x14ac:dyDescent="0.25">
      <c r="A1035" s="6">
        <v>1033</v>
      </c>
      <c r="B1035" s="7">
        <v>148.50489807128906</v>
      </c>
      <c r="C1035" s="3">
        <f t="shared" si="12"/>
        <v>8.3530231353051876E-2</v>
      </c>
    </row>
    <row r="1036" spans="1:3" ht="13.2" x14ac:dyDescent="0.25">
      <c r="A1036" s="6">
        <v>1034</v>
      </c>
      <c r="B1036" s="7">
        <v>151.41734313964844</v>
      </c>
      <c r="C1036" s="3">
        <f t="shared" si="12"/>
        <v>0.11775203582418443</v>
      </c>
    </row>
    <row r="1037" spans="1:3" ht="13.2" x14ac:dyDescent="0.25">
      <c r="A1037" s="6">
        <v>1035</v>
      </c>
      <c r="B1037" s="7">
        <v>152.25914001464844</v>
      </c>
      <c r="C1037" s="3">
        <f t="shared" si="12"/>
        <v>0.13126588854194368</v>
      </c>
    </row>
    <row r="1038" spans="1:3" ht="13.2" x14ac:dyDescent="0.25">
      <c r="A1038" s="6">
        <v>1036</v>
      </c>
      <c r="B1038" s="7">
        <v>147.34379577636719</v>
      </c>
      <c r="C1038" s="3">
        <f t="shared" si="12"/>
        <v>0.10648438334501525</v>
      </c>
    </row>
    <row r="1039" spans="1:3" ht="13.2" x14ac:dyDescent="0.25">
      <c r="A1039" s="6">
        <v>1037</v>
      </c>
      <c r="B1039" s="7">
        <v>143.66697692871094</v>
      </c>
      <c r="C1039" s="3">
        <f t="shared" si="12"/>
        <v>7.8621988967492076E-2</v>
      </c>
    </row>
    <row r="1040" spans="1:3" ht="13.2" x14ac:dyDescent="0.25">
      <c r="A1040" s="6">
        <v>1038</v>
      </c>
      <c r="B1040" s="7">
        <v>147.52764892578125</v>
      </c>
      <c r="C1040" s="3">
        <f t="shared" si="12"/>
        <v>9.6918299013590004E-2</v>
      </c>
    </row>
    <row r="1041" spans="1:3" ht="13.2" x14ac:dyDescent="0.25">
      <c r="A1041" s="6">
        <v>1039</v>
      </c>
      <c r="B1041" s="7">
        <v>148.80487060546875</v>
      </c>
      <c r="C1041" s="3">
        <f t="shared" si="12"/>
        <v>0.13090630196750239</v>
      </c>
    </row>
    <row r="1042" spans="1:3" ht="13.2" x14ac:dyDescent="0.25">
      <c r="A1042" s="6">
        <v>1040</v>
      </c>
      <c r="B1042" s="7">
        <v>143.59925842285156</v>
      </c>
      <c r="C1042" s="3">
        <f t="shared" si="12"/>
        <v>7.9620671923135031E-2</v>
      </c>
    </row>
    <row r="1043" spans="1:3" ht="13.2" x14ac:dyDescent="0.25">
      <c r="A1043" s="6">
        <v>1041</v>
      </c>
      <c r="B1043" s="7">
        <v>145.91177368164063</v>
      </c>
      <c r="C1043" s="3">
        <f t="shared" si="12"/>
        <v>0.11205579192433096</v>
      </c>
    </row>
    <row r="1044" spans="1:3" ht="13.2" x14ac:dyDescent="0.25">
      <c r="A1044" s="6">
        <v>1042</v>
      </c>
      <c r="B1044" s="7">
        <v>144.46040344238281</v>
      </c>
      <c r="C1044" s="3">
        <f t="shared" si="12"/>
        <v>0.10519766520826079</v>
      </c>
    </row>
    <row r="1045" spans="1:3" ht="13.2" x14ac:dyDescent="0.25">
      <c r="A1045" s="6">
        <v>1043</v>
      </c>
      <c r="B1045" s="7">
        <v>146.80195617675781</v>
      </c>
      <c r="C1045" s="3">
        <f t="shared" si="12"/>
        <v>0.13422089486515251</v>
      </c>
    </row>
    <row r="1046" spans="1:3" ht="13.2" x14ac:dyDescent="0.25">
      <c r="A1046" s="6">
        <v>1044</v>
      </c>
      <c r="B1046" s="7">
        <v>148.51458740234375</v>
      </c>
      <c r="C1046" s="3">
        <f t="shared" si="12"/>
        <v>0.14589215296034808</v>
      </c>
    </row>
    <row r="1047" spans="1:3" ht="13.2" x14ac:dyDescent="0.25">
      <c r="A1047" s="6">
        <v>1045</v>
      </c>
      <c r="B1047" s="7">
        <v>152.82032775878906</v>
      </c>
      <c r="C1047" s="3">
        <f t="shared" si="12"/>
        <v>0.16166964920247329</v>
      </c>
    </row>
    <row r="1048" spans="1:3" ht="13.2" x14ac:dyDescent="0.25">
      <c r="A1048" s="6">
        <v>1046</v>
      </c>
      <c r="B1048" s="7">
        <v>148.26300048828125</v>
      </c>
      <c r="C1048" s="3">
        <f t="shared" si="12"/>
        <v>0.10759626710255701</v>
      </c>
    </row>
    <row r="1049" spans="1:3" ht="13.2" x14ac:dyDescent="0.25">
      <c r="A1049" s="6">
        <v>1047</v>
      </c>
      <c r="B1049" s="7">
        <v>150.51747131347656</v>
      </c>
      <c r="C1049" s="3">
        <f t="shared" si="12"/>
        <v>0.13645967937196671</v>
      </c>
    </row>
    <row r="1050" spans="1:3" ht="13.2" x14ac:dyDescent="0.25">
      <c r="A1050" s="6">
        <v>1048</v>
      </c>
      <c r="B1050" s="7">
        <v>150.82711791992188</v>
      </c>
      <c r="C1050" s="3">
        <f t="shared" si="12"/>
        <v>0.14761235580170748</v>
      </c>
    </row>
    <row r="1051" spans="1:3" ht="13.2" x14ac:dyDescent="0.25">
      <c r="A1051" s="6">
        <v>1049</v>
      </c>
      <c r="B1051" s="7">
        <v>149.47247314453125</v>
      </c>
      <c r="C1051" s="3">
        <f t="shared" si="12"/>
        <v>0.13538269729448413</v>
      </c>
    </row>
    <row r="1052" spans="1:3" ht="13.2" x14ac:dyDescent="0.25">
      <c r="A1052" s="6">
        <v>1050</v>
      </c>
      <c r="B1052" s="7">
        <v>154.91032409667969</v>
      </c>
      <c r="C1052" s="3">
        <f t="shared" si="12"/>
        <v>0.17718454195209168</v>
      </c>
    </row>
    <row r="1053" spans="1:3" ht="13.2" x14ac:dyDescent="0.25">
      <c r="A1053" s="6">
        <v>1051</v>
      </c>
      <c r="B1053" s="7">
        <v>160.30943298339844</v>
      </c>
      <c r="C1053" s="3">
        <f t="shared" si="12"/>
        <v>0.21223189638313733</v>
      </c>
    </row>
    <row r="1054" spans="1:3" ht="13.2" x14ac:dyDescent="0.25">
      <c r="A1054" s="6">
        <v>1052</v>
      </c>
      <c r="B1054" s="7">
        <v>154.81355285644531</v>
      </c>
      <c r="C1054" s="3">
        <f t="shared" si="12"/>
        <v>0.1614234988693023</v>
      </c>
    </row>
    <row r="1055" spans="1:3" ht="13.2" x14ac:dyDescent="0.25">
      <c r="A1055" s="6">
        <v>1053</v>
      </c>
      <c r="B1055" s="7">
        <v>152.10430908203125</v>
      </c>
      <c r="C1055" s="3">
        <f t="shared" si="12"/>
        <v>0.17282020275909885</v>
      </c>
    </row>
    <row r="1056" spans="1:3" ht="13.2" x14ac:dyDescent="0.25">
      <c r="A1056" s="6">
        <v>1054</v>
      </c>
      <c r="B1056" s="7">
        <v>151.78501892089844</v>
      </c>
      <c r="C1056" s="3">
        <f t="shared" si="12"/>
        <v>0.161827948938085</v>
      </c>
    </row>
    <row r="1057" spans="1:3" ht="13.2" x14ac:dyDescent="0.25">
      <c r="A1057" s="6">
        <v>1055</v>
      </c>
      <c r="B1057" s="7">
        <v>156.27461242675781</v>
      </c>
      <c r="C1057" s="3">
        <f t="shared" si="12"/>
        <v>0.15987452923828493</v>
      </c>
    </row>
    <row r="1058" spans="1:3" ht="13.2" x14ac:dyDescent="0.25">
      <c r="A1058" s="6">
        <v>1056</v>
      </c>
      <c r="B1058" s="7">
        <v>158.55810546875</v>
      </c>
      <c r="C1058" s="3">
        <f t="shared" si="12"/>
        <v>0.18857263481617301</v>
      </c>
    </row>
    <row r="1059" spans="1:3" ht="13.2" x14ac:dyDescent="0.25">
      <c r="A1059" s="6">
        <v>1057</v>
      </c>
      <c r="B1059" s="7">
        <v>161.24800109863281</v>
      </c>
      <c r="C1059" s="3">
        <f t="shared" si="12"/>
        <v>0.20440490819557239</v>
      </c>
    </row>
    <row r="1060" spans="1:3" ht="13.2" x14ac:dyDescent="0.25">
      <c r="A1060" s="6">
        <v>1058</v>
      </c>
      <c r="B1060" s="7">
        <v>162.88320922851563</v>
      </c>
      <c r="C1060" s="3">
        <f t="shared" si="12"/>
        <v>0.21718439073311446</v>
      </c>
    </row>
    <row r="1061" spans="1:3" ht="13.2" x14ac:dyDescent="0.25">
      <c r="A1061" s="6">
        <v>1059</v>
      </c>
      <c r="B1061" s="7">
        <v>160.52229309082031</v>
      </c>
      <c r="C1061" s="3">
        <f t="shared" si="12"/>
        <v>0.20173358697082092</v>
      </c>
    </row>
    <row r="1062" spans="1:3" ht="13.2" x14ac:dyDescent="0.25">
      <c r="A1062" s="6">
        <v>1060</v>
      </c>
      <c r="B1062" s="7">
        <v>161.96400451660156</v>
      </c>
      <c r="C1062" s="3">
        <f t="shared" si="12"/>
        <v>0.21571563169719538</v>
      </c>
    </row>
    <row r="1063" spans="1:3" ht="13.2" x14ac:dyDescent="0.25">
      <c r="A1063" s="6">
        <v>1061</v>
      </c>
      <c r="B1063" s="7">
        <v>159.87400817871094</v>
      </c>
      <c r="C1063" s="3">
        <f t="shared" si="12"/>
        <v>0.20629270335328587</v>
      </c>
    </row>
    <row r="1064" spans="1:3" ht="13.2" x14ac:dyDescent="0.25">
      <c r="A1064" s="6">
        <v>1062</v>
      </c>
      <c r="B1064" s="7">
        <v>160.60940551757813</v>
      </c>
      <c r="C1064" s="3">
        <f t="shared" si="12"/>
        <v>0.21949030898661365</v>
      </c>
    </row>
    <row r="1065" spans="1:3" ht="13.2" x14ac:dyDescent="0.25">
      <c r="A1065" s="6">
        <v>1063</v>
      </c>
      <c r="B1065" s="7">
        <v>161.36410522460938</v>
      </c>
      <c r="C1065" s="3">
        <f t="shared" si="12"/>
        <v>0.21556998192746468</v>
      </c>
    </row>
    <row r="1066" spans="1:3" ht="13.2" x14ac:dyDescent="0.25">
      <c r="A1066" s="6">
        <v>1064</v>
      </c>
      <c r="B1066" s="7">
        <v>159.19671630859375</v>
      </c>
      <c r="C1066" s="3">
        <f t="shared" si="12"/>
        <v>0.21231385523629828</v>
      </c>
    </row>
    <row r="1067" spans="1:3" ht="13.2" x14ac:dyDescent="0.25">
      <c r="A1067" s="6">
        <v>1065</v>
      </c>
      <c r="B1067" s="7">
        <v>160.84161376953125</v>
      </c>
      <c r="C1067" s="3">
        <f t="shared" si="12"/>
        <v>0.20997231499150729</v>
      </c>
    </row>
    <row r="1068" spans="1:3" ht="13.2" x14ac:dyDescent="0.25">
      <c r="A1068" s="6">
        <v>1066</v>
      </c>
      <c r="B1068" s="7">
        <v>160.66744995117188</v>
      </c>
      <c r="C1068" s="3">
        <f t="shared" si="12"/>
        <v>0.20590046358032721</v>
      </c>
    </row>
    <row r="1069" spans="1:3" ht="13.2" x14ac:dyDescent="0.25">
      <c r="A1069" s="6">
        <v>1067</v>
      </c>
      <c r="B1069" s="7">
        <v>162.49618530273438</v>
      </c>
      <c r="C1069" s="3">
        <f t="shared" si="12"/>
        <v>0.22006407198382971</v>
      </c>
    </row>
    <row r="1070" spans="1:3" ht="13.2" x14ac:dyDescent="0.25">
      <c r="A1070" s="6">
        <v>1068</v>
      </c>
      <c r="B1070" s="7">
        <v>163.33798217773438</v>
      </c>
      <c r="C1070" s="3">
        <f t="shared" si="12"/>
        <v>0.22039794745816454</v>
      </c>
    </row>
    <row r="1071" spans="1:3" ht="13.2" x14ac:dyDescent="0.25">
      <c r="A1071" s="6">
        <v>1069</v>
      </c>
      <c r="B1071" s="7">
        <v>163.54118347167969</v>
      </c>
      <c r="C1071" s="3">
        <f t="shared" si="12"/>
        <v>0.21246562007325048</v>
      </c>
    </row>
    <row r="1072" spans="1:3" ht="13.2" x14ac:dyDescent="0.25">
      <c r="A1072" s="6">
        <v>1070</v>
      </c>
      <c r="B1072" s="7">
        <v>161.5576171875</v>
      </c>
      <c r="C1072" s="3">
        <f t="shared" si="12"/>
        <v>0.18901438625884881</v>
      </c>
    </row>
    <row r="1073" spans="1:3" ht="13.2" x14ac:dyDescent="0.25">
      <c r="A1073" s="6">
        <v>1071</v>
      </c>
      <c r="B1073" s="7">
        <v>162.30267333984375</v>
      </c>
      <c r="C1073" s="3">
        <f t="shared" si="12"/>
        <v>0.18648504705722915</v>
      </c>
    </row>
    <row r="1074" spans="1:3" ht="13.2" x14ac:dyDescent="0.25">
      <c r="A1074" s="6">
        <v>1072</v>
      </c>
      <c r="B1074" s="7">
        <v>164.67323303222656</v>
      </c>
      <c r="C1074" s="3">
        <f t="shared" si="12"/>
        <v>0.18138143394007894</v>
      </c>
    </row>
    <row r="1075" spans="1:3" ht="13.2" x14ac:dyDescent="0.25">
      <c r="A1075" s="6">
        <v>1073</v>
      </c>
      <c r="B1075" s="7">
        <v>165.05059814453125</v>
      </c>
      <c r="C1075" s="3">
        <f t="shared" si="12"/>
        <v>0.19955630785506426</v>
      </c>
    </row>
    <row r="1076" spans="1:3" ht="13.2" x14ac:dyDescent="0.25">
      <c r="A1076" s="6">
        <v>1074</v>
      </c>
      <c r="B1076" s="7">
        <v>165.59245300292969</v>
      </c>
      <c r="C1076" s="3">
        <f t="shared" si="12"/>
        <v>0.20331505011674803</v>
      </c>
    </row>
    <row r="1077" spans="1:3" ht="13.2" x14ac:dyDescent="0.25">
      <c r="A1077" s="6">
        <v>1075</v>
      </c>
      <c r="B1077" s="7">
        <v>164.91513061523438</v>
      </c>
      <c r="C1077" s="3">
        <f t="shared" si="12"/>
        <v>0.19482556511825505</v>
      </c>
    </row>
    <row r="1078" spans="1:3" ht="13.2" x14ac:dyDescent="0.25">
      <c r="A1078" s="6">
        <v>1076</v>
      </c>
      <c r="B1078" s="7">
        <v>164.32492065429688</v>
      </c>
      <c r="C1078" s="3">
        <f t="shared" si="12"/>
        <v>0.20100839239162019</v>
      </c>
    </row>
    <row r="1079" spans="1:3" ht="13.2" x14ac:dyDescent="0.25">
      <c r="A1079" s="6">
        <v>1077</v>
      </c>
      <c r="B1079" s="7">
        <v>164.66357421875</v>
      </c>
      <c r="C1079" s="3">
        <f t="shared" si="12"/>
        <v>0.19384692693226582</v>
      </c>
    </row>
    <row r="1080" spans="1:3" ht="13.2" x14ac:dyDescent="0.25">
      <c r="A1080" s="6">
        <v>1078</v>
      </c>
      <c r="B1080" s="7">
        <v>164.89579772949219</v>
      </c>
      <c r="C1080" s="3">
        <f t="shared" si="12"/>
        <v>0.19841178324232162</v>
      </c>
    </row>
    <row r="1081" spans="1:3" ht="13.2" x14ac:dyDescent="0.25">
      <c r="A1081" s="6">
        <v>1079</v>
      </c>
      <c r="B1081" s="7">
        <v>162.55422973632813</v>
      </c>
      <c r="C1081" s="3">
        <f t="shared" si="12"/>
        <v>0.16971600916306417</v>
      </c>
    </row>
    <row r="1082" spans="1:3" ht="13.2" x14ac:dyDescent="0.25">
      <c r="A1082" s="6">
        <v>1080</v>
      </c>
      <c r="B1082" s="7">
        <v>161.06416320800781</v>
      </c>
      <c r="C1082" s="3">
        <f t="shared" si="12"/>
        <v>0.14932714365671512</v>
      </c>
    </row>
    <row r="1083" spans="1:3" ht="13.2" x14ac:dyDescent="0.25">
      <c r="A1083" s="6">
        <v>1081</v>
      </c>
      <c r="B1083" s="7">
        <v>160.76419067382813</v>
      </c>
      <c r="C1083" s="3">
        <f t="shared" si="12"/>
        <v>0.17882504257939752</v>
      </c>
    </row>
    <row r="1084" spans="1:3" ht="13.2" x14ac:dyDescent="0.25">
      <c r="A1084" s="6">
        <v>1082</v>
      </c>
      <c r="B1084" s="7">
        <v>164.5184326171875</v>
      </c>
      <c r="C1084" s="3">
        <f t="shared" si="12"/>
        <v>0.20177078907398069</v>
      </c>
    </row>
    <row r="1085" spans="1:3" ht="13.2" x14ac:dyDescent="0.25">
      <c r="A1085" s="6">
        <v>1083</v>
      </c>
      <c r="B1085" s="7">
        <v>168.37910461425781</v>
      </c>
      <c r="C1085" s="3">
        <f t="shared" si="12"/>
        <v>0.25022731386068392</v>
      </c>
    </row>
    <row r="1086" spans="1:3" ht="13.2" x14ac:dyDescent="0.25">
      <c r="A1086" s="6">
        <v>1084</v>
      </c>
      <c r="B1086" s="7">
        <v>166.6761474609375</v>
      </c>
      <c r="C1086" s="3">
        <f t="shared" si="12"/>
        <v>0.21238522129508705</v>
      </c>
    </row>
    <row r="1087" spans="1:3" ht="13.2" x14ac:dyDescent="0.25">
      <c r="A1087" s="6">
        <v>1085</v>
      </c>
      <c r="B1087" s="7">
        <v>166.1246337890625</v>
      </c>
      <c r="C1087" s="3">
        <f t="shared" ref="C1087:C1150" si="13">LN(B1087/B835)</f>
        <v>0.19987644486200845</v>
      </c>
    </row>
    <row r="1088" spans="1:3" ht="13.2" x14ac:dyDescent="0.25">
      <c r="A1088" s="6">
        <v>1086</v>
      </c>
      <c r="B1088" s="7">
        <v>164.07334899902344</v>
      </c>
      <c r="C1088" s="3">
        <f t="shared" si="13"/>
        <v>0.19871625245078733</v>
      </c>
    </row>
    <row r="1089" spans="1:3" ht="13.2" x14ac:dyDescent="0.25">
      <c r="A1089" s="6">
        <v>1087</v>
      </c>
      <c r="B1089" s="7">
        <v>162.69935607910156</v>
      </c>
      <c r="C1089" s="3">
        <f t="shared" si="13"/>
        <v>0.20093146269133833</v>
      </c>
    </row>
    <row r="1090" spans="1:3" ht="13.2" x14ac:dyDescent="0.25">
      <c r="A1090" s="6">
        <v>1088</v>
      </c>
      <c r="B1090" s="7">
        <v>162.18655395507813</v>
      </c>
      <c r="C1090" s="3">
        <f t="shared" si="13"/>
        <v>0.20344565628603059</v>
      </c>
    </row>
    <row r="1091" spans="1:3" ht="13.2" x14ac:dyDescent="0.25">
      <c r="A1091" s="6">
        <v>1089</v>
      </c>
      <c r="B1091" s="7">
        <v>161.18026733398438</v>
      </c>
      <c r="C1091" s="3">
        <f t="shared" si="13"/>
        <v>0.23361276846371756</v>
      </c>
    </row>
    <row r="1092" spans="1:3" ht="13.2" x14ac:dyDescent="0.25">
      <c r="A1092" s="6">
        <v>1090</v>
      </c>
      <c r="B1092" s="7">
        <v>162.75743103027344</v>
      </c>
      <c r="C1092" s="3">
        <f t="shared" si="13"/>
        <v>0.24320465620680612</v>
      </c>
    </row>
    <row r="1093" spans="1:3" ht="13.2" x14ac:dyDescent="0.25">
      <c r="A1093" s="6">
        <v>1091</v>
      </c>
      <c r="B1093" s="7">
        <v>168.64033508300781</v>
      </c>
      <c r="C1093" s="3">
        <f t="shared" si="13"/>
        <v>0.27391860338165264</v>
      </c>
    </row>
    <row r="1094" spans="1:3" ht="13.2" x14ac:dyDescent="0.25">
      <c r="A1094" s="6">
        <v>1092</v>
      </c>
      <c r="B1094" s="7">
        <v>169.48214721679688</v>
      </c>
      <c r="C1094" s="3">
        <f t="shared" si="13"/>
        <v>0.29489248569150561</v>
      </c>
    </row>
    <row r="1095" spans="1:3" ht="13.2" x14ac:dyDescent="0.25">
      <c r="A1095" s="6">
        <v>1093</v>
      </c>
      <c r="B1095" s="7">
        <v>171.35926818847656</v>
      </c>
      <c r="C1095" s="3">
        <f t="shared" si="13"/>
        <v>0.30105993805703568</v>
      </c>
    </row>
    <row r="1096" spans="1:3" ht="13.2" x14ac:dyDescent="0.25">
      <c r="A1096" s="6">
        <v>1094</v>
      </c>
      <c r="B1096" s="7">
        <v>169.32731628417969</v>
      </c>
      <c r="C1096" s="3">
        <f t="shared" si="13"/>
        <v>0.26903991399702187</v>
      </c>
    </row>
    <row r="1097" spans="1:3" ht="13.2" x14ac:dyDescent="0.25">
      <c r="A1097" s="6">
        <v>1095</v>
      </c>
      <c r="B1097" s="7">
        <v>168.85322570800781</v>
      </c>
      <c r="C1097" s="3">
        <f t="shared" si="13"/>
        <v>0.26875257527427315</v>
      </c>
    </row>
    <row r="1098" spans="1:3" ht="13.2" x14ac:dyDescent="0.25">
      <c r="A1098" s="6">
        <v>1096</v>
      </c>
      <c r="B1098" s="7">
        <v>172.8203125</v>
      </c>
      <c r="C1098" s="3">
        <f t="shared" si="13"/>
        <v>0.31072296882299216</v>
      </c>
    </row>
    <row r="1099" spans="1:3" ht="13.2" x14ac:dyDescent="0.25">
      <c r="A1099" s="6">
        <v>1097</v>
      </c>
      <c r="B1099" s="7">
        <v>171.11738586425781</v>
      </c>
      <c r="C1099" s="3">
        <f t="shared" si="13"/>
        <v>0.30626317632132266</v>
      </c>
    </row>
    <row r="1100" spans="1:3" ht="13.2" x14ac:dyDescent="0.25">
      <c r="A1100" s="6">
        <v>1098</v>
      </c>
      <c r="B1100" s="7">
        <v>174.48455810546875</v>
      </c>
      <c r="C1100" s="3">
        <f t="shared" si="13"/>
        <v>0.32309814927650865</v>
      </c>
    </row>
    <row r="1101" spans="1:3" ht="13.2" x14ac:dyDescent="0.25">
      <c r="A1101" s="6">
        <v>1099</v>
      </c>
      <c r="B1101" s="7">
        <v>172.58808898925781</v>
      </c>
      <c r="C1101" s="3">
        <f t="shared" si="13"/>
        <v>0.31992303935920824</v>
      </c>
    </row>
    <row r="1102" spans="1:3" ht="13.2" x14ac:dyDescent="0.25">
      <c r="A1102" s="6">
        <v>1100</v>
      </c>
      <c r="B1102" s="7">
        <v>168.34039306640625</v>
      </c>
      <c r="C1102" s="3">
        <f t="shared" si="13"/>
        <v>0.30266786745990387</v>
      </c>
    </row>
    <row r="1103" spans="1:3" ht="13.2" x14ac:dyDescent="0.25">
      <c r="A1103" s="6">
        <v>1101</v>
      </c>
      <c r="B1103" s="7">
        <v>167.48892211914063</v>
      </c>
      <c r="C1103" s="3">
        <f t="shared" si="13"/>
        <v>0.2698972209967665</v>
      </c>
    </row>
    <row r="1104" spans="1:3" ht="13.2" x14ac:dyDescent="0.25">
      <c r="A1104" s="6">
        <v>1102</v>
      </c>
      <c r="B1104" s="7">
        <v>165.57308959960938</v>
      </c>
      <c r="C1104" s="3">
        <f t="shared" si="13"/>
        <v>0.26942484409061757</v>
      </c>
    </row>
    <row r="1105" spans="1:3" ht="13.2" x14ac:dyDescent="0.25">
      <c r="A1105" s="6">
        <v>1103</v>
      </c>
      <c r="B1105" s="7">
        <v>165.35057067871094</v>
      </c>
      <c r="C1105" s="3">
        <f t="shared" si="13"/>
        <v>0.25893903482500252</v>
      </c>
    </row>
    <row r="1106" spans="1:3" ht="13.2" x14ac:dyDescent="0.25">
      <c r="A1106" s="6">
        <v>1104</v>
      </c>
      <c r="B1106" s="7">
        <v>162.56390380859375</v>
      </c>
      <c r="C1106" s="3">
        <f t="shared" si="13"/>
        <v>0.24515017938682382</v>
      </c>
    </row>
    <row r="1107" spans="1:3" ht="13.2" x14ac:dyDescent="0.25">
      <c r="A1107" s="6">
        <v>1105</v>
      </c>
      <c r="B1107" s="7">
        <v>163.51216125488281</v>
      </c>
      <c r="C1107" s="3">
        <f t="shared" si="13"/>
        <v>0.25213574591357357</v>
      </c>
    </row>
    <row r="1108" spans="1:3" ht="13.2" x14ac:dyDescent="0.25">
      <c r="A1108" s="6">
        <v>1106</v>
      </c>
      <c r="B1108" s="7">
        <v>162.79612731933594</v>
      </c>
      <c r="C1108" s="3">
        <f t="shared" si="13"/>
        <v>0.23988146792923404</v>
      </c>
    </row>
    <row r="1109" spans="1:3" ht="13.2" x14ac:dyDescent="0.25">
      <c r="A1109" s="6">
        <v>1107</v>
      </c>
      <c r="B1109" s="7">
        <v>166.18269348144531</v>
      </c>
      <c r="C1109" s="3">
        <f t="shared" si="13"/>
        <v>0.27354076894751156</v>
      </c>
    </row>
    <row r="1110" spans="1:3" ht="13.2" x14ac:dyDescent="0.25">
      <c r="A1110" s="6">
        <v>1108</v>
      </c>
      <c r="B1110" s="7">
        <v>165.59245300292969</v>
      </c>
      <c r="C1110" s="3">
        <f t="shared" si="13"/>
        <v>0.27477146917733947</v>
      </c>
    </row>
    <row r="1111" spans="1:3" ht="13.2" x14ac:dyDescent="0.25">
      <c r="A1111" s="6">
        <v>1109</v>
      </c>
      <c r="B1111" s="7">
        <v>163.13479614257813</v>
      </c>
      <c r="C1111" s="3">
        <f t="shared" si="13"/>
        <v>0.24522950920483619</v>
      </c>
    </row>
    <row r="1112" spans="1:3" ht="13.2" x14ac:dyDescent="0.25">
      <c r="A1112" s="6">
        <v>1110</v>
      </c>
      <c r="B1112" s="7">
        <v>165.48602294921875</v>
      </c>
      <c r="C1112" s="3">
        <f t="shared" si="13"/>
        <v>0.26772413907556586</v>
      </c>
    </row>
    <row r="1113" spans="1:3" ht="13.2" x14ac:dyDescent="0.25">
      <c r="A1113" s="6">
        <v>1111</v>
      </c>
      <c r="B1113" s="7">
        <v>169.18220520019531</v>
      </c>
      <c r="C1113" s="3">
        <f t="shared" si="13"/>
        <v>0.29069458068091558</v>
      </c>
    </row>
    <row r="1114" spans="1:3" ht="13.2" x14ac:dyDescent="0.25">
      <c r="A1114" s="6">
        <v>1112</v>
      </c>
      <c r="B1114" s="7">
        <v>166.5697021484375</v>
      </c>
      <c r="C1114" s="3">
        <f t="shared" si="13"/>
        <v>0.30117335150888869</v>
      </c>
    </row>
    <row r="1115" spans="1:3" ht="13.2" x14ac:dyDescent="0.25">
      <c r="A1115" s="6">
        <v>1113</v>
      </c>
      <c r="B1115" s="7">
        <v>167.19865417480469</v>
      </c>
      <c r="C1115" s="3">
        <f t="shared" si="13"/>
        <v>0.29474255690065398</v>
      </c>
    </row>
    <row r="1116" spans="1:3" ht="13.2" x14ac:dyDescent="0.25">
      <c r="A1116" s="6">
        <v>1114</v>
      </c>
      <c r="B1116" s="7">
        <v>166.9664306640625</v>
      </c>
      <c r="C1116" s="3">
        <f t="shared" si="13"/>
        <v>0.28636323358997823</v>
      </c>
    </row>
    <row r="1117" spans="1:3" ht="13.2" x14ac:dyDescent="0.25">
      <c r="A1117" s="6">
        <v>1115</v>
      </c>
      <c r="B1117" s="7">
        <v>163.96693420410156</v>
      </c>
      <c r="C1117" s="3">
        <f t="shared" si="13"/>
        <v>0.28708409159226589</v>
      </c>
    </row>
    <row r="1118" spans="1:3" ht="13.2" x14ac:dyDescent="0.25">
      <c r="A1118" s="6">
        <v>1116</v>
      </c>
      <c r="B1118" s="7">
        <v>163.38636779785156</v>
      </c>
      <c r="C1118" s="3">
        <f t="shared" si="13"/>
        <v>0.30567702166768512</v>
      </c>
    </row>
    <row r="1119" spans="1:3" ht="13.2" x14ac:dyDescent="0.25">
      <c r="A1119" s="6">
        <v>1117</v>
      </c>
      <c r="B1119" s="7">
        <v>164.14106750488281</v>
      </c>
      <c r="C1119" s="3">
        <f t="shared" si="13"/>
        <v>0.33221640226991866</v>
      </c>
    </row>
    <row r="1120" spans="1:3" ht="13.2" x14ac:dyDescent="0.25">
      <c r="A1120" s="6">
        <v>1118</v>
      </c>
      <c r="B1120" s="7">
        <v>166.95675659179688</v>
      </c>
      <c r="C1120" s="3">
        <f t="shared" si="13"/>
        <v>0.32582850273311759</v>
      </c>
    </row>
    <row r="1121" spans="1:3" ht="13.2" x14ac:dyDescent="0.25">
      <c r="A1121" s="6">
        <v>1119</v>
      </c>
      <c r="B1121" s="7">
        <v>164.53779602050781</v>
      </c>
      <c r="C1121" s="3">
        <f t="shared" si="13"/>
        <v>0.28566370524577545</v>
      </c>
    </row>
    <row r="1122" spans="1:3" ht="13.2" x14ac:dyDescent="0.25">
      <c r="A1122" s="6">
        <v>1120</v>
      </c>
      <c r="B1122" s="7">
        <v>164.66357421875</v>
      </c>
      <c r="C1122" s="3">
        <f t="shared" si="13"/>
        <v>0.2729197207187487</v>
      </c>
    </row>
    <row r="1123" spans="1:3" ht="13.2" x14ac:dyDescent="0.25">
      <c r="A1123" s="6">
        <v>1121</v>
      </c>
      <c r="B1123" s="7">
        <v>165.21510314941406</v>
      </c>
      <c r="C1123" s="3">
        <f t="shared" si="13"/>
        <v>0.25158908325771184</v>
      </c>
    </row>
    <row r="1124" spans="1:3" ht="13.2" x14ac:dyDescent="0.25">
      <c r="A1124" s="6">
        <v>1122</v>
      </c>
      <c r="B1124" s="7">
        <v>160.21267700195313</v>
      </c>
      <c r="C1124" s="3">
        <f t="shared" si="13"/>
        <v>0.2375434427034962</v>
      </c>
    </row>
    <row r="1125" spans="1:3" ht="13.2" x14ac:dyDescent="0.25">
      <c r="A1125" s="6">
        <v>1123</v>
      </c>
      <c r="B1125" s="7">
        <v>160.10623168945313</v>
      </c>
      <c r="C1125" s="3">
        <f t="shared" si="13"/>
        <v>0.20867312792309839</v>
      </c>
    </row>
    <row r="1126" spans="1:3" ht="13.2" x14ac:dyDescent="0.25">
      <c r="A1126" s="6">
        <v>1124</v>
      </c>
      <c r="B1126" s="7">
        <v>156.98095703125</v>
      </c>
      <c r="C1126" s="3">
        <f t="shared" si="13"/>
        <v>0.18830334798680901</v>
      </c>
    </row>
    <row r="1127" spans="1:3" ht="13.2" x14ac:dyDescent="0.25">
      <c r="A1127" s="6">
        <v>1125</v>
      </c>
      <c r="B1127" s="7">
        <v>158.26783752441406</v>
      </c>
      <c r="C1127" s="3">
        <f t="shared" si="13"/>
        <v>0.19829335648420965</v>
      </c>
    </row>
    <row r="1128" spans="1:3" ht="13.2" x14ac:dyDescent="0.25">
      <c r="A1128" s="6">
        <v>1126</v>
      </c>
      <c r="B1128" s="7">
        <v>160.14495849609375</v>
      </c>
      <c r="C1128" s="3">
        <f t="shared" si="13"/>
        <v>0.17172361848810117</v>
      </c>
    </row>
    <row r="1129" spans="1:3" ht="13.2" x14ac:dyDescent="0.25">
      <c r="A1129" s="6">
        <v>1127</v>
      </c>
      <c r="B1129" s="7">
        <v>159.77726745605469</v>
      </c>
      <c r="C1129" s="3">
        <f t="shared" si="13"/>
        <v>0.15656494447195596</v>
      </c>
    </row>
    <row r="1130" spans="1:3" ht="13.2" x14ac:dyDescent="0.25">
      <c r="A1130" s="6">
        <v>1128</v>
      </c>
      <c r="B1130" s="7">
        <v>161.87692260742188</v>
      </c>
      <c r="C1130" s="3">
        <f t="shared" si="13"/>
        <v>0.16511683697188617</v>
      </c>
    </row>
    <row r="1131" spans="1:3" ht="13.2" x14ac:dyDescent="0.25">
      <c r="A1131" s="6">
        <v>1129</v>
      </c>
      <c r="B1131" s="7">
        <v>161.02543640136719</v>
      </c>
      <c r="C1131" s="3">
        <f t="shared" si="13"/>
        <v>0.15377761567350401</v>
      </c>
    </row>
    <row r="1132" spans="1:3" ht="13.2" x14ac:dyDescent="0.25">
      <c r="A1132" s="6">
        <v>1130</v>
      </c>
      <c r="B1132" s="7">
        <v>159.99014282226563</v>
      </c>
      <c r="C1132" s="3">
        <f t="shared" si="13"/>
        <v>0.13659705238585484</v>
      </c>
    </row>
    <row r="1133" spans="1:3" ht="13.2" x14ac:dyDescent="0.25">
      <c r="A1133" s="6">
        <v>1131</v>
      </c>
      <c r="B1133" s="7">
        <v>155.51020812988281</v>
      </c>
      <c r="C1133" s="3">
        <f t="shared" si="13"/>
        <v>0.11734746182875015</v>
      </c>
    </row>
    <row r="1134" spans="1:3" ht="13.2" x14ac:dyDescent="0.25">
      <c r="A1134" s="6">
        <v>1132</v>
      </c>
      <c r="B1134" s="7">
        <v>153.49763488769531</v>
      </c>
      <c r="C1134" s="3">
        <f t="shared" si="13"/>
        <v>0.10123863694296896</v>
      </c>
    </row>
    <row r="1135" spans="1:3" ht="13.2" x14ac:dyDescent="0.25">
      <c r="A1135" s="6">
        <v>1133</v>
      </c>
      <c r="B1135" s="7">
        <v>153.23638916015625</v>
      </c>
      <c r="C1135" s="3">
        <f t="shared" si="13"/>
        <v>9.0479942374164735E-2</v>
      </c>
    </row>
    <row r="1136" spans="1:3" ht="13.2" x14ac:dyDescent="0.25">
      <c r="A1136" s="6">
        <v>1134</v>
      </c>
      <c r="B1136" s="7">
        <v>153.30412292480469</v>
      </c>
      <c r="C1136" s="3">
        <f t="shared" si="13"/>
        <v>0.10292262468457175</v>
      </c>
    </row>
    <row r="1137" spans="1:3" ht="13.2" x14ac:dyDescent="0.25">
      <c r="A1137" s="6">
        <v>1135</v>
      </c>
      <c r="B1137" s="7">
        <v>153.81695556640625</v>
      </c>
      <c r="C1137" s="3">
        <f t="shared" si="13"/>
        <v>9.9289716989221469E-2</v>
      </c>
    </row>
    <row r="1138" spans="1:3" ht="13.2" x14ac:dyDescent="0.25">
      <c r="A1138" s="6">
        <v>1136</v>
      </c>
      <c r="B1138" s="7">
        <v>153.71051025390625</v>
      </c>
      <c r="C1138" s="3">
        <f t="shared" si="13"/>
        <v>0.10845498935615976</v>
      </c>
    </row>
    <row r="1139" spans="1:3" ht="13.2" x14ac:dyDescent="0.25">
      <c r="A1139" s="6">
        <v>1137</v>
      </c>
      <c r="B1139" s="7">
        <v>156.62294006347656</v>
      </c>
      <c r="C1139" s="3">
        <f t="shared" si="13"/>
        <v>0.12626255022064933</v>
      </c>
    </row>
    <row r="1140" spans="1:3" ht="13.2" x14ac:dyDescent="0.25">
      <c r="A1140" s="6">
        <v>1138</v>
      </c>
      <c r="B1140" s="7">
        <v>157.26155090332031</v>
      </c>
      <c r="C1140" s="3">
        <f t="shared" si="13"/>
        <v>0.11925919429183118</v>
      </c>
    </row>
    <row r="1141" spans="1:3" ht="13.2" x14ac:dyDescent="0.25">
      <c r="A1141" s="6">
        <v>1139</v>
      </c>
      <c r="B1141" s="7">
        <v>157.80339050292969</v>
      </c>
      <c r="C1141" s="3">
        <f t="shared" si="13"/>
        <v>0.12487631599703103</v>
      </c>
    </row>
    <row r="1142" spans="1:3" ht="13.2" x14ac:dyDescent="0.25">
      <c r="A1142" s="6">
        <v>1140</v>
      </c>
      <c r="B1142" s="7">
        <v>158.67420959472656</v>
      </c>
      <c r="C1142" s="3">
        <f t="shared" si="13"/>
        <v>0.1068839237472619</v>
      </c>
    </row>
    <row r="1143" spans="1:3" ht="13.2" x14ac:dyDescent="0.25">
      <c r="A1143" s="6">
        <v>1141</v>
      </c>
      <c r="B1143" s="7">
        <v>155.25865173339844</v>
      </c>
      <c r="C1143" s="3">
        <f t="shared" si="13"/>
        <v>0.10909577089536825</v>
      </c>
    </row>
    <row r="1144" spans="1:3" ht="13.2" x14ac:dyDescent="0.25">
      <c r="A1144" s="6">
        <v>1142</v>
      </c>
      <c r="B1144" s="7">
        <v>156.96160888671875</v>
      </c>
      <c r="C1144" s="3">
        <f t="shared" si="13"/>
        <v>0.12608855108652972</v>
      </c>
    </row>
    <row r="1145" spans="1:3" ht="13.2" x14ac:dyDescent="0.25">
      <c r="A1145" s="6">
        <v>1143</v>
      </c>
      <c r="B1145" s="7">
        <v>158.98385620117188</v>
      </c>
      <c r="C1145" s="3">
        <f t="shared" si="13"/>
        <v>0.14473528584963474</v>
      </c>
    </row>
    <row r="1146" spans="1:3" ht="13.2" x14ac:dyDescent="0.25">
      <c r="A1146" s="6">
        <v>1144</v>
      </c>
      <c r="B1146" s="7">
        <v>160.36750793457031</v>
      </c>
      <c r="C1146" s="3">
        <f t="shared" si="13"/>
        <v>0.140517852848592</v>
      </c>
    </row>
    <row r="1147" spans="1:3" ht="13.2" x14ac:dyDescent="0.25">
      <c r="A1147" s="6">
        <v>1145</v>
      </c>
      <c r="B1147" s="7">
        <v>162.09947204589844</v>
      </c>
      <c r="C1147" s="3">
        <f t="shared" si="13"/>
        <v>0.14725070414142533</v>
      </c>
    </row>
    <row r="1148" spans="1:3" ht="13.2" x14ac:dyDescent="0.25">
      <c r="A1148" s="6">
        <v>1146</v>
      </c>
      <c r="B1148" s="7">
        <v>162.44781494140625</v>
      </c>
      <c r="C1148" s="3">
        <f t="shared" si="13"/>
        <v>0.13078697303671541</v>
      </c>
    </row>
    <row r="1149" spans="1:3" ht="13.2" x14ac:dyDescent="0.25">
      <c r="A1149" s="6">
        <v>1147</v>
      </c>
      <c r="B1149" s="7">
        <v>159.95143127441406</v>
      </c>
      <c r="C1149" s="3">
        <f t="shared" si="13"/>
        <v>0.10562875328001479</v>
      </c>
    </row>
    <row r="1150" spans="1:3" ht="13.2" x14ac:dyDescent="0.25">
      <c r="A1150" s="6">
        <v>1148</v>
      </c>
      <c r="B1150" s="7">
        <v>161.48988342285156</v>
      </c>
      <c r="C1150" s="3">
        <f t="shared" si="13"/>
        <v>0.10359996736296787</v>
      </c>
    </row>
    <row r="1151" spans="1:3" ht="13.2" x14ac:dyDescent="0.25">
      <c r="A1151" s="6">
        <v>1149</v>
      </c>
      <c r="B1151" s="7">
        <v>159.30314636230469</v>
      </c>
      <c r="C1151" s="3">
        <f t="shared" ref="C1151:C1214" si="14">LN(B1151/B899)</f>
        <v>8.671355734162367E-2</v>
      </c>
    </row>
    <row r="1152" spans="1:3" ht="13.2" x14ac:dyDescent="0.25">
      <c r="A1152" s="6">
        <v>1150</v>
      </c>
      <c r="B1152" s="7">
        <v>158.73228454589844</v>
      </c>
      <c r="C1152" s="3">
        <f t="shared" si="14"/>
        <v>8.5204359398508039E-2</v>
      </c>
    </row>
    <row r="1153" spans="1:3" ht="13.2" x14ac:dyDescent="0.25">
      <c r="A1153" s="6">
        <v>1151</v>
      </c>
      <c r="B1153" s="7">
        <v>158.45167541503906</v>
      </c>
      <c r="C1153" s="3">
        <f t="shared" si="14"/>
        <v>6.2629758996385537E-2</v>
      </c>
    </row>
    <row r="1154" spans="1:3" ht="13.2" x14ac:dyDescent="0.25">
      <c r="A1154" s="6">
        <v>1152</v>
      </c>
      <c r="B1154" s="7">
        <v>158.09365844726563</v>
      </c>
      <c r="C1154" s="3">
        <f t="shared" si="14"/>
        <v>3.2705132389757363E-2</v>
      </c>
    </row>
    <row r="1155" spans="1:3" ht="13.2" x14ac:dyDescent="0.25">
      <c r="A1155" s="6">
        <v>1153</v>
      </c>
      <c r="B1155" s="7">
        <v>159.82563781738281</v>
      </c>
      <c r="C1155" s="3">
        <f t="shared" si="14"/>
        <v>1.9524149056147438E-2</v>
      </c>
    </row>
    <row r="1156" spans="1:3" ht="13.2" x14ac:dyDescent="0.25">
      <c r="A1156" s="6">
        <v>1154</v>
      </c>
      <c r="B1156" s="7">
        <v>155.65534973144531</v>
      </c>
      <c r="C1156" s="3">
        <f t="shared" si="14"/>
        <v>-1.4753541656958467E-2</v>
      </c>
    </row>
    <row r="1157" spans="1:3" ht="13.2" x14ac:dyDescent="0.25">
      <c r="A1157" s="6">
        <v>1155</v>
      </c>
      <c r="B1157" s="7">
        <v>154.83291625976563</v>
      </c>
      <c r="C1157" s="3">
        <f t="shared" si="14"/>
        <v>-2.9733890229302045E-2</v>
      </c>
    </row>
    <row r="1158" spans="1:3" ht="13.2" x14ac:dyDescent="0.25">
      <c r="A1158" s="6">
        <v>1156</v>
      </c>
      <c r="B1158" s="7">
        <v>154.87161254882813</v>
      </c>
      <c r="C1158" s="3">
        <f t="shared" si="14"/>
        <v>-3.1623122874692738E-2</v>
      </c>
    </row>
    <row r="1159" spans="1:3" ht="13.2" x14ac:dyDescent="0.25">
      <c r="A1159" s="6">
        <v>1157</v>
      </c>
      <c r="B1159" s="7">
        <v>154.08787536621094</v>
      </c>
      <c r="C1159" s="3">
        <f t="shared" si="14"/>
        <v>-1.4308573670082191E-2</v>
      </c>
    </row>
    <row r="1160" spans="1:3" ht="13.2" x14ac:dyDescent="0.25">
      <c r="A1160" s="6">
        <v>1158</v>
      </c>
      <c r="B1160" s="7">
        <v>153.50732421875</v>
      </c>
      <c r="C1160" s="3">
        <f t="shared" si="14"/>
        <v>-1.0589485907495436E-2</v>
      </c>
    </row>
    <row r="1161" spans="1:3" ht="13.2" x14ac:dyDescent="0.25">
      <c r="A1161" s="6">
        <v>1159</v>
      </c>
      <c r="B1161" s="7">
        <v>153.72987365722656</v>
      </c>
      <c r="C1161" s="3">
        <f t="shared" si="14"/>
        <v>8.1573010104309324E-4</v>
      </c>
    </row>
    <row r="1162" spans="1:3" ht="13.2" x14ac:dyDescent="0.25">
      <c r="A1162" s="6">
        <v>1160</v>
      </c>
      <c r="B1162" s="7">
        <v>154.56199645996094</v>
      </c>
      <c r="C1162" s="3">
        <f t="shared" si="14"/>
        <v>4.4243593492121359E-3</v>
      </c>
    </row>
    <row r="1163" spans="1:3" ht="13.2" x14ac:dyDescent="0.25">
      <c r="A1163" s="6">
        <v>1161</v>
      </c>
      <c r="B1163" s="7">
        <v>154.9683837890625</v>
      </c>
      <c r="C1163" s="3">
        <f t="shared" si="14"/>
        <v>8.1606133780245602E-3</v>
      </c>
    </row>
    <row r="1164" spans="1:3" ht="13.2" x14ac:dyDescent="0.25">
      <c r="A1164" s="6">
        <v>1162</v>
      </c>
      <c r="B1164" s="7">
        <v>156.87452697753906</v>
      </c>
      <c r="C1164" s="3">
        <f t="shared" si="14"/>
        <v>2.5708228540053349E-2</v>
      </c>
    </row>
    <row r="1165" spans="1:3" ht="13.2" x14ac:dyDescent="0.25">
      <c r="A1165" s="6">
        <v>1163</v>
      </c>
      <c r="B1165" s="7">
        <v>154.83291625976563</v>
      </c>
      <c r="C1165" s="3">
        <f t="shared" si="14"/>
        <v>1.2112225466709174E-2</v>
      </c>
    </row>
    <row r="1166" spans="1:3" ht="13.2" x14ac:dyDescent="0.25">
      <c r="A1166" s="6">
        <v>1164</v>
      </c>
      <c r="B1166" s="7">
        <v>152.0849609375</v>
      </c>
      <c r="C1166" s="3">
        <f t="shared" si="14"/>
        <v>1.1029961989183778E-2</v>
      </c>
    </row>
    <row r="1167" spans="1:3" ht="13.2" x14ac:dyDescent="0.25">
      <c r="A1167" s="6">
        <v>1165</v>
      </c>
      <c r="B1167" s="7">
        <v>149.5982666015625</v>
      </c>
      <c r="C1167" s="3">
        <f t="shared" si="14"/>
        <v>8.1342189349477931E-3</v>
      </c>
    </row>
    <row r="1168" spans="1:3" ht="13.2" x14ac:dyDescent="0.25">
      <c r="A1168" s="6">
        <v>1166</v>
      </c>
      <c r="B1168" s="7">
        <v>149.57893371582031</v>
      </c>
      <c r="C1168" s="3">
        <f t="shared" si="14"/>
        <v>2.1782313385628565E-2</v>
      </c>
    </row>
    <row r="1169" spans="1:3" ht="13.2" x14ac:dyDescent="0.25">
      <c r="A1169" s="6">
        <v>1167</v>
      </c>
      <c r="B1169" s="7">
        <v>150.35299682617188</v>
      </c>
      <c r="C1169" s="3">
        <f t="shared" si="14"/>
        <v>3.5341406397667779E-2</v>
      </c>
    </row>
    <row r="1170" spans="1:3" ht="13.2" x14ac:dyDescent="0.25">
      <c r="A1170" s="6">
        <v>1168</v>
      </c>
      <c r="B1170" s="7">
        <v>146.376220703125</v>
      </c>
      <c r="C1170" s="3">
        <f t="shared" si="14"/>
        <v>1.7070603189226857E-2</v>
      </c>
    </row>
    <row r="1171" spans="1:3" ht="13.2" x14ac:dyDescent="0.25">
      <c r="A1171" s="6">
        <v>1169</v>
      </c>
      <c r="B1171" s="7">
        <v>149.26930236816406</v>
      </c>
      <c r="C1171" s="3">
        <f t="shared" si="14"/>
        <v>2.8565615361223384E-2</v>
      </c>
    </row>
    <row r="1172" spans="1:3" ht="13.2" x14ac:dyDescent="0.25">
      <c r="A1172" s="6">
        <v>1170</v>
      </c>
      <c r="B1172" s="7">
        <v>152.0462646484375</v>
      </c>
      <c r="C1172" s="3">
        <f t="shared" si="14"/>
        <v>3.9959704293944603E-2</v>
      </c>
    </row>
    <row r="1173" spans="1:3" ht="13.2" x14ac:dyDescent="0.25">
      <c r="A1173" s="6">
        <v>1171</v>
      </c>
      <c r="B1173" s="7">
        <v>151.901123046875</v>
      </c>
      <c r="C1173" s="3">
        <f t="shared" si="14"/>
        <v>5.273644694044842E-2</v>
      </c>
    </row>
    <row r="1174" spans="1:3" ht="13.2" x14ac:dyDescent="0.25">
      <c r="A1174" s="6">
        <v>1172</v>
      </c>
      <c r="B1174" s="7">
        <v>151.42701721191406</v>
      </c>
      <c r="C1174" s="3">
        <f t="shared" si="14"/>
        <v>1.6455519993367442E-2</v>
      </c>
    </row>
    <row r="1175" spans="1:3" ht="13.2" x14ac:dyDescent="0.25">
      <c r="A1175" s="6">
        <v>1173</v>
      </c>
      <c r="B1175" s="7">
        <v>154.07818603515625</v>
      </c>
      <c r="C1175" s="3">
        <f t="shared" si="14"/>
        <v>4.1548837258076274E-2</v>
      </c>
    </row>
    <row r="1176" spans="1:3" ht="13.2" x14ac:dyDescent="0.25">
      <c r="A1176" s="6">
        <v>1174</v>
      </c>
      <c r="B1176" s="7">
        <v>152.73324584960938</v>
      </c>
      <c r="C1176" s="3">
        <f t="shared" si="14"/>
        <v>2.288134340777934E-2</v>
      </c>
    </row>
    <row r="1177" spans="1:3" ht="13.2" x14ac:dyDescent="0.25">
      <c r="A1177" s="6">
        <v>1175</v>
      </c>
      <c r="B1177" s="7">
        <v>154.08787536621094</v>
      </c>
      <c r="C1177" s="3">
        <f t="shared" si="14"/>
        <v>3.7895598415618917E-2</v>
      </c>
    </row>
    <row r="1178" spans="1:3" ht="13.2" x14ac:dyDescent="0.25">
      <c r="A1178" s="6">
        <v>1176</v>
      </c>
      <c r="B1178" s="7">
        <v>150.66261291503906</v>
      </c>
      <c r="C1178" s="3">
        <f t="shared" si="14"/>
        <v>1.5159663750602879E-2</v>
      </c>
    </row>
    <row r="1179" spans="1:3" ht="13.2" x14ac:dyDescent="0.25">
      <c r="A1179" s="6">
        <v>1177</v>
      </c>
      <c r="B1179" s="7">
        <v>149.06610107421875</v>
      </c>
      <c r="C1179" s="3">
        <f t="shared" si="14"/>
        <v>8.6710513023125872E-3</v>
      </c>
    </row>
    <row r="1180" spans="1:3" ht="13.2" x14ac:dyDescent="0.25">
      <c r="A1180" s="6">
        <v>1178</v>
      </c>
      <c r="B1180" s="7">
        <v>148.57264709472656</v>
      </c>
      <c r="C1180" s="3">
        <f t="shared" si="14"/>
        <v>1.4967169161781811E-2</v>
      </c>
    </row>
    <row r="1181" spans="1:3" ht="13.2" x14ac:dyDescent="0.25">
      <c r="A1181" s="6">
        <v>1179</v>
      </c>
      <c r="B1181" s="7">
        <v>149.89822387695313</v>
      </c>
      <c r="C1181" s="3">
        <f t="shared" si="14"/>
        <v>6.4992656197868804E-3</v>
      </c>
    </row>
    <row r="1182" spans="1:3" ht="13.2" x14ac:dyDescent="0.25">
      <c r="A1182" s="6">
        <v>1180</v>
      </c>
      <c r="B1182" s="7">
        <v>155.65534973144531</v>
      </c>
      <c r="C1182" s="3">
        <f t="shared" si="14"/>
        <v>5.8430842154521719E-2</v>
      </c>
    </row>
    <row r="1183" spans="1:3" ht="13.2" x14ac:dyDescent="0.25">
      <c r="A1183" s="6">
        <v>1181</v>
      </c>
      <c r="B1183" s="7">
        <v>154.81355285644531</v>
      </c>
      <c r="C1183" s="3">
        <f t="shared" si="14"/>
        <v>4.1379700850534655E-2</v>
      </c>
    </row>
    <row r="1184" spans="1:3" ht="13.2" x14ac:dyDescent="0.25">
      <c r="A1184" s="6">
        <v>1182</v>
      </c>
      <c r="B1184" s="7">
        <v>157.60020446777344</v>
      </c>
      <c r="C1184" s="3">
        <f t="shared" si="14"/>
        <v>5.3424029634267491E-2</v>
      </c>
    </row>
    <row r="1185" spans="1:3" ht="13.2" x14ac:dyDescent="0.25">
      <c r="A1185" s="6">
        <v>1183</v>
      </c>
      <c r="B1185" s="7">
        <v>158.80000305175781</v>
      </c>
      <c r="C1185" s="3">
        <f t="shared" si="14"/>
        <v>4.7948469730239709E-2</v>
      </c>
    </row>
    <row r="1186" spans="1:3" ht="13.2" x14ac:dyDescent="0.25">
      <c r="A1186" s="6">
        <v>1184</v>
      </c>
      <c r="B1186" s="7">
        <v>156.95191955566406</v>
      </c>
      <c r="C1186" s="3">
        <f t="shared" si="14"/>
        <v>3.1926792093718487E-2</v>
      </c>
    </row>
    <row r="1187" spans="1:3" ht="13.2" x14ac:dyDescent="0.25">
      <c r="A1187" s="6">
        <v>1185</v>
      </c>
      <c r="B1187" s="7">
        <v>154.42654418945313</v>
      </c>
      <c r="C1187" s="3">
        <f t="shared" si="14"/>
        <v>-4.98611688542102E-3</v>
      </c>
    </row>
    <row r="1188" spans="1:3" ht="13.2" x14ac:dyDescent="0.25">
      <c r="A1188" s="6">
        <v>1186</v>
      </c>
      <c r="B1188" s="7">
        <v>154.88130187988281</v>
      </c>
      <c r="C1188" s="3">
        <f t="shared" si="14"/>
        <v>-2.5965581380793114E-2</v>
      </c>
    </row>
    <row r="1189" spans="1:3" ht="13.2" x14ac:dyDescent="0.25">
      <c r="A1189" s="6">
        <v>1187</v>
      </c>
      <c r="B1189" s="7">
        <v>154.91999816894531</v>
      </c>
      <c r="C1189" s="3">
        <f t="shared" si="14"/>
        <v>-7.0250520033592945E-2</v>
      </c>
    </row>
    <row r="1190" spans="1:3" ht="13.2" x14ac:dyDescent="0.25">
      <c r="A1190" s="6">
        <v>1188</v>
      </c>
      <c r="B1190" s="7">
        <v>154.32009887695313</v>
      </c>
      <c r="C1190" s="3">
        <f t="shared" si="14"/>
        <v>-2.7803419040733898E-2</v>
      </c>
    </row>
    <row r="1191" spans="1:3" ht="13.2" x14ac:dyDescent="0.25">
      <c r="A1191" s="6">
        <v>1189</v>
      </c>
      <c r="B1191" s="7">
        <v>156.41006469726563</v>
      </c>
      <c r="C1191" s="3">
        <f t="shared" si="14"/>
        <v>-1.0036785189962868E-2</v>
      </c>
    </row>
    <row r="1192" spans="1:3" ht="13.2" x14ac:dyDescent="0.25">
      <c r="A1192" s="6">
        <v>1190</v>
      </c>
      <c r="B1192" s="7">
        <v>157.69696044921875</v>
      </c>
      <c r="C1192" s="3">
        <f t="shared" si="14"/>
        <v>-9.6192527105210916E-3</v>
      </c>
    </row>
    <row r="1193" spans="1:3" ht="13.2" x14ac:dyDescent="0.25">
      <c r="A1193" s="6">
        <v>1191</v>
      </c>
      <c r="B1193" s="7">
        <v>165.73757934570313</v>
      </c>
      <c r="C1193" s="3">
        <f t="shared" si="14"/>
        <v>4.794780251329623E-2</v>
      </c>
    </row>
    <row r="1194" spans="1:3" ht="13.2" x14ac:dyDescent="0.25">
      <c r="A1194" s="6">
        <v>1192</v>
      </c>
      <c r="B1194" s="7">
        <v>167.97271728515625</v>
      </c>
      <c r="C1194" s="3">
        <f t="shared" si="14"/>
        <v>5.6371453779739795E-2</v>
      </c>
    </row>
    <row r="1195" spans="1:3" ht="13.2" x14ac:dyDescent="0.25">
      <c r="A1195" s="6">
        <v>1193</v>
      </c>
      <c r="B1195" s="7">
        <v>165.66986083984375</v>
      </c>
      <c r="C1195" s="3">
        <f t="shared" si="14"/>
        <v>4.3762826450985573E-2</v>
      </c>
    </row>
    <row r="1196" spans="1:3" ht="13.2" x14ac:dyDescent="0.25">
      <c r="A1196" s="6">
        <v>1194</v>
      </c>
      <c r="B1196" s="7">
        <v>167.06317138671875</v>
      </c>
      <c r="C1196" s="3">
        <f t="shared" si="14"/>
        <v>4.9508693320864737E-2</v>
      </c>
    </row>
    <row r="1197" spans="1:3" ht="13.2" x14ac:dyDescent="0.25">
      <c r="A1197" s="6">
        <v>1195</v>
      </c>
      <c r="B1197" s="7">
        <v>167.266357421875</v>
      </c>
      <c r="C1197" s="3">
        <f t="shared" si="14"/>
        <v>2.8418329263479352E-2</v>
      </c>
    </row>
    <row r="1198" spans="1:3" ht="13.2" x14ac:dyDescent="0.25">
      <c r="A1198" s="6">
        <v>1196</v>
      </c>
      <c r="B1198" s="7">
        <v>166.98577880859375</v>
      </c>
      <c r="C1198" s="3">
        <f t="shared" si="14"/>
        <v>2.5864583980089215E-2</v>
      </c>
    </row>
    <row r="1199" spans="1:3" ht="13.2" x14ac:dyDescent="0.25">
      <c r="A1199" s="6">
        <v>1197</v>
      </c>
      <c r="B1199" s="7">
        <v>166.35684204101563</v>
      </c>
      <c r="C1199" s="3">
        <f t="shared" si="14"/>
        <v>-1.5444180801153401E-2</v>
      </c>
    </row>
    <row r="1200" spans="1:3" ht="13.2" x14ac:dyDescent="0.25">
      <c r="A1200" s="6">
        <v>1198</v>
      </c>
      <c r="B1200" s="7">
        <v>175.31666564941406</v>
      </c>
      <c r="C1200" s="3">
        <f t="shared" si="14"/>
        <v>7.3384318899119519E-2</v>
      </c>
    </row>
    <row r="1201" spans="1:3" ht="13.2" x14ac:dyDescent="0.25">
      <c r="A1201" s="6">
        <v>1199</v>
      </c>
      <c r="B1201" s="7">
        <v>175.46180725097656</v>
      </c>
      <c r="C1201" s="3">
        <f t="shared" si="14"/>
        <v>7.4037099337569509E-2</v>
      </c>
    </row>
    <row r="1202" spans="1:3" ht="13.2" x14ac:dyDescent="0.25">
      <c r="A1202" s="6">
        <v>1200</v>
      </c>
      <c r="B1202" s="7">
        <v>173.07188415527344</v>
      </c>
      <c r="C1202" s="3">
        <f t="shared" si="14"/>
        <v>5.4980164518616689E-2</v>
      </c>
    </row>
    <row r="1203" spans="1:3" ht="13.2" x14ac:dyDescent="0.25">
      <c r="A1203" s="6">
        <v>1201</v>
      </c>
      <c r="B1203" s="7">
        <v>170.69163513183594</v>
      </c>
      <c r="C1203" s="3">
        <f t="shared" si="14"/>
        <v>5.871862294612664E-2</v>
      </c>
    </row>
    <row r="1204" spans="1:3" ht="13.2" x14ac:dyDescent="0.25">
      <c r="A1204" s="6">
        <v>1202</v>
      </c>
      <c r="B1204" s="7">
        <v>175.17153930664063</v>
      </c>
      <c r="C1204" s="3">
        <f t="shared" si="14"/>
        <v>8.8997201437151049E-2</v>
      </c>
    </row>
    <row r="1205" spans="1:3" ht="13.2" x14ac:dyDescent="0.25">
      <c r="A1205" s="6">
        <v>1203</v>
      </c>
      <c r="B1205" s="7">
        <v>176.87449645996094</v>
      </c>
      <c r="C1205" s="3">
        <f t="shared" si="14"/>
        <v>8.8130370847105635E-2</v>
      </c>
    </row>
    <row r="1206" spans="1:3" ht="13.2" x14ac:dyDescent="0.25">
      <c r="A1206" s="6">
        <v>1204</v>
      </c>
      <c r="B1206" s="7">
        <v>173.76853942871094</v>
      </c>
      <c r="C1206" s="3">
        <f t="shared" si="14"/>
        <v>0.10346759092929557</v>
      </c>
    </row>
    <row r="1207" spans="1:3" ht="13.2" x14ac:dyDescent="0.25">
      <c r="A1207" s="6">
        <v>1205</v>
      </c>
      <c r="B1207" s="7">
        <v>175.72306823730469</v>
      </c>
      <c r="C1207" s="3">
        <f t="shared" si="14"/>
        <v>0.10915757897471876</v>
      </c>
    </row>
    <row r="1208" spans="1:3" ht="13.2" x14ac:dyDescent="0.25">
      <c r="A1208" s="6">
        <v>1206</v>
      </c>
      <c r="B1208" s="7">
        <v>172.07527160644531</v>
      </c>
      <c r="C1208" s="3">
        <f t="shared" si="14"/>
        <v>9.6525305302659195E-2</v>
      </c>
    </row>
    <row r="1209" spans="1:3" ht="13.2" x14ac:dyDescent="0.25">
      <c r="A1209" s="6">
        <v>1207</v>
      </c>
      <c r="B1209" s="7">
        <v>171.81402587890625</v>
      </c>
      <c r="C1209" s="3">
        <f t="shared" si="14"/>
        <v>0.10710207409079574</v>
      </c>
    </row>
    <row r="1210" spans="1:3" ht="13.2" x14ac:dyDescent="0.25">
      <c r="A1210" s="6">
        <v>1208</v>
      </c>
      <c r="B1210" s="7">
        <v>168.77580261230469</v>
      </c>
      <c r="C1210" s="3">
        <f t="shared" si="14"/>
        <v>7.7771962770231323E-2</v>
      </c>
    </row>
    <row r="1211" spans="1:3" ht="13.2" x14ac:dyDescent="0.25">
      <c r="A1211" s="6">
        <v>1209</v>
      </c>
      <c r="B1211" s="7">
        <v>166.74388122558594</v>
      </c>
      <c r="C1211" s="3">
        <f t="shared" si="14"/>
        <v>7.6165543457636833E-2</v>
      </c>
    </row>
    <row r="1212" spans="1:3" ht="13.2" x14ac:dyDescent="0.25">
      <c r="A1212" s="6">
        <v>1210</v>
      </c>
      <c r="B1212" s="7">
        <v>168.31135559082031</v>
      </c>
      <c r="C1212" s="3">
        <f t="shared" si="14"/>
        <v>8.8473846337035533E-2</v>
      </c>
    </row>
    <row r="1213" spans="1:3" ht="13.2" x14ac:dyDescent="0.25">
      <c r="A1213" s="6">
        <v>1211</v>
      </c>
      <c r="B1213" s="7">
        <v>172.25912475585938</v>
      </c>
      <c r="C1213" s="3">
        <f t="shared" si="14"/>
        <v>0.11895158480996676</v>
      </c>
    </row>
    <row r="1214" spans="1:3" ht="13.2" x14ac:dyDescent="0.25">
      <c r="A1214" s="6">
        <v>1212</v>
      </c>
      <c r="B1214" s="7">
        <v>171.25283813476563</v>
      </c>
      <c r="C1214" s="3">
        <f t="shared" si="14"/>
        <v>0.10894506789301181</v>
      </c>
    </row>
    <row r="1215" spans="1:3" ht="13.2" x14ac:dyDescent="0.25">
      <c r="A1215" s="6">
        <v>1213</v>
      </c>
      <c r="B1215" s="7">
        <v>171.43666076660156</v>
      </c>
      <c r="C1215" s="3">
        <f t="shared" ref="C1215:C1260" si="15">LN(B1215/B963)</f>
        <v>9.0320686818520499E-2</v>
      </c>
    </row>
    <row r="1216" spans="1:3" ht="13.2" x14ac:dyDescent="0.25">
      <c r="A1216" s="6">
        <v>1214</v>
      </c>
      <c r="B1216" s="7">
        <v>172.81063842773438</v>
      </c>
      <c r="C1216" s="3">
        <f t="shared" si="15"/>
        <v>8.8238392443677413E-2</v>
      </c>
    </row>
    <row r="1217" spans="1:3" ht="13.2" x14ac:dyDescent="0.25">
      <c r="A1217" s="6">
        <v>1215</v>
      </c>
      <c r="B1217" s="7">
        <v>172.26878356933594</v>
      </c>
      <c r="C1217" s="3">
        <f t="shared" si="15"/>
        <v>8.5157721733180924E-2</v>
      </c>
    </row>
    <row r="1218" spans="1:3" ht="13.2" x14ac:dyDescent="0.25">
      <c r="A1218" s="6">
        <v>1216</v>
      </c>
      <c r="B1218" s="7">
        <v>176.87449645996094</v>
      </c>
      <c r="C1218" s="3">
        <f t="shared" si="15"/>
        <v>0.12652640334221382</v>
      </c>
    </row>
    <row r="1219" spans="1:3" ht="13.2" x14ac:dyDescent="0.25">
      <c r="A1219" s="6">
        <v>1217</v>
      </c>
      <c r="B1219" s="7">
        <v>173.55567932128906</v>
      </c>
      <c r="C1219" s="3">
        <f t="shared" si="15"/>
        <v>0.12180840658210065</v>
      </c>
    </row>
    <row r="1220" spans="1:3" ht="13.2" x14ac:dyDescent="0.25">
      <c r="A1220" s="6">
        <v>1218</v>
      </c>
      <c r="B1220" s="7">
        <v>171.16572570800781</v>
      </c>
      <c r="C1220" s="3">
        <f t="shared" si="15"/>
        <v>9.4692756052406998E-2</v>
      </c>
    </row>
    <row r="1221" spans="1:3" ht="13.2" x14ac:dyDescent="0.25">
      <c r="A1221" s="6">
        <v>1219</v>
      </c>
      <c r="B1221" s="7">
        <v>174.16523742675781</v>
      </c>
      <c r="C1221" s="3">
        <f t="shared" si="15"/>
        <v>0.12364844532023164</v>
      </c>
    </row>
    <row r="1222" spans="1:3" ht="13.2" x14ac:dyDescent="0.25">
      <c r="A1222" s="6">
        <v>1220</v>
      </c>
      <c r="B1222" s="7">
        <v>176.40037536621094</v>
      </c>
      <c r="C1222" s="3">
        <f t="shared" si="15"/>
        <v>0.13856028933507514</v>
      </c>
    </row>
    <row r="1223" spans="1:3" ht="13.2" x14ac:dyDescent="0.25">
      <c r="A1223" s="6">
        <v>1221</v>
      </c>
      <c r="B1223" s="7">
        <v>179.98043823242188</v>
      </c>
      <c r="C1223" s="3">
        <f t="shared" si="15"/>
        <v>0.18183839212008118</v>
      </c>
    </row>
    <row r="1224" spans="1:3" ht="13.2" x14ac:dyDescent="0.25">
      <c r="A1224" s="6">
        <v>1222</v>
      </c>
      <c r="B1224" s="7">
        <v>182.79609680175781</v>
      </c>
      <c r="C1224" s="3">
        <f t="shared" si="15"/>
        <v>0.18479540551037854</v>
      </c>
    </row>
    <row r="1225" spans="1:3" ht="13.2" x14ac:dyDescent="0.25">
      <c r="A1225" s="6">
        <v>1223</v>
      </c>
      <c r="B1225" s="7">
        <v>181.71243286132813</v>
      </c>
      <c r="C1225" s="3">
        <f t="shared" si="15"/>
        <v>0.17884949728119015</v>
      </c>
    </row>
    <row r="1226" spans="1:3" ht="13.2" x14ac:dyDescent="0.25">
      <c r="A1226" s="6">
        <v>1224</v>
      </c>
      <c r="B1226" s="7">
        <v>184.57646179199219</v>
      </c>
      <c r="C1226" s="3">
        <f t="shared" si="15"/>
        <v>0.19348945046924806</v>
      </c>
    </row>
    <row r="1227" spans="1:3" ht="13.2" x14ac:dyDescent="0.25">
      <c r="A1227" s="6">
        <v>1225</v>
      </c>
      <c r="B1227" s="7">
        <v>188.33070373535156</v>
      </c>
      <c r="C1227" s="3">
        <f t="shared" si="15"/>
        <v>0.22984879632067698</v>
      </c>
    </row>
    <row r="1228" spans="1:3" ht="13.2" x14ac:dyDescent="0.25">
      <c r="A1228" s="6">
        <v>1226</v>
      </c>
      <c r="B1228" s="7">
        <v>187.94366455078125</v>
      </c>
      <c r="C1228" s="3">
        <f t="shared" si="15"/>
        <v>0.24518551160149585</v>
      </c>
    </row>
    <row r="1229" spans="1:3" ht="13.2" x14ac:dyDescent="0.25">
      <c r="A1229" s="6">
        <v>1227</v>
      </c>
      <c r="B1229" s="7">
        <v>184.10234069824219</v>
      </c>
      <c r="C1229" s="3">
        <f t="shared" si="15"/>
        <v>0.19975125586686227</v>
      </c>
    </row>
    <row r="1230" spans="1:3" ht="13.2" x14ac:dyDescent="0.25">
      <c r="A1230" s="6">
        <v>1228</v>
      </c>
      <c r="B1230" s="7">
        <v>179.73854064941406</v>
      </c>
      <c r="C1230" s="3">
        <f t="shared" si="15"/>
        <v>0.18423093787856726</v>
      </c>
    </row>
    <row r="1231" spans="1:3" ht="13.2" x14ac:dyDescent="0.25">
      <c r="A1231" s="6">
        <v>1229</v>
      </c>
      <c r="B1231" s="7">
        <v>180.85127258300781</v>
      </c>
      <c r="C1231" s="3">
        <f t="shared" si="15"/>
        <v>0.19734427952263611</v>
      </c>
    </row>
    <row r="1232" spans="1:3" ht="13.2" x14ac:dyDescent="0.25">
      <c r="A1232" s="6">
        <v>1230</v>
      </c>
      <c r="B1232" s="7">
        <v>188.18556213378906</v>
      </c>
      <c r="C1232" s="3">
        <f t="shared" si="15"/>
        <v>0.24170972102164054</v>
      </c>
    </row>
    <row r="1233" spans="1:3" ht="13.2" x14ac:dyDescent="0.25">
      <c r="A1233" s="6">
        <v>1231</v>
      </c>
      <c r="B1233" s="7">
        <v>187.08251953125</v>
      </c>
      <c r="C1233" s="3">
        <f t="shared" si="15"/>
        <v>0.24492461771408761</v>
      </c>
    </row>
    <row r="1234" spans="1:3" ht="13.2" x14ac:dyDescent="0.25">
      <c r="A1234" s="6">
        <v>1232</v>
      </c>
      <c r="B1234" s="7">
        <v>183.61854553222656</v>
      </c>
      <c r="C1234" s="3">
        <f t="shared" si="15"/>
        <v>0.21387265365226235</v>
      </c>
    </row>
    <row r="1235" spans="1:3" ht="13.2" x14ac:dyDescent="0.25">
      <c r="A1235" s="6">
        <v>1233</v>
      </c>
      <c r="B1235" s="7">
        <v>183.14445495605469</v>
      </c>
      <c r="C1235" s="3">
        <f t="shared" si="15"/>
        <v>0.15600148391750895</v>
      </c>
    </row>
    <row r="1236" spans="1:3" ht="13.2" x14ac:dyDescent="0.25">
      <c r="A1236" s="6">
        <v>1234</v>
      </c>
      <c r="B1236" s="7">
        <v>184.4893798828125</v>
      </c>
      <c r="C1236" s="3">
        <f t="shared" si="15"/>
        <v>0.1816399425423654</v>
      </c>
    </row>
    <row r="1237" spans="1:3" ht="13.2" x14ac:dyDescent="0.25">
      <c r="A1237" s="6">
        <v>1235</v>
      </c>
      <c r="B1237" s="7">
        <v>183.86044311523438</v>
      </c>
      <c r="C1237" s="3">
        <f t="shared" si="15"/>
        <v>0.17872832896966273</v>
      </c>
    </row>
    <row r="1238" spans="1:3" ht="13.2" x14ac:dyDescent="0.25">
      <c r="A1238" s="6">
        <v>1236</v>
      </c>
      <c r="B1238" s="7">
        <v>185.06024169921875</v>
      </c>
      <c r="C1238" s="3">
        <f t="shared" si="15"/>
        <v>0.20192043885211761</v>
      </c>
    </row>
    <row r="1239" spans="1:3" ht="13.2" x14ac:dyDescent="0.25">
      <c r="A1239" s="6">
        <v>1237</v>
      </c>
      <c r="B1239" s="7">
        <v>184.78671264648438</v>
      </c>
      <c r="C1239" s="3">
        <f t="shared" si="15"/>
        <v>0.1804241297784267</v>
      </c>
    </row>
    <row r="1240" spans="1:3" ht="13.2" x14ac:dyDescent="0.25">
      <c r="A1240" s="6">
        <v>1238</v>
      </c>
      <c r="B1240" s="7">
        <v>187.25846862792969</v>
      </c>
      <c r="C1240" s="3">
        <f t="shared" si="15"/>
        <v>0.1890190538926021</v>
      </c>
    </row>
    <row r="1241" spans="1:3" ht="13.2" x14ac:dyDescent="0.25">
      <c r="A1241" s="6">
        <v>1239</v>
      </c>
      <c r="B1241" s="7">
        <v>188.98773193359375</v>
      </c>
      <c r="C1241" s="3">
        <f t="shared" si="15"/>
        <v>0.18119103463623434</v>
      </c>
    </row>
    <row r="1242" spans="1:3" ht="13.2" x14ac:dyDescent="0.25">
      <c r="A1242" s="6">
        <v>1240</v>
      </c>
      <c r="B1242" s="7">
        <v>186.68205261230469</v>
      </c>
      <c r="C1242" s="3">
        <f t="shared" si="15"/>
        <v>0.18400297091923165</v>
      </c>
    </row>
    <row r="1243" spans="1:3" ht="13.2" x14ac:dyDescent="0.25">
      <c r="A1243" s="6">
        <v>1241</v>
      </c>
      <c r="B1243" s="7">
        <v>183.68270874023438</v>
      </c>
      <c r="C1243" s="3">
        <f t="shared" si="15"/>
        <v>0.15038944730698042</v>
      </c>
    </row>
    <row r="1244" spans="1:3" ht="13.2" x14ac:dyDescent="0.25">
      <c r="A1244" s="6">
        <v>1242</v>
      </c>
      <c r="B1244" s="7">
        <v>177.24440002441406</v>
      </c>
      <c r="C1244" s="3">
        <f t="shared" si="15"/>
        <v>7.7157033288390936E-2</v>
      </c>
    </row>
    <row r="1245" spans="1:3" ht="13.2" x14ac:dyDescent="0.25">
      <c r="A1245" s="6">
        <v>1243</v>
      </c>
      <c r="B1245" s="7">
        <v>180.634521484375</v>
      </c>
      <c r="C1245" s="3">
        <f t="shared" si="15"/>
        <v>8.9754804622664178E-2</v>
      </c>
    </row>
    <row r="1246" spans="1:3" ht="13.2" x14ac:dyDescent="0.25">
      <c r="A1246" s="6">
        <v>1244</v>
      </c>
      <c r="B1246" s="7">
        <v>180.14602661132813</v>
      </c>
      <c r="C1246" s="3">
        <f t="shared" si="15"/>
        <v>8.4471824891808475E-2</v>
      </c>
    </row>
    <row r="1247" spans="1:3" ht="13.2" x14ac:dyDescent="0.25">
      <c r="A1247" s="6">
        <v>1245</v>
      </c>
      <c r="B1247" s="7">
        <v>179.2178955078125</v>
      </c>
      <c r="C1247" s="3">
        <f t="shared" si="15"/>
        <v>8.8170957239542214E-2</v>
      </c>
    </row>
    <row r="1248" spans="1:3" ht="13.2" x14ac:dyDescent="0.25">
      <c r="A1248" s="6">
        <v>1246</v>
      </c>
      <c r="B1248" s="7">
        <v>181.93391418457031</v>
      </c>
      <c r="C1248" s="3">
        <f t="shared" si="15"/>
        <v>0.12599454466683177</v>
      </c>
    </row>
    <row r="1249" spans="1:3" ht="13.2" x14ac:dyDescent="0.25">
      <c r="A1249" s="6">
        <v>1247</v>
      </c>
      <c r="B1249" s="7">
        <v>181.25978088378906</v>
      </c>
      <c r="C1249" s="3">
        <f t="shared" si="15"/>
        <v>0.11357325010186153</v>
      </c>
    </row>
    <row r="1250" spans="1:3" ht="13.2" x14ac:dyDescent="0.25">
      <c r="A1250" s="6">
        <v>1248</v>
      </c>
      <c r="B1250" s="7">
        <v>176.83404541015625</v>
      </c>
      <c r="C1250" s="3">
        <f t="shared" si="15"/>
        <v>0.10768787919380297</v>
      </c>
    </row>
    <row r="1251" spans="1:3" ht="13.2" x14ac:dyDescent="0.25">
      <c r="A1251" s="6">
        <v>1249</v>
      </c>
      <c r="B1251" s="7">
        <v>176.84382629394531</v>
      </c>
      <c r="C1251" s="3">
        <f t="shared" si="15"/>
        <v>8.1520923901432604E-2</v>
      </c>
    </row>
    <row r="1252" spans="1:3" ht="13.2" x14ac:dyDescent="0.25">
      <c r="A1252" s="6">
        <v>1250</v>
      </c>
      <c r="B1252" s="7">
        <v>174.68470764160156</v>
      </c>
      <c r="C1252" s="3">
        <f t="shared" si="15"/>
        <v>7.2447227298511663E-2</v>
      </c>
    </row>
    <row r="1253" spans="1:3" ht="13.2" x14ac:dyDescent="0.25">
      <c r="A1253" s="6">
        <v>1251</v>
      </c>
      <c r="B1253" s="7">
        <v>173.65885925292969</v>
      </c>
      <c r="C1253" s="3">
        <f t="shared" si="15"/>
        <v>5.454080180696505E-2</v>
      </c>
    </row>
    <row r="1254" spans="1:3" ht="13.2" x14ac:dyDescent="0.25">
      <c r="A1254" s="6">
        <v>1252</v>
      </c>
      <c r="B1254" s="7">
        <v>171.10893249511719</v>
      </c>
      <c r="C1254" s="3">
        <f t="shared" si="15"/>
        <v>5.0098980714656891E-2</v>
      </c>
    </row>
    <row r="1255" spans="1:3" ht="13.2" x14ac:dyDescent="0.25">
      <c r="A1255" s="6">
        <v>1253</v>
      </c>
      <c r="B1255" s="7">
        <v>174.87033081054688</v>
      </c>
      <c r="C1255" s="3">
        <f t="shared" si="15"/>
        <v>6.2552426120701055E-2</v>
      </c>
    </row>
    <row r="1256" spans="1:3" ht="13.2" x14ac:dyDescent="0.25">
      <c r="A1256" s="6">
        <v>1254</v>
      </c>
      <c r="B1256" s="7">
        <v>176.072021484375</v>
      </c>
      <c r="C1256" s="3">
        <f t="shared" si="15"/>
        <v>7.1759666044316495E-2</v>
      </c>
    </row>
    <row r="1257" spans="1:3" ht="13.2" x14ac:dyDescent="0.25">
      <c r="A1257" s="6">
        <v>1255</v>
      </c>
      <c r="B1257" s="7">
        <v>176.22833251953125</v>
      </c>
      <c r="C1257" s="3">
        <f t="shared" si="15"/>
        <v>8.3689787273390576E-2</v>
      </c>
    </row>
    <row r="1258" spans="1:3" ht="13.2" x14ac:dyDescent="0.25">
      <c r="A1258" s="6">
        <v>1256</v>
      </c>
      <c r="B1258" s="7">
        <v>175.29042053222656</v>
      </c>
      <c r="C1258" s="3">
        <f t="shared" si="15"/>
        <v>0.10099448443878653</v>
      </c>
    </row>
    <row r="1259" spans="1:3" ht="13.2" x14ac:dyDescent="0.25"/>
    <row r="1260" spans="1:3" ht="13.2" x14ac:dyDescent="0.25"/>
    <row r="1261" spans="1:3" ht="13.2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261"/>
  <sheetViews>
    <sheetView topLeftCell="A1241" zoomScaleNormal="100" workbookViewId="0">
      <selection activeCell="C1261" sqref="A1259:C1261"/>
    </sheetView>
  </sheetViews>
  <sheetFormatPr baseColWidth="10" defaultColWidth="12.6640625" defaultRowHeight="15.75" customHeight="1" x14ac:dyDescent="0.25"/>
  <cols>
    <col min="3" max="3" width="15.88671875" customWidth="1"/>
    <col min="6" max="6" width="14.88671875" bestFit="1" customWidth="1"/>
  </cols>
  <sheetData>
    <row r="1" spans="1:6" ht="15.75" customHeight="1" x14ac:dyDescent="0.3">
      <c r="A1" s="1"/>
      <c r="B1" s="9" t="s">
        <v>69</v>
      </c>
      <c r="C1" s="9" t="s">
        <v>11</v>
      </c>
      <c r="E1" s="4" t="s">
        <v>2</v>
      </c>
      <c r="F1" s="10">
        <f>AVERAGE(C:C)</f>
        <v>0.18571236715572184</v>
      </c>
    </row>
    <row r="2" spans="1:6" ht="13.2" x14ac:dyDescent="0.25">
      <c r="A2" s="6">
        <v>0</v>
      </c>
      <c r="B2" s="7">
        <v>17.997325897216797</v>
      </c>
      <c r="E2" s="4" t="s">
        <v>3</v>
      </c>
      <c r="F2" s="10">
        <f>_xlfn.VAR.S(C:C)</f>
        <v>0.12032069235919751</v>
      </c>
    </row>
    <row r="3" spans="1:6" ht="13.2" x14ac:dyDescent="0.25">
      <c r="A3" s="6">
        <v>1</v>
      </c>
      <c r="B3" s="7">
        <v>17.55908203125</v>
      </c>
      <c r="C3" s="3"/>
      <c r="E3" s="4" t="s">
        <v>4</v>
      </c>
      <c r="F3" s="10">
        <f>SQRT(F2)</f>
        <v>0.34687273222206083</v>
      </c>
    </row>
    <row r="4" spans="1:6" ht="13.2" x14ac:dyDescent="0.25">
      <c r="A4" s="6">
        <v>2</v>
      </c>
      <c r="B4" s="7">
        <v>18.474529266357422</v>
      </c>
      <c r="C4" s="3"/>
    </row>
    <row r="5" spans="1:6" ht="13.2" x14ac:dyDescent="0.25">
      <c r="A5" s="6">
        <v>3</v>
      </c>
      <c r="B5" s="7">
        <v>18.659566879272461</v>
      </c>
      <c r="C5" s="3"/>
    </row>
    <row r="6" spans="1:6" ht="13.2" x14ac:dyDescent="0.25">
      <c r="A6" s="6">
        <v>4</v>
      </c>
      <c r="B6" s="7">
        <v>18.416095733642578</v>
      </c>
      <c r="C6" s="3"/>
    </row>
    <row r="7" spans="1:6" ht="13.2" x14ac:dyDescent="0.25">
      <c r="A7" s="6">
        <v>5</v>
      </c>
      <c r="B7" s="7">
        <v>18.260274887084961</v>
      </c>
      <c r="C7" s="3"/>
    </row>
    <row r="8" spans="1:6" ht="13.2" x14ac:dyDescent="0.25">
      <c r="A8" s="6">
        <v>6</v>
      </c>
      <c r="B8" s="7">
        <v>18.669305801391602</v>
      </c>
      <c r="C8" s="3"/>
    </row>
    <row r="9" spans="1:6" ht="13.2" x14ac:dyDescent="0.25">
      <c r="A9" s="6">
        <v>7</v>
      </c>
      <c r="B9" s="7">
        <v>19.360759735107422</v>
      </c>
      <c r="C9" s="3"/>
    </row>
    <row r="10" spans="1:6" ht="13.2" x14ac:dyDescent="0.25">
      <c r="A10" s="6">
        <v>8</v>
      </c>
      <c r="B10" s="7">
        <v>20.393075942993164</v>
      </c>
      <c r="C10" s="3"/>
    </row>
    <row r="11" spans="1:6" ht="13.2" x14ac:dyDescent="0.25">
      <c r="A11" s="6">
        <v>9</v>
      </c>
      <c r="B11" s="7">
        <v>21.181919097900391</v>
      </c>
      <c r="C11" s="3"/>
    </row>
    <row r="12" spans="1:6" ht="13.2" x14ac:dyDescent="0.25">
      <c r="A12" s="6">
        <v>10</v>
      </c>
      <c r="B12" s="7">
        <v>23.295242309570313</v>
      </c>
      <c r="C12" s="3"/>
    </row>
    <row r="13" spans="1:6" ht="13.2" x14ac:dyDescent="0.25">
      <c r="A13" s="6">
        <v>11</v>
      </c>
      <c r="B13" s="7">
        <v>24.639196395874023</v>
      </c>
      <c r="C13" s="3"/>
    </row>
    <row r="14" spans="1:6" ht="13.2" x14ac:dyDescent="0.25">
      <c r="A14" s="6">
        <v>12</v>
      </c>
      <c r="B14" s="7">
        <v>24.561286926269531</v>
      </c>
      <c r="C14" s="3"/>
    </row>
    <row r="15" spans="1:6" ht="13.2" x14ac:dyDescent="0.25">
      <c r="A15" s="6">
        <v>13</v>
      </c>
      <c r="B15" s="7">
        <v>23.616621017456055</v>
      </c>
      <c r="C15" s="3"/>
    </row>
    <row r="16" spans="1:6" ht="13.2" x14ac:dyDescent="0.25">
      <c r="A16" s="6">
        <v>14</v>
      </c>
      <c r="B16" s="7">
        <v>22.584308624267578</v>
      </c>
      <c r="C16" s="3"/>
    </row>
    <row r="17" spans="1:3" ht="13.2" x14ac:dyDescent="0.25">
      <c r="A17" s="6">
        <v>15</v>
      </c>
      <c r="B17" s="7">
        <v>24.288600921630859</v>
      </c>
      <c r="C17" s="3"/>
    </row>
    <row r="18" spans="1:3" ht="13.2" x14ac:dyDescent="0.25">
      <c r="A18" s="6">
        <v>16</v>
      </c>
      <c r="B18" s="7">
        <v>24.064607620239258</v>
      </c>
      <c r="C18" s="3"/>
    </row>
    <row r="19" spans="1:3" ht="13.2" x14ac:dyDescent="0.25">
      <c r="A19" s="6">
        <v>17</v>
      </c>
      <c r="B19" s="7">
        <v>23.723749160766602</v>
      </c>
      <c r="C19" s="3"/>
    </row>
    <row r="20" spans="1:3" ht="13.2" x14ac:dyDescent="0.25">
      <c r="A20" s="6">
        <v>18</v>
      </c>
      <c r="B20" s="7">
        <v>23.558191299438477</v>
      </c>
      <c r="C20" s="3"/>
    </row>
    <row r="21" spans="1:3" ht="13.2" x14ac:dyDescent="0.25">
      <c r="A21" s="6">
        <v>19</v>
      </c>
      <c r="B21" s="7">
        <v>22.681697845458984</v>
      </c>
      <c r="C21" s="3"/>
    </row>
    <row r="22" spans="1:3" ht="13.2" x14ac:dyDescent="0.25">
      <c r="A22" s="6">
        <v>20</v>
      </c>
      <c r="B22" s="7">
        <v>22.710910797119141</v>
      </c>
      <c r="C22" s="3"/>
    </row>
    <row r="23" spans="1:3" ht="13.2" x14ac:dyDescent="0.25">
      <c r="A23" s="6">
        <v>21</v>
      </c>
      <c r="B23" s="7">
        <v>22.409008026123047</v>
      </c>
      <c r="C23" s="3"/>
    </row>
    <row r="24" spans="1:3" ht="13.2" x14ac:dyDescent="0.25">
      <c r="A24" s="6">
        <v>22</v>
      </c>
      <c r="B24" s="7">
        <v>23.227069854736328</v>
      </c>
      <c r="C24" s="3"/>
    </row>
    <row r="25" spans="1:3" ht="13.2" x14ac:dyDescent="0.25">
      <c r="A25" s="6">
        <v>23</v>
      </c>
      <c r="B25" s="7">
        <v>22.779083251953125</v>
      </c>
      <c r="C25" s="3"/>
    </row>
    <row r="26" spans="1:3" ht="13.2" x14ac:dyDescent="0.25">
      <c r="A26" s="6">
        <v>24</v>
      </c>
      <c r="B26" s="7">
        <v>22.506399154663086</v>
      </c>
      <c r="C26" s="3"/>
    </row>
    <row r="27" spans="1:3" ht="13.2" x14ac:dyDescent="0.25">
      <c r="A27" s="6">
        <v>25</v>
      </c>
      <c r="B27" s="7">
        <v>21.922069549560547</v>
      </c>
      <c r="C27" s="3"/>
    </row>
    <row r="28" spans="1:3" ht="13.2" x14ac:dyDescent="0.25">
      <c r="A28" s="6">
        <v>26</v>
      </c>
      <c r="B28" s="7">
        <v>22.253189086914063</v>
      </c>
      <c r="C28" s="3"/>
    </row>
    <row r="29" spans="1:3" ht="13.2" x14ac:dyDescent="0.25">
      <c r="A29" s="6">
        <v>27</v>
      </c>
      <c r="B29" s="7">
        <v>22.01945686340332</v>
      </c>
      <c r="C29" s="3"/>
    </row>
    <row r="30" spans="1:3" ht="13.2" x14ac:dyDescent="0.25">
      <c r="A30" s="6">
        <v>28</v>
      </c>
      <c r="B30" s="7">
        <v>21.990240097045898</v>
      </c>
      <c r="C30" s="3"/>
    </row>
    <row r="31" spans="1:3" ht="13.2" x14ac:dyDescent="0.25">
      <c r="A31" s="6">
        <v>29</v>
      </c>
      <c r="B31" s="7">
        <v>21.795463562011719</v>
      </c>
      <c r="C31" s="3"/>
    </row>
    <row r="32" spans="1:3" ht="13.2" x14ac:dyDescent="0.25">
      <c r="A32" s="6">
        <v>30</v>
      </c>
      <c r="B32" s="7">
        <v>22.798563003540039</v>
      </c>
      <c r="C32" s="3"/>
    </row>
    <row r="33" spans="1:3" ht="13.2" x14ac:dyDescent="0.25">
      <c r="A33" s="6">
        <v>31</v>
      </c>
      <c r="B33" s="7">
        <v>22.886211395263672</v>
      </c>
      <c r="C33" s="3"/>
    </row>
    <row r="34" spans="1:3" ht="13.2" x14ac:dyDescent="0.25">
      <c r="A34" s="6">
        <v>32</v>
      </c>
      <c r="B34" s="7">
        <v>22.720651626586914</v>
      </c>
      <c r="C34" s="3"/>
    </row>
    <row r="35" spans="1:3" ht="13.2" x14ac:dyDescent="0.25">
      <c r="A35" s="6">
        <v>33</v>
      </c>
      <c r="B35" s="7">
        <v>22.272666931152344</v>
      </c>
      <c r="C35" s="3"/>
    </row>
    <row r="36" spans="1:3" ht="13.2" x14ac:dyDescent="0.25">
      <c r="A36" s="6">
        <v>34</v>
      </c>
      <c r="B36" s="7">
        <v>21.620166778564453</v>
      </c>
      <c r="C36" s="3"/>
    </row>
    <row r="37" spans="1:3" ht="13.2" x14ac:dyDescent="0.25">
      <c r="A37" s="6">
        <v>35</v>
      </c>
      <c r="B37" s="7">
        <v>21.181919097900391</v>
      </c>
      <c r="C37" s="3"/>
    </row>
    <row r="38" spans="1:3" ht="13.2" x14ac:dyDescent="0.25">
      <c r="A38" s="6">
        <v>36</v>
      </c>
      <c r="B38" s="7">
        <v>20.860538482666016</v>
      </c>
      <c r="C38" s="3"/>
    </row>
    <row r="39" spans="1:3" ht="13.2" x14ac:dyDescent="0.25">
      <c r="A39" s="6">
        <v>37</v>
      </c>
      <c r="B39" s="7">
        <v>20.587850570678711</v>
      </c>
      <c r="C39" s="3"/>
    </row>
    <row r="40" spans="1:3" ht="13.2" x14ac:dyDescent="0.25">
      <c r="A40" s="6">
        <v>38</v>
      </c>
      <c r="B40" s="7">
        <v>20.432029724121094</v>
      </c>
      <c r="C40" s="3"/>
    </row>
    <row r="41" spans="1:3" ht="13.2" x14ac:dyDescent="0.25">
      <c r="A41" s="6">
        <v>39</v>
      </c>
      <c r="B41" s="7">
        <v>20.412551879882813</v>
      </c>
      <c r="C41" s="3"/>
    </row>
    <row r="42" spans="1:3" ht="13.2" x14ac:dyDescent="0.25">
      <c r="A42" s="6">
        <v>40</v>
      </c>
      <c r="B42" s="7">
        <v>20.49046516418457</v>
      </c>
      <c r="C42" s="3"/>
    </row>
    <row r="43" spans="1:3" ht="13.2" x14ac:dyDescent="0.25">
      <c r="A43" s="6">
        <v>41</v>
      </c>
      <c r="B43" s="7">
        <v>20.470985412597656</v>
      </c>
      <c r="C43" s="3"/>
    </row>
    <row r="44" spans="1:3" ht="13.2" x14ac:dyDescent="0.25">
      <c r="A44" s="6">
        <v>42</v>
      </c>
      <c r="B44" s="7">
        <v>20.714456558227539</v>
      </c>
      <c r="C44" s="3"/>
    </row>
    <row r="45" spans="1:3" ht="13.2" x14ac:dyDescent="0.25">
      <c r="A45" s="6">
        <v>43</v>
      </c>
      <c r="B45" s="7">
        <v>22.05841064453125</v>
      </c>
      <c r="C45" s="3"/>
    </row>
    <row r="46" spans="1:3" ht="13.2" x14ac:dyDescent="0.25">
      <c r="A46" s="6">
        <v>44</v>
      </c>
      <c r="B46" s="7">
        <v>22.272666931152344</v>
      </c>
      <c r="C46" s="3"/>
    </row>
    <row r="47" spans="1:3" ht="13.2" x14ac:dyDescent="0.25">
      <c r="A47" s="6">
        <v>45</v>
      </c>
      <c r="B47" s="7">
        <v>21.668859481811523</v>
      </c>
      <c r="C47" s="3"/>
    </row>
    <row r="48" spans="1:3" ht="13.2" x14ac:dyDescent="0.25">
      <c r="A48" s="6">
        <v>46</v>
      </c>
      <c r="B48" s="7">
        <v>21.746770858764648</v>
      </c>
      <c r="C48" s="3"/>
    </row>
    <row r="49" spans="1:3" ht="13.2" x14ac:dyDescent="0.25">
      <c r="A49" s="6">
        <v>47</v>
      </c>
      <c r="B49" s="7">
        <v>21.81494140625</v>
      </c>
      <c r="C49" s="3"/>
    </row>
    <row r="50" spans="1:3" ht="13.2" x14ac:dyDescent="0.25">
      <c r="A50" s="6">
        <v>48</v>
      </c>
      <c r="B50" s="7">
        <v>22.038934707641602</v>
      </c>
      <c r="C50" s="3"/>
    </row>
    <row r="51" spans="1:3" ht="13.2" x14ac:dyDescent="0.25">
      <c r="A51" s="6">
        <v>49</v>
      </c>
      <c r="B51" s="7">
        <v>21.698078155517578</v>
      </c>
      <c r="C51" s="3"/>
    </row>
    <row r="52" spans="1:3" ht="13.2" x14ac:dyDescent="0.25">
      <c r="A52" s="6">
        <v>50</v>
      </c>
      <c r="B52" s="7">
        <v>21.094270706176758</v>
      </c>
      <c r="C52" s="3"/>
    </row>
    <row r="53" spans="1:3" ht="13.2" x14ac:dyDescent="0.25">
      <c r="A53" s="6">
        <v>51</v>
      </c>
      <c r="B53" s="7">
        <v>20.266469955444336</v>
      </c>
      <c r="C53" s="3"/>
    </row>
    <row r="54" spans="1:3" ht="13.2" x14ac:dyDescent="0.25">
      <c r="A54" s="6">
        <v>52</v>
      </c>
      <c r="B54" s="7">
        <v>19.876918792724609</v>
      </c>
      <c r="C54" s="3"/>
    </row>
    <row r="55" spans="1:3" ht="13.2" x14ac:dyDescent="0.25">
      <c r="A55" s="6">
        <v>53</v>
      </c>
      <c r="B55" s="7">
        <v>20.412551879882813</v>
      </c>
      <c r="C55" s="3"/>
    </row>
    <row r="56" spans="1:3" ht="13.2" x14ac:dyDescent="0.25">
      <c r="A56" s="6">
        <v>54</v>
      </c>
      <c r="B56" s="7">
        <v>19.847700119018555</v>
      </c>
      <c r="C56" s="3"/>
    </row>
    <row r="57" spans="1:3" ht="13.2" x14ac:dyDescent="0.25">
      <c r="A57" s="6">
        <v>55</v>
      </c>
      <c r="B57" s="7">
        <v>19.701618194580078</v>
      </c>
      <c r="C57" s="3"/>
    </row>
    <row r="58" spans="1:3" ht="13.2" x14ac:dyDescent="0.25">
      <c r="A58" s="6">
        <v>56</v>
      </c>
      <c r="B58" s="7">
        <v>19.351022720336914</v>
      </c>
      <c r="C58" s="3"/>
    </row>
    <row r="59" spans="1:3" ht="13.2" x14ac:dyDescent="0.25">
      <c r="A59" s="6">
        <v>57</v>
      </c>
      <c r="B59" s="7">
        <v>20.509939193725586</v>
      </c>
      <c r="C59" s="3"/>
    </row>
    <row r="60" spans="1:3" ht="13.2" x14ac:dyDescent="0.25">
      <c r="A60" s="6">
        <v>58</v>
      </c>
      <c r="B60" s="7">
        <v>20.470985412597656</v>
      </c>
      <c r="C60" s="3"/>
    </row>
    <row r="61" spans="1:3" ht="13.2" x14ac:dyDescent="0.25">
      <c r="A61" s="6">
        <v>59</v>
      </c>
      <c r="B61" s="7">
        <v>20.558635711669922</v>
      </c>
      <c r="C61" s="3"/>
    </row>
    <row r="62" spans="1:3" ht="13.2" x14ac:dyDescent="0.25">
      <c r="A62" s="6">
        <v>60</v>
      </c>
      <c r="B62" s="7">
        <v>20.57811164855957</v>
      </c>
      <c r="C62" s="3"/>
    </row>
    <row r="63" spans="1:3" ht="13.2" x14ac:dyDescent="0.25">
      <c r="A63" s="6">
        <v>61</v>
      </c>
      <c r="B63" s="7">
        <v>20.928709030151367</v>
      </c>
      <c r="C63" s="3"/>
    </row>
    <row r="64" spans="1:3" ht="13.2" x14ac:dyDescent="0.25">
      <c r="A64" s="6">
        <v>62</v>
      </c>
      <c r="B64" s="7">
        <v>21.600688934326172</v>
      </c>
      <c r="C64" s="3"/>
    </row>
    <row r="65" spans="1:3" ht="13.2" x14ac:dyDescent="0.25">
      <c r="A65" s="6">
        <v>63</v>
      </c>
      <c r="B65" s="7">
        <v>22.165538787841797</v>
      </c>
      <c r="C65" s="3"/>
    </row>
    <row r="66" spans="1:3" ht="13.2" x14ac:dyDescent="0.25">
      <c r="A66" s="6">
        <v>64</v>
      </c>
      <c r="B66" s="7">
        <v>21.756507873535156</v>
      </c>
      <c r="C66" s="3"/>
    </row>
    <row r="67" spans="1:3" ht="13.2" x14ac:dyDescent="0.25">
      <c r="A67" s="6">
        <v>65</v>
      </c>
      <c r="B67" s="7">
        <v>21.191658020019531</v>
      </c>
      <c r="C67" s="3"/>
    </row>
    <row r="68" spans="1:3" ht="13.2" x14ac:dyDescent="0.25">
      <c r="A68" s="6">
        <v>66</v>
      </c>
      <c r="B68" s="7">
        <v>21.269567489624023</v>
      </c>
      <c r="C68" s="3"/>
    </row>
    <row r="69" spans="1:3" ht="13.2" x14ac:dyDescent="0.25">
      <c r="A69" s="6">
        <v>67</v>
      </c>
      <c r="B69" s="7">
        <v>21.4156494140625</v>
      </c>
      <c r="C69" s="3"/>
    </row>
    <row r="70" spans="1:3" ht="13.2" x14ac:dyDescent="0.25">
      <c r="A70" s="6">
        <v>68</v>
      </c>
      <c r="B70" s="7">
        <v>21.756507873535156</v>
      </c>
      <c r="C70" s="3"/>
    </row>
    <row r="71" spans="1:3" ht="13.2" x14ac:dyDescent="0.25">
      <c r="A71" s="6">
        <v>69</v>
      </c>
      <c r="B71" s="7">
        <v>22.01945686340332</v>
      </c>
      <c r="C71" s="3"/>
    </row>
    <row r="72" spans="1:3" ht="13.2" x14ac:dyDescent="0.25">
      <c r="A72" s="6">
        <v>70</v>
      </c>
      <c r="B72" s="7">
        <v>22.360313415527344</v>
      </c>
      <c r="C72" s="3"/>
    </row>
    <row r="73" spans="1:3" ht="13.2" x14ac:dyDescent="0.25">
      <c r="A73" s="6">
        <v>71</v>
      </c>
      <c r="B73" s="7">
        <v>22.038934707641602</v>
      </c>
      <c r="C73" s="3"/>
    </row>
    <row r="74" spans="1:3" ht="13.2" x14ac:dyDescent="0.25">
      <c r="A74" s="6">
        <v>72</v>
      </c>
      <c r="B74" s="7">
        <v>22.01945686340332</v>
      </c>
      <c r="C74" s="3"/>
    </row>
    <row r="75" spans="1:3" ht="13.2" x14ac:dyDescent="0.25">
      <c r="A75" s="6">
        <v>73</v>
      </c>
      <c r="B75" s="7">
        <v>21.084529876708984</v>
      </c>
      <c r="C75" s="3"/>
    </row>
    <row r="76" spans="1:3" ht="13.2" x14ac:dyDescent="0.25">
      <c r="A76" s="6">
        <v>74</v>
      </c>
      <c r="B76" s="7">
        <v>20.178821563720703</v>
      </c>
      <c r="C76" s="3"/>
    </row>
    <row r="77" spans="1:3" ht="13.2" x14ac:dyDescent="0.25">
      <c r="A77" s="6">
        <v>75</v>
      </c>
      <c r="B77" s="7">
        <v>21.055315017700195</v>
      </c>
      <c r="C77" s="3"/>
    </row>
    <row r="78" spans="1:3" ht="13.2" x14ac:dyDescent="0.25">
      <c r="A78" s="6">
        <v>76</v>
      </c>
      <c r="B78" s="7">
        <v>21.074790954589844</v>
      </c>
      <c r="C78" s="3"/>
    </row>
    <row r="79" spans="1:3" ht="13.2" x14ac:dyDescent="0.25">
      <c r="A79" s="6">
        <v>77</v>
      </c>
      <c r="B79" s="7">
        <v>20.451507568359375</v>
      </c>
      <c r="C79" s="3"/>
    </row>
    <row r="80" spans="1:3" ht="13.2" x14ac:dyDescent="0.25">
      <c r="A80" s="6">
        <v>78</v>
      </c>
      <c r="B80" s="7">
        <v>21.289047241210938</v>
      </c>
      <c r="C80" s="3"/>
    </row>
    <row r="81" spans="1:3" ht="13.2" x14ac:dyDescent="0.25">
      <c r="A81" s="6">
        <v>79</v>
      </c>
      <c r="B81" s="7">
        <v>20.889755249023438</v>
      </c>
      <c r="C81" s="3"/>
    </row>
    <row r="82" spans="1:3" ht="13.2" x14ac:dyDescent="0.25">
      <c r="A82" s="6">
        <v>80</v>
      </c>
      <c r="B82" s="7">
        <v>20.597589492797852</v>
      </c>
      <c r="C82" s="3"/>
    </row>
    <row r="83" spans="1:3" ht="13.2" x14ac:dyDescent="0.25">
      <c r="A83" s="6">
        <v>81</v>
      </c>
      <c r="B83" s="7">
        <v>20.519680023193359</v>
      </c>
      <c r="C83" s="3"/>
    </row>
    <row r="84" spans="1:3" ht="13.2" x14ac:dyDescent="0.25">
      <c r="A84" s="6">
        <v>82</v>
      </c>
      <c r="B84" s="7">
        <v>20.08143424987793</v>
      </c>
      <c r="C84" s="3"/>
    </row>
    <row r="85" spans="1:3" ht="13.2" x14ac:dyDescent="0.25">
      <c r="A85" s="6">
        <v>83</v>
      </c>
      <c r="B85" s="7">
        <v>19.165985107421875</v>
      </c>
      <c r="C85" s="3"/>
    </row>
    <row r="86" spans="1:3" ht="13.2" x14ac:dyDescent="0.25">
      <c r="A86" s="6">
        <v>84</v>
      </c>
      <c r="B86" s="7">
        <v>19.107551574707031</v>
      </c>
      <c r="C86" s="3"/>
    </row>
    <row r="87" spans="1:3" ht="13.2" x14ac:dyDescent="0.25">
      <c r="A87" s="6">
        <v>85</v>
      </c>
      <c r="B87" s="7">
        <v>19.243894577026367</v>
      </c>
      <c r="C87" s="3"/>
    </row>
    <row r="88" spans="1:3" ht="13.2" x14ac:dyDescent="0.25">
      <c r="A88" s="6">
        <v>86</v>
      </c>
      <c r="B88" s="7">
        <v>19.117290496826172</v>
      </c>
      <c r="C88" s="3"/>
    </row>
    <row r="89" spans="1:3" ht="13.2" x14ac:dyDescent="0.25">
      <c r="A89" s="6">
        <v>87</v>
      </c>
      <c r="B89" s="7">
        <v>19.195199966430664</v>
      </c>
      <c r="C89" s="3"/>
    </row>
    <row r="90" spans="1:3" ht="13.2" x14ac:dyDescent="0.25">
      <c r="A90" s="6">
        <v>88</v>
      </c>
      <c r="B90" s="7">
        <v>19.779529571533203</v>
      </c>
      <c r="C90" s="3"/>
    </row>
    <row r="91" spans="1:3" ht="13.2" x14ac:dyDescent="0.25">
      <c r="A91" s="6">
        <v>89</v>
      </c>
      <c r="B91" s="7">
        <v>19.584754943847656</v>
      </c>
      <c r="C91" s="3"/>
    </row>
    <row r="92" spans="1:3" ht="13.2" x14ac:dyDescent="0.25">
      <c r="A92" s="6">
        <v>90</v>
      </c>
      <c r="B92" s="7">
        <v>20.402812957763672</v>
      </c>
      <c r="C92" s="3"/>
    </row>
    <row r="93" spans="1:3" ht="13.2" x14ac:dyDescent="0.25">
      <c r="A93" s="6">
        <v>91</v>
      </c>
      <c r="B93" s="7">
        <v>20.402812957763672</v>
      </c>
      <c r="C93" s="3"/>
    </row>
    <row r="94" spans="1:3" ht="13.2" x14ac:dyDescent="0.25">
      <c r="A94" s="6">
        <v>92</v>
      </c>
      <c r="B94" s="7">
        <v>20.5294189453125</v>
      </c>
      <c r="C94" s="3"/>
    </row>
    <row r="95" spans="1:3" ht="13.2" x14ac:dyDescent="0.25">
      <c r="A95" s="6">
        <v>93</v>
      </c>
      <c r="B95" s="7">
        <v>20.412551879882813</v>
      </c>
      <c r="C95" s="3"/>
    </row>
    <row r="96" spans="1:3" ht="13.2" x14ac:dyDescent="0.25">
      <c r="A96" s="6">
        <v>94</v>
      </c>
      <c r="B96" s="7">
        <v>20.539157867431641</v>
      </c>
      <c r="C96" s="3"/>
    </row>
    <row r="97" spans="1:3" ht="13.2" x14ac:dyDescent="0.25">
      <c r="A97" s="6">
        <v>95</v>
      </c>
      <c r="B97" s="7">
        <v>20.96766471862793</v>
      </c>
      <c r="C97" s="3"/>
    </row>
    <row r="98" spans="1:3" ht="13.2" x14ac:dyDescent="0.25">
      <c r="A98" s="6">
        <v>96</v>
      </c>
      <c r="B98" s="7">
        <v>20.714456558227539</v>
      </c>
      <c r="C98" s="3"/>
    </row>
    <row r="99" spans="1:3" ht="13.2" x14ac:dyDescent="0.25">
      <c r="A99" s="6">
        <v>97</v>
      </c>
      <c r="B99" s="7">
        <v>20.850797653198242</v>
      </c>
      <c r="C99" s="3"/>
    </row>
    <row r="100" spans="1:3" ht="13.2" x14ac:dyDescent="0.25">
      <c r="A100" s="6">
        <v>98</v>
      </c>
      <c r="B100" s="7">
        <v>21.016359329223633</v>
      </c>
      <c r="C100" s="3"/>
    </row>
    <row r="101" spans="1:3" ht="13.2" x14ac:dyDescent="0.25">
      <c r="A101" s="6">
        <v>99</v>
      </c>
      <c r="B101" s="7">
        <v>21.016359329223633</v>
      </c>
      <c r="C101" s="3"/>
    </row>
    <row r="102" spans="1:3" ht="13.2" x14ac:dyDescent="0.25">
      <c r="A102" s="6">
        <v>100</v>
      </c>
      <c r="B102" s="7">
        <v>21.81494140625</v>
      </c>
      <c r="C102" s="3"/>
    </row>
    <row r="103" spans="1:3" ht="13.2" x14ac:dyDescent="0.25">
      <c r="A103" s="6">
        <v>101</v>
      </c>
      <c r="B103" s="7">
        <v>22.116844177246094</v>
      </c>
      <c r="C103" s="3"/>
    </row>
    <row r="104" spans="1:3" ht="13.2" x14ac:dyDescent="0.25">
      <c r="A104" s="6">
        <v>102</v>
      </c>
      <c r="B104" s="7">
        <v>21.931808471679688</v>
      </c>
      <c r="C104" s="3"/>
    </row>
    <row r="105" spans="1:3" ht="13.2" x14ac:dyDescent="0.25">
      <c r="A105" s="6">
        <v>103</v>
      </c>
      <c r="B105" s="7">
        <v>21.795463562011719</v>
      </c>
      <c r="C105" s="3"/>
    </row>
    <row r="106" spans="1:3" ht="13.2" x14ac:dyDescent="0.25">
      <c r="A106" s="6">
        <v>104</v>
      </c>
      <c r="B106" s="7">
        <v>21.464344024658203</v>
      </c>
      <c r="C106" s="3"/>
    </row>
    <row r="107" spans="1:3" ht="13.2" x14ac:dyDescent="0.25">
      <c r="A107" s="6">
        <v>105</v>
      </c>
      <c r="B107" s="7">
        <v>21.464344024658203</v>
      </c>
      <c r="C107" s="3"/>
    </row>
    <row r="108" spans="1:3" ht="13.2" x14ac:dyDescent="0.25">
      <c r="A108" s="6">
        <v>106</v>
      </c>
      <c r="B108" s="7">
        <v>20.5294189453125</v>
      </c>
      <c r="C108" s="3"/>
    </row>
    <row r="109" spans="1:3" ht="13.2" x14ac:dyDescent="0.25">
      <c r="A109" s="6">
        <v>107</v>
      </c>
      <c r="B109" s="7">
        <v>20.928709030151367</v>
      </c>
      <c r="C109" s="3"/>
    </row>
    <row r="110" spans="1:3" ht="13.2" x14ac:dyDescent="0.25">
      <c r="A110" s="6">
        <v>108</v>
      </c>
      <c r="B110" s="7">
        <v>20.928709030151367</v>
      </c>
      <c r="C110" s="3"/>
    </row>
    <row r="111" spans="1:3" ht="13.2" x14ac:dyDescent="0.25">
      <c r="A111" s="6">
        <v>109</v>
      </c>
      <c r="B111" s="7">
        <v>20.948186874389648</v>
      </c>
      <c r="C111" s="3"/>
    </row>
    <row r="112" spans="1:3" ht="13.2" x14ac:dyDescent="0.25">
      <c r="A112" s="6">
        <v>110</v>
      </c>
      <c r="B112" s="7">
        <v>20.938449859619141</v>
      </c>
      <c r="C112" s="3"/>
    </row>
    <row r="113" spans="1:3" ht="13.2" x14ac:dyDescent="0.25">
      <c r="A113" s="6">
        <v>111</v>
      </c>
      <c r="B113" s="7">
        <v>20.646284103393555</v>
      </c>
      <c r="C113" s="3"/>
    </row>
    <row r="114" spans="1:3" ht="13.2" x14ac:dyDescent="0.25">
      <c r="A114" s="6">
        <v>112</v>
      </c>
      <c r="B114" s="7">
        <v>19.185462951660156</v>
      </c>
      <c r="C114" s="3"/>
    </row>
    <row r="115" spans="1:3" ht="13.2" x14ac:dyDescent="0.25">
      <c r="A115" s="6">
        <v>113</v>
      </c>
      <c r="B115" s="7">
        <v>19.127029418945313</v>
      </c>
      <c r="C115" s="3"/>
    </row>
    <row r="116" spans="1:3" ht="13.2" x14ac:dyDescent="0.25">
      <c r="A116" s="6">
        <v>114</v>
      </c>
      <c r="B116" s="7">
        <v>17.773334503173828</v>
      </c>
      <c r="C116" s="3"/>
    </row>
    <row r="117" spans="1:3" ht="13.2" x14ac:dyDescent="0.25">
      <c r="A117" s="6">
        <v>115</v>
      </c>
      <c r="B117" s="7">
        <v>18.474529266357422</v>
      </c>
      <c r="C117" s="3"/>
    </row>
    <row r="118" spans="1:3" ht="13.2" x14ac:dyDescent="0.25">
      <c r="A118" s="6">
        <v>116</v>
      </c>
      <c r="B118" s="7">
        <v>19.010164260864258</v>
      </c>
      <c r="C118" s="3"/>
    </row>
    <row r="119" spans="1:3" ht="13.2" x14ac:dyDescent="0.25">
      <c r="A119" s="6">
        <v>117</v>
      </c>
      <c r="B119" s="7">
        <v>18.873819351196289</v>
      </c>
      <c r="C119" s="3"/>
    </row>
    <row r="120" spans="1:3" ht="13.2" x14ac:dyDescent="0.25">
      <c r="A120" s="6">
        <v>118</v>
      </c>
      <c r="B120" s="7">
        <v>19.039379119873047</v>
      </c>
      <c r="C120" s="3"/>
    </row>
    <row r="121" spans="1:3" ht="13.2" x14ac:dyDescent="0.25">
      <c r="A121" s="6">
        <v>119</v>
      </c>
      <c r="B121" s="7">
        <v>21.026098251342773</v>
      </c>
      <c r="C121" s="3"/>
    </row>
    <row r="122" spans="1:3" ht="13.2" x14ac:dyDescent="0.25">
      <c r="A122" s="6">
        <v>120</v>
      </c>
      <c r="B122" s="7">
        <v>21.104007720947266</v>
      </c>
      <c r="C122" s="3"/>
    </row>
    <row r="123" spans="1:3" ht="13.2" x14ac:dyDescent="0.25">
      <c r="A123" s="6">
        <v>121</v>
      </c>
      <c r="B123" s="7">
        <v>20.597589492797852</v>
      </c>
      <c r="C123" s="3"/>
    </row>
    <row r="124" spans="1:3" ht="13.2" x14ac:dyDescent="0.25">
      <c r="A124" s="6">
        <v>122</v>
      </c>
      <c r="B124" s="7">
        <v>20.188560485839844</v>
      </c>
      <c r="C124" s="3"/>
    </row>
    <row r="125" spans="1:3" ht="13.2" x14ac:dyDescent="0.25">
      <c r="A125" s="6">
        <v>123</v>
      </c>
      <c r="B125" s="7">
        <v>20.393075942993164</v>
      </c>
      <c r="C125" s="3"/>
    </row>
    <row r="126" spans="1:3" ht="13.2" x14ac:dyDescent="0.25">
      <c r="A126" s="6">
        <v>124</v>
      </c>
      <c r="B126" s="7">
        <v>21.513038635253906</v>
      </c>
      <c r="C126" s="3"/>
    </row>
    <row r="127" spans="1:3" ht="13.2" x14ac:dyDescent="0.25">
      <c r="A127" s="6">
        <v>125</v>
      </c>
      <c r="B127" s="7">
        <v>22.214231491088867</v>
      </c>
      <c r="C127" s="3"/>
    </row>
    <row r="128" spans="1:3" ht="13.2" x14ac:dyDescent="0.25">
      <c r="A128" s="6">
        <v>126</v>
      </c>
      <c r="B128" s="7">
        <v>22.954383850097656</v>
      </c>
      <c r="C128" s="3"/>
    </row>
    <row r="129" spans="1:3" ht="13.2" x14ac:dyDescent="0.25">
      <c r="A129" s="6">
        <v>127</v>
      </c>
      <c r="B129" s="7">
        <v>23.519233703613281</v>
      </c>
      <c r="C129" s="3"/>
    </row>
    <row r="130" spans="1:3" ht="13.2" x14ac:dyDescent="0.25">
      <c r="A130" s="6">
        <v>128</v>
      </c>
      <c r="B130" s="7">
        <v>23.70427131652832</v>
      </c>
      <c r="C130" s="3"/>
    </row>
    <row r="131" spans="1:3" ht="13.2" x14ac:dyDescent="0.25">
      <c r="A131" s="6">
        <v>129</v>
      </c>
      <c r="B131" s="7">
        <v>24.814496994018555</v>
      </c>
      <c r="C131" s="3"/>
    </row>
    <row r="132" spans="1:3" ht="13.2" x14ac:dyDescent="0.25">
      <c r="A132" s="6">
        <v>130</v>
      </c>
      <c r="B132" s="7">
        <v>25.807855606079102</v>
      </c>
      <c r="C132" s="3"/>
    </row>
    <row r="133" spans="1:3" ht="13.2" x14ac:dyDescent="0.25">
      <c r="A133" s="6">
        <v>131</v>
      </c>
      <c r="B133" s="7">
        <v>26.596698760986328</v>
      </c>
      <c r="C133" s="3"/>
    </row>
    <row r="134" spans="1:3" ht="13.2" x14ac:dyDescent="0.25">
      <c r="A134" s="6">
        <v>132</v>
      </c>
      <c r="B134" s="7">
        <v>26.810953140258789</v>
      </c>
      <c r="C134" s="3"/>
    </row>
    <row r="135" spans="1:3" ht="13.2" x14ac:dyDescent="0.25">
      <c r="A135" s="6">
        <v>133</v>
      </c>
      <c r="B135" s="7">
        <v>27.02520751953125</v>
      </c>
      <c r="C135" s="3"/>
    </row>
    <row r="136" spans="1:3" ht="13.2" x14ac:dyDescent="0.25">
      <c r="A136" s="6">
        <v>134</v>
      </c>
      <c r="B136" s="7">
        <v>26.986249923706055</v>
      </c>
      <c r="C136" s="3"/>
    </row>
    <row r="137" spans="1:3" ht="13.2" x14ac:dyDescent="0.25">
      <c r="A137" s="6">
        <v>135</v>
      </c>
      <c r="B137" s="7">
        <v>27.015468597412109</v>
      </c>
      <c r="C137" s="3"/>
    </row>
    <row r="138" spans="1:3" ht="13.2" x14ac:dyDescent="0.25">
      <c r="A138" s="6">
        <v>136</v>
      </c>
      <c r="B138" s="7">
        <v>27.697185516357422</v>
      </c>
      <c r="C138" s="3"/>
    </row>
    <row r="139" spans="1:3" ht="13.2" x14ac:dyDescent="0.25">
      <c r="A139" s="6">
        <v>137</v>
      </c>
      <c r="B139" s="7">
        <v>27.86274528503418</v>
      </c>
      <c r="C139" s="3"/>
    </row>
    <row r="140" spans="1:3" ht="13.2" x14ac:dyDescent="0.25">
      <c r="A140" s="6">
        <v>138</v>
      </c>
      <c r="B140" s="7">
        <v>27.843267440795898</v>
      </c>
      <c r="C140" s="3"/>
    </row>
    <row r="141" spans="1:3" ht="13.2" x14ac:dyDescent="0.25">
      <c r="A141" s="6">
        <v>139</v>
      </c>
      <c r="B141" s="7">
        <v>27.989349365234375</v>
      </c>
      <c r="C141" s="3"/>
    </row>
    <row r="142" spans="1:3" ht="13.2" x14ac:dyDescent="0.25">
      <c r="A142" s="6">
        <v>140</v>
      </c>
      <c r="B142" s="7">
        <v>27.775096893310547</v>
      </c>
      <c r="C142" s="3"/>
    </row>
    <row r="143" spans="1:3" ht="13.2" x14ac:dyDescent="0.25">
      <c r="A143" s="6">
        <v>141</v>
      </c>
      <c r="B143" s="7">
        <v>27.687446594238281</v>
      </c>
      <c r="C143" s="3"/>
    </row>
    <row r="144" spans="1:3" ht="13.2" x14ac:dyDescent="0.25">
      <c r="A144" s="6">
        <v>142</v>
      </c>
      <c r="B144" s="7">
        <v>26.343488693237305</v>
      </c>
      <c r="C144" s="3"/>
    </row>
    <row r="145" spans="1:3" ht="13.2" x14ac:dyDescent="0.25">
      <c r="A145" s="6">
        <v>143</v>
      </c>
      <c r="B145" s="7">
        <v>26.450616836547852</v>
      </c>
      <c r="C145" s="3"/>
    </row>
    <row r="146" spans="1:3" ht="13.2" x14ac:dyDescent="0.25">
      <c r="A146" s="6">
        <v>144</v>
      </c>
      <c r="B146" s="7">
        <v>26.187667846679688</v>
      </c>
      <c r="C146" s="3"/>
    </row>
    <row r="147" spans="1:3" ht="13.2" x14ac:dyDescent="0.25">
      <c r="A147" s="6">
        <v>145</v>
      </c>
      <c r="B147" s="7">
        <v>25.5838623046875</v>
      </c>
      <c r="C147" s="3"/>
    </row>
    <row r="148" spans="1:3" ht="13.2" x14ac:dyDescent="0.25">
      <c r="A148" s="6">
        <v>146</v>
      </c>
      <c r="B148" s="7">
        <v>26.070804595947266</v>
      </c>
      <c r="C148" s="3"/>
    </row>
    <row r="149" spans="1:3" ht="13.2" x14ac:dyDescent="0.25">
      <c r="A149" s="6">
        <v>147</v>
      </c>
      <c r="B149" s="7">
        <v>24.960578918457031</v>
      </c>
      <c r="C149" s="3"/>
    </row>
    <row r="150" spans="1:3" ht="13.2" x14ac:dyDescent="0.25">
      <c r="A150" s="6">
        <v>148</v>
      </c>
      <c r="B150" s="7">
        <v>25.135875701904297</v>
      </c>
      <c r="C150" s="3"/>
    </row>
    <row r="151" spans="1:3" ht="13.2" x14ac:dyDescent="0.25">
      <c r="A151" s="6">
        <v>149</v>
      </c>
      <c r="B151" s="7">
        <v>24.707370758056641</v>
      </c>
      <c r="C151" s="3"/>
    </row>
    <row r="152" spans="1:3" ht="13.2" x14ac:dyDescent="0.25">
      <c r="A152" s="6">
        <v>150</v>
      </c>
      <c r="B152" s="7">
        <v>25.165094375610352</v>
      </c>
      <c r="C152" s="3"/>
    </row>
    <row r="153" spans="1:3" ht="13.2" x14ac:dyDescent="0.25">
      <c r="A153" s="6">
        <v>151</v>
      </c>
      <c r="B153" s="7">
        <v>25.301437377929688</v>
      </c>
      <c r="C153" s="3"/>
    </row>
    <row r="154" spans="1:3" ht="13.2" x14ac:dyDescent="0.25">
      <c r="A154" s="6">
        <v>152</v>
      </c>
      <c r="B154" s="7">
        <v>25.057966232299805</v>
      </c>
      <c r="C154" s="3"/>
    </row>
    <row r="155" spans="1:3" ht="13.2" x14ac:dyDescent="0.25">
      <c r="A155" s="6">
        <v>153</v>
      </c>
      <c r="B155" s="7">
        <v>25.330652236938477</v>
      </c>
      <c r="C155" s="3"/>
    </row>
    <row r="156" spans="1:3" ht="13.2" x14ac:dyDescent="0.25">
      <c r="A156" s="6">
        <v>154</v>
      </c>
      <c r="B156" s="7">
        <v>25.34039306640625</v>
      </c>
      <c r="C156" s="3"/>
    </row>
    <row r="157" spans="1:3" ht="13.2" x14ac:dyDescent="0.25">
      <c r="A157" s="6">
        <v>155</v>
      </c>
      <c r="B157" s="7">
        <v>25.213787078857422</v>
      </c>
      <c r="C157" s="3"/>
    </row>
    <row r="158" spans="1:3" ht="13.2" x14ac:dyDescent="0.25">
      <c r="A158" s="6">
        <v>156</v>
      </c>
      <c r="B158" s="7">
        <v>25.642295837402344</v>
      </c>
      <c r="C158" s="3"/>
    </row>
    <row r="159" spans="1:3" ht="13.2" x14ac:dyDescent="0.25">
      <c r="A159" s="6">
        <v>157</v>
      </c>
      <c r="B159" s="7">
        <v>25.515691757202148</v>
      </c>
      <c r="C159" s="3"/>
    </row>
    <row r="160" spans="1:3" ht="13.2" x14ac:dyDescent="0.25">
      <c r="A160" s="6">
        <v>158</v>
      </c>
      <c r="B160" s="7">
        <v>25.866287231445313</v>
      </c>
      <c r="C160" s="3"/>
    </row>
    <row r="161" spans="1:3" ht="13.2" x14ac:dyDescent="0.25">
      <c r="A161" s="6">
        <v>159</v>
      </c>
      <c r="B161" s="7">
        <v>26.03184700012207</v>
      </c>
      <c r="C161" s="3"/>
    </row>
    <row r="162" spans="1:3" ht="13.2" x14ac:dyDescent="0.25">
      <c r="A162" s="6">
        <v>160</v>
      </c>
      <c r="B162" s="7">
        <v>26.158452987670898</v>
      </c>
      <c r="C162" s="3"/>
    </row>
    <row r="163" spans="1:3" ht="13.2" x14ac:dyDescent="0.25">
      <c r="A163" s="6">
        <v>161</v>
      </c>
      <c r="B163" s="7">
        <v>25.466997146606445</v>
      </c>
      <c r="C163" s="3"/>
    </row>
    <row r="164" spans="1:3" ht="13.2" x14ac:dyDescent="0.25">
      <c r="A164" s="6">
        <v>162</v>
      </c>
      <c r="B164" s="7">
        <v>24.882667541503906</v>
      </c>
      <c r="C164" s="3"/>
    </row>
    <row r="165" spans="1:3" ht="13.2" x14ac:dyDescent="0.25">
      <c r="A165" s="6">
        <v>163</v>
      </c>
      <c r="B165" s="7">
        <v>23.645839691162109</v>
      </c>
      <c r="C165" s="3"/>
    </row>
    <row r="166" spans="1:3" ht="13.2" x14ac:dyDescent="0.25">
      <c r="A166" s="6">
        <v>164</v>
      </c>
      <c r="B166" s="7">
        <v>23.577665328979492</v>
      </c>
      <c r="C166" s="3"/>
    </row>
    <row r="167" spans="1:3" ht="13.2" x14ac:dyDescent="0.25">
      <c r="A167" s="6">
        <v>165</v>
      </c>
      <c r="B167" s="7">
        <v>23.636100769042969</v>
      </c>
      <c r="C167" s="3"/>
    </row>
    <row r="168" spans="1:3" ht="13.2" x14ac:dyDescent="0.25">
      <c r="A168" s="6">
        <v>166</v>
      </c>
      <c r="B168" s="7">
        <v>23.938003540039063</v>
      </c>
      <c r="C168" s="3"/>
    </row>
    <row r="169" spans="1:3" ht="13.2" x14ac:dyDescent="0.25">
      <c r="A169" s="6">
        <v>167</v>
      </c>
      <c r="B169" s="7">
        <v>23.25628662109375</v>
      </c>
      <c r="C169" s="3"/>
    </row>
    <row r="170" spans="1:3" ht="13.2" x14ac:dyDescent="0.25">
      <c r="A170" s="6">
        <v>168</v>
      </c>
      <c r="B170" s="7">
        <v>23.217330932617188</v>
      </c>
      <c r="C170" s="3"/>
    </row>
    <row r="171" spans="1:3" ht="13.2" x14ac:dyDescent="0.25">
      <c r="A171" s="6">
        <v>169</v>
      </c>
      <c r="B171" s="7">
        <v>23.042032241821289</v>
      </c>
      <c r="C171" s="3"/>
    </row>
    <row r="172" spans="1:3" ht="13.2" x14ac:dyDescent="0.25">
      <c r="A172" s="6">
        <v>170</v>
      </c>
      <c r="B172" s="7">
        <v>22.447963714599609</v>
      </c>
      <c r="C172" s="3"/>
    </row>
    <row r="173" spans="1:3" ht="13.2" x14ac:dyDescent="0.25">
      <c r="A173" s="6">
        <v>171</v>
      </c>
      <c r="B173" s="7">
        <v>22.379793167114258</v>
      </c>
      <c r="C173" s="3"/>
    </row>
    <row r="174" spans="1:3" ht="13.2" x14ac:dyDescent="0.25">
      <c r="A174" s="6">
        <v>172</v>
      </c>
      <c r="B174" s="7">
        <v>22.185016632080078</v>
      </c>
      <c r="C174" s="3"/>
    </row>
    <row r="175" spans="1:3" ht="13.2" x14ac:dyDescent="0.25">
      <c r="A175" s="6">
        <v>173</v>
      </c>
      <c r="B175" s="7">
        <v>21.980501174926758</v>
      </c>
      <c r="C175" s="3"/>
    </row>
    <row r="176" spans="1:3" ht="13.2" x14ac:dyDescent="0.25">
      <c r="A176" s="6">
        <v>174</v>
      </c>
      <c r="B176" s="7">
        <v>22.331098556518555</v>
      </c>
      <c r="C176" s="3"/>
    </row>
    <row r="177" spans="1:3" ht="13.2" x14ac:dyDescent="0.25">
      <c r="A177" s="6">
        <v>175</v>
      </c>
      <c r="B177" s="7">
        <v>22.506399154663086</v>
      </c>
      <c r="C177" s="3"/>
    </row>
    <row r="178" spans="1:3" ht="13.2" x14ac:dyDescent="0.25">
      <c r="A178" s="6">
        <v>176</v>
      </c>
      <c r="B178" s="7">
        <v>23.090724945068359</v>
      </c>
      <c r="C178" s="3"/>
    </row>
    <row r="179" spans="1:3" ht="13.2" x14ac:dyDescent="0.25">
      <c r="A179" s="6">
        <v>177</v>
      </c>
      <c r="B179" s="7">
        <v>23.25628662109375</v>
      </c>
      <c r="C179" s="3"/>
    </row>
    <row r="180" spans="1:3" ht="13.2" x14ac:dyDescent="0.25">
      <c r="A180" s="6">
        <v>178</v>
      </c>
      <c r="B180" s="7">
        <v>23.412107467651367</v>
      </c>
      <c r="C180" s="3"/>
    </row>
    <row r="181" spans="1:3" ht="13.2" x14ac:dyDescent="0.25">
      <c r="A181" s="6">
        <v>179</v>
      </c>
      <c r="B181" s="7">
        <v>23.149160385131836</v>
      </c>
      <c r="C181" s="3"/>
    </row>
    <row r="182" spans="1:3" ht="13.2" x14ac:dyDescent="0.25">
      <c r="A182" s="6">
        <v>180</v>
      </c>
      <c r="B182" s="7">
        <v>22.769344329833984</v>
      </c>
      <c r="C182" s="3"/>
    </row>
    <row r="183" spans="1:3" ht="13.2" x14ac:dyDescent="0.25">
      <c r="A183" s="6">
        <v>181</v>
      </c>
      <c r="B183" s="7">
        <v>22.954383850097656</v>
      </c>
      <c r="C183" s="3"/>
    </row>
    <row r="184" spans="1:3" ht="13.2" x14ac:dyDescent="0.25">
      <c r="A184" s="6">
        <v>182</v>
      </c>
      <c r="B184" s="7">
        <v>23.343935012817383</v>
      </c>
      <c r="C184" s="3"/>
    </row>
    <row r="185" spans="1:3" ht="13.2" x14ac:dyDescent="0.25">
      <c r="A185" s="6">
        <v>183</v>
      </c>
      <c r="B185" s="7">
        <v>23.295242309570313</v>
      </c>
      <c r="C185" s="3"/>
    </row>
    <row r="186" spans="1:3" ht="13.2" x14ac:dyDescent="0.25">
      <c r="A186" s="6">
        <v>184</v>
      </c>
      <c r="B186" s="7">
        <v>23.70427131652832</v>
      </c>
      <c r="C186" s="3"/>
    </row>
    <row r="187" spans="1:3" ht="13.2" x14ac:dyDescent="0.25">
      <c r="A187" s="6">
        <v>185</v>
      </c>
      <c r="B187" s="7">
        <v>23.947742462158203</v>
      </c>
      <c r="C187" s="3"/>
    </row>
    <row r="188" spans="1:3" ht="13.2" x14ac:dyDescent="0.25">
      <c r="A188" s="6">
        <v>186</v>
      </c>
      <c r="B188" s="7">
        <v>24.132780075073242</v>
      </c>
      <c r="C188" s="3"/>
    </row>
    <row r="189" spans="1:3" ht="13.2" x14ac:dyDescent="0.25">
      <c r="A189" s="6">
        <v>187</v>
      </c>
      <c r="B189" s="7">
        <v>24.230165481567383</v>
      </c>
      <c r="C189" s="3"/>
    </row>
    <row r="190" spans="1:3" ht="13.2" x14ac:dyDescent="0.25">
      <c r="A190" s="6">
        <v>188</v>
      </c>
      <c r="B190" s="7">
        <v>23.879570007324219</v>
      </c>
      <c r="C190" s="3"/>
    </row>
    <row r="191" spans="1:3" ht="13.2" x14ac:dyDescent="0.25">
      <c r="A191" s="6">
        <v>189</v>
      </c>
      <c r="B191" s="7">
        <v>24.10356330871582</v>
      </c>
      <c r="C191" s="3"/>
    </row>
    <row r="192" spans="1:3" ht="13.2" x14ac:dyDescent="0.25">
      <c r="A192" s="6">
        <v>190</v>
      </c>
      <c r="B192" s="7">
        <v>24.181472778320313</v>
      </c>
      <c r="C192" s="3"/>
    </row>
    <row r="193" spans="1:3" ht="13.2" x14ac:dyDescent="0.25">
      <c r="A193" s="6">
        <v>191</v>
      </c>
      <c r="B193" s="7">
        <v>24.181472778320313</v>
      </c>
      <c r="C193" s="3"/>
    </row>
    <row r="194" spans="1:3" ht="13.2" x14ac:dyDescent="0.25">
      <c r="A194" s="6">
        <v>192</v>
      </c>
      <c r="B194" s="7">
        <v>24.025651931762695</v>
      </c>
      <c r="C194" s="3"/>
    </row>
    <row r="195" spans="1:3" ht="13.2" x14ac:dyDescent="0.25">
      <c r="A195" s="6">
        <v>193</v>
      </c>
      <c r="B195" s="7">
        <v>23.684793472290039</v>
      </c>
      <c r="C195" s="3"/>
    </row>
    <row r="196" spans="1:3" ht="13.2" x14ac:dyDescent="0.25">
      <c r="A196" s="6">
        <v>194</v>
      </c>
      <c r="B196" s="7">
        <v>24.775541305541992</v>
      </c>
      <c r="C196" s="3"/>
    </row>
    <row r="197" spans="1:3" ht="13.2" x14ac:dyDescent="0.25">
      <c r="A197" s="6">
        <v>195</v>
      </c>
      <c r="B197" s="7">
        <v>26.460355758666992</v>
      </c>
      <c r="C197" s="3"/>
    </row>
    <row r="198" spans="1:3" ht="13.2" x14ac:dyDescent="0.25">
      <c r="A198" s="6">
        <v>196</v>
      </c>
      <c r="B198" s="7">
        <v>26.733041763305664</v>
      </c>
      <c r="C198" s="3"/>
    </row>
    <row r="199" spans="1:3" ht="13.2" x14ac:dyDescent="0.25">
      <c r="A199" s="6">
        <v>197</v>
      </c>
      <c r="B199" s="7">
        <v>25.876028060913086</v>
      </c>
      <c r="C199" s="3"/>
    </row>
    <row r="200" spans="1:3" ht="13.2" x14ac:dyDescent="0.25">
      <c r="A200" s="6">
        <v>198</v>
      </c>
      <c r="B200" s="7">
        <v>25.866287231445313</v>
      </c>
      <c r="C200" s="3"/>
    </row>
    <row r="201" spans="1:3" ht="13.2" x14ac:dyDescent="0.25">
      <c r="A201" s="6">
        <v>199</v>
      </c>
      <c r="B201" s="7">
        <v>26.275318145751953</v>
      </c>
      <c r="C201" s="3"/>
    </row>
    <row r="202" spans="1:3" ht="13.2" x14ac:dyDescent="0.25">
      <c r="A202" s="6">
        <v>200</v>
      </c>
      <c r="B202" s="7">
        <v>26.187667846679688</v>
      </c>
      <c r="C202" s="3"/>
    </row>
    <row r="203" spans="1:3" ht="13.2" x14ac:dyDescent="0.25">
      <c r="A203" s="6">
        <v>201</v>
      </c>
      <c r="B203" s="7">
        <v>26.470094680786133</v>
      </c>
      <c r="C203" s="3"/>
    </row>
    <row r="204" spans="1:3" ht="13.2" x14ac:dyDescent="0.25">
      <c r="A204" s="6">
        <v>202</v>
      </c>
      <c r="B204" s="7">
        <v>27.015468597412109</v>
      </c>
      <c r="C204" s="3"/>
    </row>
    <row r="205" spans="1:3" ht="13.2" x14ac:dyDescent="0.25">
      <c r="A205" s="6">
        <v>203</v>
      </c>
      <c r="B205" s="7">
        <v>27.443975448608398</v>
      </c>
      <c r="C205" s="3"/>
    </row>
    <row r="206" spans="1:3" ht="13.2" x14ac:dyDescent="0.25">
      <c r="A206" s="6">
        <v>204</v>
      </c>
      <c r="B206" s="7">
        <v>27.814050674438477</v>
      </c>
      <c r="C206" s="3"/>
    </row>
    <row r="207" spans="1:3" ht="13.2" x14ac:dyDescent="0.25">
      <c r="A207" s="6">
        <v>205</v>
      </c>
      <c r="B207" s="7">
        <v>28.291252136230469</v>
      </c>
      <c r="C207" s="3"/>
    </row>
    <row r="208" spans="1:3" ht="13.2" x14ac:dyDescent="0.25">
      <c r="A208" s="6">
        <v>206</v>
      </c>
      <c r="B208" s="7">
        <v>28.51524543762207</v>
      </c>
      <c r="C208" s="3"/>
    </row>
    <row r="209" spans="1:3" ht="13.2" x14ac:dyDescent="0.25">
      <c r="A209" s="6">
        <v>207</v>
      </c>
      <c r="B209" s="7">
        <v>29.245656967163086</v>
      </c>
      <c r="C209" s="3"/>
    </row>
    <row r="210" spans="1:3" ht="13.2" x14ac:dyDescent="0.25">
      <c r="A210" s="6">
        <v>208</v>
      </c>
      <c r="B210" s="7">
        <v>29.99554443359375</v>
      </c>
      <c r="C210" s="3"/>
    </row>
    <row r="211" spans="1:3" ht="13.2" x14ac:dyDescent="0.25">
      <c r="A211" s="6">
        <v>209</v>
      </c>
      <c r="B211" s="7">
        <v>30.005281448364258</v>
      </c>
      <c r="C211" s="3"/>
    </row>
    <row r="212" spans="1:3" ht="13.2" x14ac:dyDescent="0.25">
      <c r="A212" s="6">
        <v>210</v>
      </c>
      <c r="B212" s="7">
        <v>29.888418197631836</v>
      </c>
      <c r="C212" s="3"/>
    </row>
    <row r="213" spans="1:3" ht="13.2" x14ac:dyDescent="0.25">
      <c r="A213" s="6">
        <v>211</v>
      </c>
      <c r="B213" s="7">
        <v>30.005281448364258</v>
      </c>
      <c r="C213" s="3"/>
    </row>
    <row r="214" spans="1:3" ht="13.2" x14ac:dyDescent="0.25">
      <c r="A214" s="6">
        <v>212</v>
      </c>
      <c r="B214" s="7">
        <v>30.404573440551758</v>
      </c>
      <c r="C214" s="3"/>
    </row>
    <row r="215" spans="1:3" ht="13.2" x14ac:dyDescent="0.25">
      <c r="A215" s="6">
        <v>213</v>
      </c>
      <c r="B215" s="7">
        <v>30.628568649291992</v>
      </c>
      <c r="C215" s="3"/>
    </row>
    <row r="216" spans="1:3" ht="13.2" x14ac:dyDescent="0.25">
      <c r="A216" s="6">
        <v>214</v>
      </c>
      <c r="B216" s="7">
        <v>31.144723892211914</v>
      </c>
      <c r="C216" s="3"/>
    </row>
    <row r="217" spans="1:3" ht="13.2" x14ac:dyDescent="0.25">
      <c r="A217" s="6">
        <v>215</v>
      </c>
      <c r="B217" s="7">
        <v>30.122150421142578</v>
      </c>
      <c r="C217" s="3"/>
    </row>
    <row r="218" spans="1:3" ht="13.2" x14ac:dyDescent="0.25">
      <c r="A218" s="6">
        <v>216</v>
      </c>
      <c r="B218" s="7">
        <v>29.489128112792969</v>
      </c>
      <c r="C218" s="3"/>
    </row>
    <row r="219" spans="1:3" ht="13.2" x14ac:dyDescent="0.25">
      <c r="A219" s="6">
        <v>217</v>
      </c>
      <c r="B219" s="7">
        <v>30.716217041015625</v>
      </c>
      <c r="C219" s="3"/>
    </row>
    <row r="220" spans="1:3" ht="13.2" x14ac:dyDescent="0.25">
      <c r="A220" s="6">
        <v>218</v>
      </c>
      <c r="B220" s="7">
        <v>30.316925048828125</v>
      </c>
      <c r="C220" s="3"/>
    </row>
    <row r="221" spans="1:3" ht="13.2" x14ac:dyDescent="0.25">
      <c r="A221" s="6">
        <v>219</v>
      </c>
      <c r="B221" s="7">
        <v>29.567037582397461</v>
      </c>
      <c r="C221" s="3"/>
    </row>
    <row r="222" spans="1:3" ht="13.2" x14ac:dyDescent="0.25">
      <c r="A222" s="6">
        <v>220</v>
      </c>
      <c r="B222" s="7">
        <v>29.791030883789063</v>
      </c>
      <c r="C222" s="3"/>
    </row>
    <row r="223" spans="1:3" ht="13.2" x14ac:dyDescent="0.25">
      <c r="A223" s="6">
        <v>221</v>
      </c>
      <c r="B223" s="7">
        <v>30.034500122070313</v>
      </c>
      <c r="C223" s="3"/>
    </row>
    <row r="224" spans="1:3" ht="13.2" x14ac:dyDescent="0.25">
      <c r="A224" s="6">
        <v>222</v>
      </c>
      <c r="B224" s="7">
        <v>29.907894134521484</v>
      </c>
      <c r="C224" s="3"/>
    </row>
    <row r="225" spans="1:3" ht="13.2" x14ac:dyDescent="0.25">
      <c r="A225" s="6">
        <v>223</v>
      </c>
      <c r="B225" s="7">
        <v>31.544017791748047</v>
      </c>
      <c r="C225" s="3"/>
    </row>
    <row r="226" spans="1:3" ht="13.2" x14ac:dyDescent="0.25">
      <c r="A226" s="6">
        <v>224</v>
      </c>
      <c r="B226" s="7">
        <v>33.141181945800781</v>
      </c>
      <c r="C226" s="3"/>
    </row>
    <row r="227" spans="1:3" ht="13.2" x14ac:dyDescent="0.25">
      <c r="A227" s="6">
        <v>225</v>
      </c>
      <c r="B227" s="7">
        <v>33.102226257324219</v>
      </c>
      <c r="C227" s="3"/>
    </row>
    <row r="228" spans="1:3" ht="13.2" x14ac:dyDescent="0.25">
      <c r="A228" s="6">
        <v>226</v>
      </c>
      <c r="B228" s="7">
        <v>33.482040405273438</v>
      </c>
      <c r="C228" s="3"/>
    </row>
    <row r="229" spans="1:3" ht="13.2" x14ac:dyDescent="0.25">
      <c r="A229" s="6">
        <v>227</v>
      </c>
      <c r="B229" s="7">
        <v>33.686557769775391</v>
      </c>
      <c r="C229" s="3"/>
    </row>
    <row r="230" spans="1:3" ht="13.2" x14ac:dyDescent="0.25">
      <c r="A230" s="6">
        <v>228</v>
      </c>
      <c r="B230" s="7">
        <v>33.706031799316406</v>
      </c>
      <c r="C230" s="3"/>
    </row>
    <row r="231" spans="1:3" ht="13.2" x14ac:dyDescent="0.25">
      <c r="A231" s="6">
        <v>229</v>
      </c>
      <c r="B231" s="7">
        <v>34.864948272705078</v>
      </c>
      <c r="C231" s="3"/>
    </row>
    <row r="232" spans="1:3" ht="13.2" x14ac:dyDescent="0.25">
      <c r="A232" s="6">
        <v>230</v>
      </c>
      <c r="B232" s="7">
        <v>35.556404113769531</v>
      </c>
      <c r="C232" s="3"/>
    </row>
    <row r="233" spans="1:3" ht="13.2" x14ac:dyDescent="0.25">
      <c r="A233" s="6">
        <v>231</v>
      </c>
      <c r="B233" s="7">
        <v>34.825996398925781</v>
      </c>
      <c r="C233" s="3"/>
    </row>
    <row r="234" spans="1:3" ht="13.2" x14ac:dyDescent="0.25">
      <c r="A234" s="6">
        <v>232</v>
      </c>
      <c r="B234" s="7">
        <v>34.582527160644531</v>
      </c>
      <c r="C234" s="3"/>
    </row>
    <row r="235" spans="1:3" ht="13.2" x14ac:dyDescent="0.25">
      <c r="A235" s="6">
        <v>233</v>
      </c>
      <c r="B235" s="7">
        <v>33.238571166992188</v>
      </c>
      <c r="C235" s="3"/>
    </row>
    <row r="236" spans="1:3" ht="13.2" x14ac:dyDescent="0.25">
      <c r="A236" s="6">
        <v>234</v>
      </c>
      <c r="B236" s="7">
        <v>33.871589660644531</v>
      </c>
      <c r="C236" s="3"/>
    </row>
    <row r="237" spans="1:3" ht="13.2" x14ac:dyDescent="0.25">
      <c r="A237" s="6">
        <v>235</v>
      </c>
      <c r="B237" s="7">
        <v>33.287261962890625</v>
      </c>
      <c r="C237" s="3"/>
    </row>
    <row r="238" spans="1:3" ht="13.2" x14ac:dyDescent="0.25">
      <c r="A238" s="6">
        <v>236</v>
      </c>
      <c r="B238" s="7">
        <v>32.089389801025391</v>
      </c>
      <c r="C238" s="3"/>
    </row>
    <row r="239" spans="1:3" ht="13.2" x14ac:dyDescent="0.25">
      <c r="A239" s="6">
        <v>237</v>
      </c>
      <c r="B239" s="7">
        <v>32.469203948974609</v>
      </c>
      <c r="C239" s="3"/>
    </row>
    <row r="240" spans="1:3" ht="13.2" x14ac:dyDescent="0.25">
      <c r="A240" s="6">
        <v>238</v>
      </c>
      <c r="B240" s="7">
        <v>31.544017791748047</v>
      </c>
      <c r="C240" s="3"/>
    </row>
    <row r="241" spans="1:3" ht="13.2" x14ac:dyDescent="0.25">
      <c r="A241" s="6">
        <v>239</v>
      </c>
      <c r="B241" s="7">
        <v>32.07965087890625</v>
      </c>
      <c r="C241" s="3"/>
    </row>
    <row r="242" spans="1:3" ht="13.2" x14ac:dyDescent="0.25">
      <c r="A242" s="6">
        <v>240</v>
      </c>
      <c r="B242" s="7">
        <v>31.904350280761719</v>
      </c>
      <c r="C242" s="3"/>
    </row>
    <row r="243" spans="1:3" ht="13.2" x14ac:dyDescent="0.25">
      <c r="A243" s="6">
        <v>241</v>
      </c>
      <c r="B243" s="7">
        <v>31.39793586730957</v>
      </c>
      <c r="C243" s="3"/>
    </row>
    <row r="244" spans="1:3" ht="13.2" x14ac:dyDescent="0.25">
      <c r="A244" s="6">
        <v>242</v>
      </c>
      <c r="B244" s="7">
        <v>31.505060195922852</v>
      </c>
      <c r="C244" s="3"/>
    </row>
    <row r="245" spans="1:3" ht="13.2" x14ac:dyDescent="0.25">
      <c r="A245" s="6">
        <v>243</v>
      </c>
      <c r="B245" s="7">
        <v>31.076553344726563</v>
      </c>
      <c r="C245" s="3"/>
    </row>
    <row r="246" spans="1:3" ht="13.2" x14ac:dyDescent="0.25">
      <c r="A246" s="6">
        <v>244</v>
      </c>
      <c r="B246" s="7">
        <v>30.988903045654297</v>
      </c>
      <c r="C246" s="3"/>
    </row>
    <row r="247" spans="1:3" ht="13.2" x14ac:dyDescent="0.25">
      <c r="A247" s="6">
        <v>245</v>
      </c>
      <c r="B247" s="7">
        <v>31.134984970092773</v>
      </c>
      <c r="C247" s="3"/>
    </row>
    <row r="248" spans="1:3" ht="13.2" x14ac:dyDescent="0.25">
      <c r="A248" s="6">
        <v>246</v>
      </c>
      <c r="B248" s="7">
        <v>31.290807723999023</v>
      </c>
      <c r="C248" s="3"/>
    </row>
    <row r="249" spans="1:3" ht="13.2" x14ac:dyDescent="0.25">
      <c r="A249" s="6">
        <v>247</v>
      </c>
      <c r="B249" s="7">
        <v>31.388195037841797</v>
      </c>
      <c r="C249" s="3"/>
    </row>
    <row r="250" spans="1:3" ht="13.2" x14ac:dyDescent="0.25">
      <c r="A250" s="6">
        <v>248</v>
      </c>
      <c r="B250" s="7">
        <v>32.225730895996094</v>
      </c>
      <c r="C250" s="3"/>
    </row>
    <row r="251" spans="1:3" ht="13.2" x14ac:dyDescent="0.25">
      <c r="A251" s="6">
        <v>249</v>
      </c>
      <c r="B251" s="7">
        <v>31.748529434204102</v>
      </c>
      <c r="C251" s="3"/>
    </row>
    <row r="252" spans="1:3" ht="13.2" x14ac:dyDescent="0.25">
      <c r="A252" s="6">
        <v>250</v>
      </c>
      <c r="B252" s="7">
        <v>31.544017791748047</v>
      </c>
      <c r="C252" s="3"/>
    </row>
    <row r="253" spans="1:3" ht="13.2" x14ac:dyDescent="0.25">
      <c r="A253" s="6">
        <v>251</v>
      </c>
      <c r="B253" s="7">
        <v>30.706478118896484</v>
      </c>
      <c r="C253" s="3"/>
    </row>
    <row r="254" spans="1:3" ht="13.2" x14ac:dyDescent="0.25">
      <c r="A254" s="6">
        <v>252</v>
      </c>
      <c r="B254" s="7">
        <v>31.076553344726563</v>
      </c>
      <c r="C254" s="3">
        <f>LN(B254/B2)</f>
        <v>0.54623043751157119</v>
      </c>
    </row>
    <row r="255" spans="1:3" ht="13.2" x14ac:dyDescent="0.25">
      <c r="A255" s="6">
        <v>253</v>
      </c>
      <c r="B255" s="7">
        <v>30.842823028564453</v>
      </c>
      <c r="C255" s="3">
        <f t="shared" ref="C255:C318" si="0">LN(B255/B3)</f>
        <v>0.56333277168117557</v>
      </c>
    </row>
    <row r="256" spans="1:3" ht="13.2" x14ac:dyDescent="0.25">
      <c r="A256" s="6">
        <v>254</v>
      </c>
      <c r="B256" s="7">
        <v>30.784389495849609</v>
      </c>
      <c r="C256" s="3">
        <f t="shared" si="0"/>
        <v>0.51061473992899664</v>
      </c>
    </row>
    <row r="257" spans="1:3" ht="13.2" x14ac:dyDescent="0.25">
      <c r="A257" s="6">
        <v>255</v>
      </c>
      <c r="B257" s="7">
        <v>31.164201736450195</v>
      </c>
      <c r="C257" s="3">
        <f t="shared" si="0"/>
        <v>0.5129110718648241</v>
      </c>
    </row>
    <row r="258" spans="1:3" ht="13.2" x14ac:dyDescent="0.25">
      <c r="A258" s="6">
        <v>256</v>
      </c>
      <c r="B258" s="7">
        <v>32.167301177978516</v>
      </c>
      <c r="C258" s="3">
        <f t="shared" si="0"/>
        <v>0.55772539486151618</v>
      </c>
    </row>
    <row r="259" spans="1:3" ht="13.2" x14ac:dyDescent="0.25">
      <c r="A259" s="6">
        <v>257</v>
      </c>
      <c r="B259" s="7">
        <v>32.537376403808594</v>
      </c>
      <c r="C259" s="3">
        <f t="shared" si="0"/>
        <v>0.5776615426259688</v>
      </c>
    </row>
    <row r="260" spans="1:3" ht="13.2" x14ac:dyDescent="0.25">
      <c r="A260" s="6">
        <v>258</v>
      </c>
      <c r="B260" s="7">
        <v>33.170398712158203</v>
      </c>
      <c r="C260" s="3">
        <f t="shared" si="0"/>
        <v>0.57477709885983508</v>
      </c>
    </row>
    <row r="261" spans="1:3" ht="13.2" x14ac:dyDescent="0.25">
      <c r="A261" s="6">
        <v>259</v>
      </c>
      <c r="B261" s="7">
        <v>33.482040405273438</v>
      </c>
      <c r="C261" s="3">
        <f t="shared" si="0"/>
        <v>0.54776086417450431</v>
      </c>
    </row>
    <row r="262" spans="1:3" ht="13.2" x14ac:dyDescent="0.25">
      <c r="A262" s="6">
        <v>260</v>
      </c>
      <c r="B262" s="7">
        <v>32.615287780761719</v>
      </c>
      <c r="C262" s="3">
        <f t="shared" si="0"/>
        <v>0.46958570010308076</v>
      </c>
    </row>
    <row r="263" spans="1:3" ht="13.2" x14ac:dyDescent="0.25">
      <c r="A263" s="6">
        <v>261</v>
      </c>
      <c r="B263" s="7">
        <v>32.157562255859375</v>
      </c>
      <c r="C263" s="3">
        <f t="shared" si="0"/>
        <v>0.41749969590133723</v>
      </c>
    </row>
    <row r="264" spans="1:3" ht="13.2" x14ac:dyDescent="0.25">
      <c r="A264" s="6">
        <v>262</v>
      </c>
      <c r="B264" s="7">
        <v>34.416965484619141</v>
      </c>
      <c r="C264" s="3">
        <f t="shared" si="0"/>
        <v>0.39030047849797778</v>
      </c>
    </row>
    <row r="265" spans="1:3" ht="13.2" x14ac:dyDescent="0.25">
      <c r="A265" s="6">
        <v>263</v>
      </c>
      <c r="B265" s="7">
        <v>34.280624389648438</v>
      </c>
      <c r="C265" s="3">
        <f t="shared" si="0"/>
        <v>0.33024178363451501</v>
      </c>
    </row>
    <row r="266" spans="1:3" ht="13.2" x14ac:dyDescent="0.25">
      <c r="A266" s="6">
        <v>264</v>
      </c>
      <c r="B266" s="7">
        <v>35.127899169921875</v>
      </c>
      <c r="C266" s="3">
        <f t="shared" si="0"/>
        <v>0.35782416170902304</v>
      </c>
    </row>
    <row r="267" spans="1:3" ht="13.2" x14ac:dyDescent="0.25">
      <c r="A267" s="6">
        <v>265</v>
      </c>
      <c r="B267" s="7">
        <v>37.319133758544922</v>
      </c>
      <c r="C267" s="3">
        <f t="shared" si="0"/>
        <v>0.45755541998074656</v>
      </c>
    </row>
    <row r="268" spans="1:3" ht="13.2" x14ac:dyDescent="0.25">
      <c r="A268" s="6">
        <v>266</v>
      </c>
      <c r="B268" s="7">
        <v>37.065925598144531</v>
      </c>
      <c r="C268" s="3">
        <f t="shared" si="0"/>
        <v>0.49544274361906948</v>
      </c>
    </row>
    <row r="269" spans="1:3" ht="13.2" x14ac:dyDescent="0.25">
      <c r="A269" s="6">
        <v>267</v>
      </c>
      <c r="B269" s="7">
        <v>36.695846557617188</v>
      </c>
      <c r="C269" s="3">
        <f t="shared" si="0"/>
        <v>0.41265643342862746</v>
      </c>
    </row>
    <row r="270" spans="1:3" ht="13.2" x14ac:dyDescent="0.25">
      <c r="A270" s="6">
        <v>268</v>
      </c>
      <c r="B270" s="7">
        <v>35.468753814697266</v>
      </c>
      <c r="C270" s="3">
        <f t="shared" si="0"/>
        <v>0.38790993704189192</v>
      </c>
    </row>
    <row r="271" spans="1:3" ht="13.2" x14ac:dyDescent="0.25">
      <c r="A271" s="6">
        <v>269</v>
      </c>
      <c r="B271" s="7">
        <v>35.546669006347656</v>
      </c>
      <c r="C271" s="3">
        <f t="shared" si="0"/>
        <v>0.40436983232857454</v>
      </c>
    </row>
    <row r="272" spans="1:3" ht="13.2" x14ac:dyDescent="0.25">
      <c r="A272" s="6">
        <v>270</v>
      </c>
      <c r="B272" s="7">
        <v>36.053089141845703</v>
      </c>
      <c r="C272" s="3">
        <f t="shared" si="0"/>
        <v>0.42551896467737454</v>
      </c>
    </row>
    <row r="273" spans="1:3" ht="13.2" x14ac:dyDescent="0.25">
      <c r="A273" s="6">
        <v>271</v>
      </c>
      <c r="B273" s="7">
        <v>35.877788543701172</v>
      </c>
      <c r="C273" s="3">
        <f t="shared" si="0"/>
        <v>0.45856006353165318</v>
      </c>
    </row>
    <row r="274" spans="1:3" ht="13.2" x14ac:dyDescent="0.25">
      <c r="A274" s="6">
        <v>272</v>
      </c>
      <c r="B274" s="7">
        <v>35.741447448730469</v>
      </c>
      <c r="C274" s="3">
        <f t="shared" si="0"/>
        <v>0.45346554744936107</v>
      </c>
    </row>
    <row r="275" spans="1:3" ht="13.2" x14ac:dyDescent="0.25">
      <c r="A275" s="6">
        <v>273</v>
      </c>
      <c r="B275" s="7">
        <v>35.322673797607422</v>
      </c>
      <c r="C275" s="3">
        <f t="shared" si="0"/>
        <v>0.45506205290840801</v>
      </c>
    </row>
    <row r="276" spans="1:3" ht="13.2" x14ac:dyDescent="0.25">
      <c r="A276" s="6">
        <v>274</v>
      </c>
      <c r="B276" s="7">
        <v>35.517452239990234</v>
      </c>
      <c r="C276" s="3">
        <f t="shared" si="0"/>
        <v>0.42470578550479121</v>
      </c>
    </row>
    <row r="277" spans="1:3" ht="13.2" x14ac:dyDescent="0.25">
      <c r="A277" s="6">
        <v>275</v>
      </c>
      <c r="B277" s="7">
        <v>35.653797149658203</v>
      </c>
      <c r="C277" s="3">
        <f t="shared" si="0"/>
        <v>0.448012939439971</v>
      </c>
    </row>
    <row r="278" spans="1:3" ht="13.2" x14ac:dyDescent="0.25">
      <c r="A278" s="6">
        <v>276</v>
      </c>
      <c r="B278" s="7">
        <v>35.166854858398438</v>
      </c>
      <c r="C278" s="3">
        <f t="shared" si="0"/>
        <v>0.44630434000902391</v>
      </c>
    </row>
    <row r="279" spans="1:3" ht="13.2" x14ac:dyDescent="0.25">
      <c r="A279" s="6">
        <v>277</v>
      </c>
      <c r="B279" s="7">
        <v>34.845474243164063</v>
      </c>
      <c r="C279" s="3">
        <f t="shared" si="0"/>
        <v>0.46342939349531465</v>
      </c>
    </row>
    <row r="280" spans="1:3" ht="13.2" x14ac:dyDescent="0.25">
      <c r="A280" s="6">
        <v>278</v>
      </c>
      <c r="B280" s="7">
        <v>34.796779632568359</v>
      </c>
      <c r="C280" s="3">
        <f t="shared" si="0"/>
        <v>0.44703951511392265</v>
      </c>
    </row>
    <row r="281" spans="1:3" ht="13.2" x14ac:dyDescent="0.25">
      <c r="A281" s="6">
        <v>279</v>
      </c>
      <c r="B281" s="7">
        <v>34.543571472167969</v>
      </c>
      <c r="C281" s="3">
        <f t="shared" si="0"/>
        <v>0.45029500303365827</v>
      </c>
    </row>
    <row r="282" spans="1:3" ht="13.2" x14ac:dyDescent="0.25">
      <c r="A282" s="6">
        <v>280</v>
      </c>
      <c r="B282" s="7">
        <v>34.154018402099609</v>
      </c>
      <c r="C282" s="3">
        <f t="shared" si="0"/>
        <v>0.44028152529060016</v>
      </c>
    </row>
    <row r="283" spans="1:3" ht="13.2" x14ac:dyDescent="0.25">
      <c r="A283" s="6">
        <v>281</v>
      </c>
      <c r="B283" s="7">
        <v>35.127899169921875</v>
      </c>
      <c r="C283" s="3">
        <f t="shared" si="0"/>
        <v>0.47729380823835704</v>
      </c>
    </row>
    <row r="284" spans="1:3" ht="13.2" x14ac:dyDescent="0.25">
      <c r="A284" s="6">
        <v>282</v>
      </c>
      <c r="B284" s="7">
        <v>36.462116241455078</v>
      </c>
      <c r="C284" s="3">
        <f t="shared" si="0"/>
        <v>0.46957630257898308</v>
      </c>
    </row>
    <row r="285" spans="1:3" ht="13.2" x14ac:dyDescent="0.25">
      <c r="A285" s="6">
        <v>283</v>
      </c>
      <c r="B285" s="7">
        <v>36.880886077880859</v>
      </c>
      <c r="C285" s="3">
        <f t="shared" si="0"/>
        <v>0.47715881763859597</v>
      </c>
    </row>
    <row r="286" spans="1:3" ht="13.2" x14ac:dyDescent="0.25">
      <c r="A286" s="6">
        <v>284</v>
      </c>
      <c r="B286" s="7">
        <v>35.945957183837891</v>
      </c>
      <c r="C286" s="3">
        <f t="shared" si="0"/>
        <v>0.4587423470152811</v>
      </c>
    </row>
    <row r="287" spans="1:3" ht="13.2" x14ac:dyDescent="0.25">
      <c r="A287" s="6">
        <v>285</v>
      </c>
      <c r="B287" s="7">
        <v>35.926479339599609</v>
      </c>
      <c r="C287" s="3">
        <f t="shared" si="0"/>
        <v>0.4781143811434696</v>
      </c>
    </row>
    <row r="288" spans="1:3" ht="13.2" x14ac:dyDescent="0.25">
      <c r="A288" s="6">
        <v>286</v>
      </c>
      <c r="B288" s="7">
        <v>36.062824249267578</v>
      </c>
      <c r="C288" s="3">
        <f t="shared" si="0"/>
        <v>0.51163600927360431</v>
      </c>
    </row>
    <row r="289" spans="1:3" ht="13.2" x14ac:dyDescent="0.25">
      <c r="A289" s="6">
        <v>287</v>
      </c>
      <c r="B289" s="7">
        <v>35.984916687011719</v>
      </c>
      <c r="C289" s="3">
        <f t="shared" si="0"/>
        <v>0.52995192470820018</v>
      </c>
    </row>
    <row r="290" spans="1:3" ht="13.2" x14ac:dyDescent="0.25">
      <c r="A290" s="6">
        <v>288</v>
      </c>
      <c r="B290" s="7">
        <v>35.1181640625</v>
      </c>
      <c r="C290" s="3">
        <f t="shared" si="0"/>
        <v>0.52085922791042116</v>
      </c>
    </row>
    <row r="291" spans="1:3" ht="13.2" x14ac:dyDescent="0.25">
      <c r="A291" s="6">
        <v>289</v>
      </c>
      <c r="B291" s="7">
        <v>35.254505157470703</v>
      </c>
      <c r="C291" s="3">
        <f t="shared" si="0"/>
        <v>0.53789220329188181</v>
      </c>
    </row>
    <row r="292" spans="1:3" ht="13.2" x14ac:dyDescent="0.25">
      <c r="A292" s="6">
        <v>290</v>
      </c>
      <c r="B292" s="7">
        <v>35.332412719726563</v>
      </c>
      <c r="C292" s="3">
        <f t="shared" si="0"/>
        <v>0.54769699593056642</v>
      </c>
    </row>
    <row r="293" spans="1:3" ht="13.2" x14ac:dyDescent="0.25">
      <c r="A293" s="6">
        <v>291</v>
      </c>
      <c r="B293" s="7">
        <v>35.342155456542969</v>
      </c>
      <c r="C293" s="3">
        <f t="shared" si="0"/>
        <v>0.54892645714323274</v>
      </c>
    </row>
    <row r="294" spans="1:3" ht="13.2" x14ac:dyDescent="0.25">
      <c r="A294" s="6">
        <v>292</v>
      </c>
      <c r="B294" s="7">
        <v>34.446182250976563</v>
      </c>
      <c r="C294" s="3">
        <f t="shared" si="0"/>
        <v>0.51943850731489161</v>
      </c>
    </row>
    <row r="295" spans="1:3" ht="13.2" x14ac:dyDescent="0.25">
      <c r="A295" s="6">
        <v>293</v>
      </c>
      <c r="B295" s="7">
        <v>35.936222076416016</v>
      </c>
      <c r="C295" s="3">
        <f t="shared" si="0"/>
        <v>0.56273722044296348</v>
      </c>
    </row>
    <row r="296" spans="1:3" ht="13.2" x14ac:dyDescent="0.25">
      <c r="A296" s="6">
        <v>294</v>
      </c>
      <c r="B296" s="7">
        <v>36.949058532714844</v>
      </c>
      <c r="C296" s="3">
        <f t="shared" si="0"/>
        <v>0.57870832660627358</v>
      </c>
    </row>
    <row r="297" spans="1:3" ht="13.2" x14ac:dyDescent="0.25">
      <c r="A297" s="6">
        <v>295</v>
      </c>
      <c r="B297" s="7">
        <v>38.351448059082031</v>
      </c>
      <c r="C297" s="3">
        <f t="shared" si="0"/>
        <v>0.55309832184664731</v>
      </c>
    </row>
    <row r="298" spans="1:3" ht="13.2" x14ac:dyDescent="0.25">
      <c r="A298" s="6">
        <v>296</v>
      </c>
      <c r="B298" s="7">
        <v>38.536483764648438</v>
      </c>
      <c r="C298" s="3">
        <f t="shared" si="0"/>
        <v>0.54824519429713992</v>
      </c>
    </row>
    <row r="299" spans="1:3" ht="13.2" x14ac:dyDescent="0.25">
      <c r="A299" s="6">
        <v>297</v>
      </c>
      <c r="B299" s="7">
        <v>39.130550384521484</v>
      </c>
      <c r="C299" s="3">
        <f t="shared" si="0"/>
        <v>0.59102731870260283</v>
      </c>
    </row>
    <row r="300" spans="1:3" ht="13.2" x14ac:dyDescent="0.25">
      <c r="A300" s="6">
        <v>298</v>
      </c>
      <c r="B300" s="7">
        <v>38.614398956298828</v>
      </c>
      <c r="C300" s="3">
        <f t="shared" si="0"/>
        <v>0.574159956619545</v>
      </c>
    </row>
    <row r="301" spans="1:3" ht="13.2" x14ac:dyDescent="0.25">
      <c r="A301" s="6">
        <v>299</v>
      </c>
      <c r="B301" s="7">
        <v>38.137191772460938</v>
      </c>
      <c r="C301" s="3">
        <f t="shared" si="0"/>
        <v>0.55859484736981313</v>
      </c>
    </row>
    <row r="302" spans="1:3" ht="13.2" x14ac:dyDescent="0.25">
      <c r="A302" s="6">
        <v>300</v>
      </c>
      <c r="B302" s="7">
        <v>39.919399261474609</v>
      </c>
      <c r="C302" s="3">
        <f t="shared" si="0"/>
        <v>0.59405175415223288</v>
      </c>
    </row>
    <row r="303" spans="1:3" ht="13.2" x14ac:dyDescent="0.25">
      <c r="A303" s="6">
        <v>301</v>
      </c>
      <c r="B303" s="7">
        <v>39.315589904785156</v>
      </c>
      <c r="C303" s="3">
        <f t="shared" si="0"/>
        <v>0.59439743754134711</v>
      </c>
    </row>
    <row r="304" spans="1:3" ht="13.2" x14ac:dyDescent="0.25">
      <c r="A304" s="6">
        <v>302</v>
      </c>
      <c r="B304" s="7">
        <v>39.101337432861328</v>
      </c>
      <c r="C304" s="3">
        <f t="shared" si="0"/>
        <v>0.61715519875236424</v>
      </c>
    </row>
    <row r="305" spans="1:3" ht="13.2" x14ac:dyDescent="0.25">
      <c r="A305" s="6">
        <v>303</v>
      </c>
      <c r="B305" s="7">
        <v>38.81890869140625</v>
      </c>
      <c r="C305" s="3">
        <f t="shared" si="0"/>
        <v>0.64993967121522944</v>
      </c>
    </row>
    <row r="306" spans="1:3" ht="13.2" x14ac:dyDescent="0.25">
      <c r="A306" s="6">
        <v>304</v>
      </c>
      <c r="B306" s="7">
        <v>37.991107940673828</v>
      </c>
      <c r="C306" s="3">
        <f t="shared" si="0"/>
        <v>0.64779293187194731</v>
      </c>
    </row>
    <row r="307" spans="1:3" ht="13.2" x14ac:dyDescent="0.25">
      <c r="A307" s="6">
        <v>305</v>
      </c>
      <c r="B307" s="7">
        <v>37.903457641601563</v>
      </c>
      <c r="C307" s="3">
        <f t="shared" si="0"/>
        <v>0.61889233870870874</v>
      </c>
    </row>
    <row r="308" spans="1:3" ht="13.2" x14ac:dyDescent="0.25">
      <c r="A308" s="6">
        <v>306</v>
      </c>
      <c r="B308" s="7">
        <v>37.611293792724609</v>
      </c>
      <c r="C308" s="3">
        <f t="shared" si="0"/>
        <v>0.63921623472372069</v>
      </c>
    </row>
    <row r="309" spans="1:3" ht="13.2" x14ac:dyDescent="0.25">
      <c r="A309" s="6">
        <v>307</v>
      </c>
      <c r="B309" s="7">
        <v>36.695846557617188</v>
      </c>
      <c r="C309" s="3">
        <f t="shared" si="0"/>
        <v>0.62196280161168571</v>
      </c>
    </row>
    <row r="310" spans="1:3" ht="13.2" x14ac:dyDescent="0.25">
      <c r="A310" s="6">
        <v>308</v>
      </c>
      <c r="B310" s="7">
        <v>37.659988403320313</v>
      </c>
      <c r="C310" s="3">
        <f t="shared" si="0"/>
        <v>0.66585294345474455</v>
      </c>
    </row>
    <row r="311" spans="1:3" ht="13.2" x14ac:dyDescent="0.25">
      <c r="A311" s="6">
        <v>309</v>
      </c>
      <c r="B311" s="7">
        <v>38.059284210205078</v>
      </c>
      <c r="C311" s="3">
        <f t="shared" si="0"/>
        <v>0.61823544744630388</v>
      </c>
    </row>
    <row r="312" spans="1:3" ht="13.2" x14ac:dyDescent="0.25">
      <c r="A312" s="6">
        <v>310</v>
      </c>
      <c r="B312" s="7">
        <v>38.1761474609375</v>
      </c>
      <c r="C312" s="3">
        <f t="shared" si="0"/>
        <v>0.62320237069923812</v>
      </c>
    </row>
    <row r="313" spans="1:3" ht="13.2" x14ac:dyDescent="0.25">
      <c r="A313" s="6">
        <v>311</v>
      </c>
      <c r="B313" s="7">
        <v>37.815814971923828</v>
      </c>
      <c r="C313" s="3">
        <f t="shared" si="0"/>
        <v>0.60944631867837273</v>
      </c>
    </row>
    <row r="314" spans="1:3" ht="13.2" x14ac:dyDescent="0.25">
      <c r="A314" s="6">
        <v>312</v>
      </c>
      <c r="B314" s="7">
        <v>37.796337127685547</v>
      </c>
      <c r="C314" s="3">
        <f t="shared" si="0"/>
        <v>0.60798422698007137</v>
      </c>
    </row>
    <row r="315" spans="1:3" ht="13.2" x14ac:dyDescent="0.25">
      <c r="A315" s="6">
        <v>313</v>
      </c>
      <c r="B315" s="7">
        <v>36.890625</v>
      </c>
      <c r="C315" s="3">
        <f t="shared" si="0"/>
        <v>0.56683559952612717</v>
      </c>
    </row>
    <row r="316" spans="1:3" ht="13.2" x14ac:dyDescent="0.25">
      <c r="A316" s="6">
        <v>314</v>
      </c>
      <c r="B316" s="7">
        <v>37.065925598144531</v>
      </c>
      <c r="C316" s="3">
        <f t="shared" si="0"/>
        <v>0.53997289080352517</v>
      </c>
    </row>
    <row r="317" spans="1:3" ht="13.2" x14ac:dyDescent="0.25">
      <c r="A317" s="6">
        <v>315</v>
      </c>
      <c r="B317" s="7">
        <v>36.910102844238281</v>
      </c>
      <c r="C317" s="3">
        <f t="shared" si="0"/>
        <v>0.50994652744196434</v>
      </c>
    </row>
    <row r="318" spans="1:3" ht="13.2" x14ac:dyDescent="0.25">
      <c r="A318" s="6">
        <v>316</v>
      </c>
      <c r="B318" s="7">
        <v>37.416519165039063</v>
      </c>
      <c r="C318" s="3">
        <f t="shared" si="0"/>
        <v>0.54219937045357658</v>
      </c>
    </row>
    <row r="319" spans="1:3" ht="13.2" x14ac:dyDescent="0.25">
      <c r="A319" s="6">
        <v>317</v>
      </c>
      <c r="B319" s="7">
        <v>38.624134063720703</v>
      </c>
      <c r="C319" s="3">
        <f t="shared" ref="C319:C382" si="1">LN(B319/B67)</f>
        <v>0.60026970128546064</v>
      </c>
    </row>
    <row r="320" spans="1:3" ht="13.2" x14ac:dyDescent="0.25">
      <c r="A320" s="6">
        <v>318</v>
      </c>
      <c r="B320" s="7">
        <v>38.507266998291016</v>
      </c>
      <c r="C320" s="3">
        <f t="shared" si="1"/>
        <v>0.59356968197035809</v>
      </c>
    </row>
    <row r="321" spans="1:3" ht="13.2" x14ac:dyDescent="0.25">
      <c r="A321" s="6">
        <v>319</v>
      </c>
      <c r="B321" s="7">
        <v>38.370925903320313</v>
      </c>
      <c r="C321" s="3">
        <f t="shared" si="1"/>
        <v>0.58317809908255247</v>
      </c>
    </row>
    <row r="322" spans="1:3" ht="13.2" x14ac:dyDescent="0.25">
      <c r="A322" s="6">
        <v>320</v>
      </c>
      <c r="B322" s="7">
        <v>38.039806365966797</v>
      </c>
      <c r="C322" s="3">
        <f t="shared" si="1"/>
        <v>0.55872022203409832</v>
      </c>
    </row>
    <row r="323" spans="1:3" ht="13.2" x14ac:dyDescent="0.25">
      <c r="A323" s="6">
        <v>321</v>
      </c>
      <c r="B323" s="7">
        <v>38.614398956298828</v>
      </c>
      <c r="C323" s="3">
        <f t="shared" si="1"/>
        <v>0.56169877148184977</v>
      </c>
    </row>
    <row r="324" spans="1:3" ht="13.2" x14ac:dyDescent="0.25">
      <c r="A324" s="6">
        <v>322</v>
      </c>
      <c r="B324" s="7">
        <v>38.702045440673828</v>
      </c>
      <c r="C324" s="3">
        <f t="shared" si="1"/>
        <v>0.54860478741993879</v>
      </c>
    </row>
    <row r="325" spans="1:3" ht="13.2" x14ac:dyDescent="0.25">
      <c r="A325" s="6">
        <v>323</v>
      </c>
      <c r="B325" s="7">
        <v>38.234580993652344</v>
      </c>
      <c r="C325" s="3">
        <f t="shared" si="1"/>
        <v>0.55092971910674515</v>
      </c>
    </row>
    <row r="326" spans="1:3" ht="13.2" x14ac:dyDescent="0.25">
      <c r="A326" s="6">
        <v>324</v>
      </c>
      <c r="B326" s="7">
        <v>39.111072540283203</v>
      </c>
      <c r="C326" s="3">
        <f t="shared" si="1"/>
        <v>0.57447914668896327</v>
      </c>
    </row>
    <row r="327" spans="1:3" ht="13.2" x14ac:dyDescent="0.25">
      <c r="A327" s="6">
        <v>325</v>
      </c>
      <c r="B327" s="7">
        <v>40.912754058837891</v>
      </c>
      <c r="C327" s="3">
        <f t="shared" si="1"/>
        <v>0.66290225924307022</v>
      </c>
    </row>
    <row r="328" spans="1:3" ht="13.2" x14ac:dyDescent="0.25">
      <c r="A328" s="6">
        <v>326</v>
      </c>
      <c r="B328" s="7">
        <v>39.890174865722656</v>
      </c>
      <c r="C328" s="3">
        <f t="shared" si="1"/>
        <v>0.68149643263334303</v>
      </c>
    </row>
    <row r="329" spans="1:3" ht="13.2" x14ac:dyDescent="0.25">
      <c r="A329" s="6">
        <v>327</v>
      </c>
      <c r="B329" s="7">
        <v>40.864059448242188</v>
      </c>
      <c r="C329" s="3">
        <f t="shared" si="1"/>
        <v>0.66309791147227848</v>
      </c>
    </row>
    <row r="330" spans="1:3" ht="13.2" x14ac:dyDescent="0.25">
      <c r="A330" s="6">
        <v>328</v>
      </c>
      <c r="B330" s="7">
        <v>40.610851287841797</v>
      </c>
      <c r="C330" s="3">
        <f t="shared" si="1"/>
        <v>0.65595771927534186</v>
      </c>
    </row>
    <row r="331" spans="1:3" ht="13.2" x14ac:dyDescent="0.25">
      <c r="A331" s="6">
        <v>329</v>
      </c>
      <c r="B331" s="7">
        <v>40.416072845458984</v>
      </c>
      <c r="C331" s="3">
        <f t="shared" si="1"/>
        <v>0.68117094906223796</v>
      </c>
    </row>
    <row r="332" spans="1:3" ht="13.2" x14ac:dyDescent="0.25">
      <c r="A332" s="6">
        <v>330</v>
      </c>
      <c r="B332" s="7">
        <v>39.890174865722656</v>
      </c>
      <c r="C332" s="3">
        <f t="shared" si="1"/>
        <v>0.62793732317159223</v>
      </c>
    </row>
    <row r="333" spans="1:3" ht="13.2" x14ac:dyDescent="0.25">
      <c r="A333" s="6">
        <v>331</v>
      </c>
      <c r="B333" s="7">
        <v>39.062381744384766</v>
      </c>
      <c r="C333" s="3">
        <f t="shared" si="1"/>
        <v>0.6259010408273169</v>
      </c>
    </row>
    <row r="334" spans="1:3" ht="13.2" x14ac:dyDescent="0.25">
      <c r="A334" s="6">
        <v>332</v>
      </c>
      <c r="B334" s="7">
        <v>39.393501281738281</v>
      </c>
      <c r="C334" s="3">
        <f t="shared" si="1"/>
        <v>0.64842680657555429</v>
      </c>
    </row>
    <row r="335" spans="1:3" ht="13.2" x14ac:dyDescent="0.25">
      <c r="A335" s="6">
        <v>333</v>
      </c>
      <c r="B335" s="7">
        <v>39.549320220947266</v>
      </c>
      <c r="C335" s="3">
        <f t="shared" si="1"/>
        <v>0.65616407945707678</v>
      </c>
    </row>
    <row r="336" spans="1:3" ht="13.2" x14ac:dyDescent="0.25">
      <c r="A336" s="6">
        <v>334</v>
      </c>
      <c r="B336" s="7">
        <v>39.744098663330078</v>
      </c>
      <c r="C336" s="3">
        <f t="shared" si="1"/>
        <v>0.68266564971949251</v>
      </c>
    </row>
    <row r="337" spans="1:3" ht="13.2" x14ac:dyDescent="0.25">
      <c r="A337" s="6">
        <v>335</v>
      </c>
      <c r="B337" s="7">
        <v>40.269989013671875</v>
      </c>
      <c r="C337" s="3">
        <f t="shared" si="1"/>
        <v>0.74246940315646981</v>
      </c>
    </row>
    <row r="338" spans="1:3" ht="13.2" x14ac:dyDescent="0.25">
      <c r="A338" s="6">
        <v>336</v>
      </c>
      <c r="B338" s="7">
        <v>39.003948211669922</v>
      </c>
      <c r="C338" s="3">
        <f t="shared" si="1"/>
        <v>0.71357924988446253</v>
      </c>
    </row>
    <row r="339" spans="1:3" ht="13.2" x14ac:dyDescent="0.25">
      <c r="A339" s="6">
        <v>337</v>
      </c>
      <c r="B339" s="7">
        <v>39.802528381347656</v>
      </c>
      <c r="C339" s="3">
        <f t="shared" si="1"/>
        <v>0.72673659184557382</v>
      </c>
    </row>
    <row r="340" spans="1:3" ht="13.2" x14ac:dyDescent="0.25">
      <c r="A340" s="6">
        <v>338</v>
      </c>
      <c r="B340" s="7">
        <v>41.078315734863281</v>
      </c>
      <c r="C340" s="3">
        <f t="shared" si="1"/>
        <v>0.76488719741731825</v>
      </c>
    </row>
    <row r="341" spans="1:3" ht="13.2" x14ac:dyDescent="0.25">
      <c r="A341" s="6">
        <v>339</v>
      </c>
      <c r="B341" s="7">
        <v>41.282829284667969</v>
      </c>
      <c r="C341" s="3">
        <f t="shared" si="1"/>
        <v>0.76578641166771011</v>
      </c>
    </row>
    <row r="342" spans="1:3" ht="13.2" x14ac:dyDescent="0.25">
      <c r="A342" s="6">
        <v>340</v>
      </c>
      <c r="B342" s="7">
        <v>40.922492980957031</v>
      </c>
      <c r="C342" s="3">
        <f t="shared" si="1"/>
        <v>0.72703231964097148</v>
      </c>
    </row>
    <row r="343" spans="1:3" ht="13.2" x14ac:dyDescent="0.25">
      <c r="A343" s="6">
        <v>341</v>
      </c>
      <c r="B343" s="7">
        <v>41.253612518310547</v>
      </c>
      <c r="C343" s="3">
        <f t="shared" si="1"/>
        <v>0.74498723054883575</v>
      </c>
    </row>
    <row r="344" spans="1:3" ht="13.2" x14ac:dyDescent="0.25">
      <c r="A344" s="6">
        <v>342</v>
      </c>
      <c r="B344" s="7">
        <v>40.464767456054688</v>
      </c>
      <c r="C344" s="3">
        <f t="shared" si="1"/>
        <v>0.68475887470831753</v>
      </c>
    </row>
    <row r="345" spans="1:3" ht="13.2" x14ac:dyDescent="0.25">
      <c r="A345" s="6">
        <v>343</v>
      </c>
      <c r="B345" s="7">
        <v>40.90301513671875</v>
      </c>
      <c r="C345" s="3">
        <f t="shared" si="1"/>
        <v>0.69553099862510437</v>
      </c>
    </row>
    <row r="346" spans="1:3" ht="13.2" x14ac:dyDescent="0.25">
      <c r="A346" s="6">
        <v>344</v>
      </c>
      <c r="B346" s="7">
        <v>40.523204803466797</v>
      </c>
      <c r="C346" s="3">
        <f t="shared" si="1"/>
        <v>0.6800158402271379</v>
      </c>
    </row>
    <row r="347" spans="1:3" ht="13.2" x14ac:dyDescent="0.25">
      <c r="A347" s="6">
        <v>345</v>
      </c>
      <c r="B347" s="7">
        <v>40.893280029296875</v>
      </c>
      <c r="C347" s="3">
        <f t="shared" si="1"/>
        <v>0.6948157472199219</v>
      </c>
    </row>
    <row r="348" spans="1:3" ht="13.2" x14ac:dyDescent="0.25">
      <c r="A348" s="6">
        <v>346</v>
      </c>
      <c r="B348" s="7">
        <v>39.929134368896484</v>
      </c>
      <c r="C348" s="3">
        <f t="shared" si="1"/>
        <v>0.6647730381030863</v>
      </c>
    </row>
    <row r="349" spans="1:3" ht="13.2" x14ac:dyDescent="0.25">
      <c r="A349" s="6">
        <v>347</v>
      </c>
      <c r="B349" s="7">
        <v>40.084957122802734</v>
      </c>
      <c r="C349" s="3">
        <f t="shared" si="1"/>
        <v>0.64801965408972917</v>
      </c>
    </row>
    <row r="350" spans="1:3" ht="13.2" x14ac:dyDescent="0.25">
      <c r="A350" s="6">
        <v>348</v>
      </c>
      <c r="B350" s="7">
        <v>40.143390655517578</v>
      </c>
      <c r="C350" s="3">
        <f t="shared" si="1"/>
        <v>0.66162596957126785</v>
      </c>
    </row>
    <row r="351" spans="1:3" ht="13.2" x14ac:dyDescent="0.25">
      <c r="A351" s="6">
        <v>349</v>
      </c>
      <c r="B351" s="7">
        <v>40.81536865234375</v>
      </c>
      <c r="C351" s="3">
        <f t="shared" si="1"/>
        <v>0.67166648887734248</v>
      </c>
    </row>
    <row r="352" spans="1:3" ht="13.2" x14ac:dyDescent="0.25">
      <c r="A352" s="6">
        <v>350</v>
      </c>
      <c r="B352" s="7">
        <v>40.864059448242188</v>
      </c>
      <c r="C352" s="3">
        <f t="shared" si="1"/>
        <v>0.66494978450629805</v>
      </c>
    </row>
    <row r="353" spans="1:3" ht="13.2" x14ac:dyDescent="0.25">
      <c r="A353" s="6">
        <v>351</v>
      </c>
      <c r="B353" s="7">
        <v>41.029621124267578</v>
      </c>
      <c r="C353" s="3">
        <f t="shared" si="1"/>
        <v>0.66899312217108697</v>
      </c>
    </row>
    <row r="354" spans="1:3" ht="13.2" x14ac:dyDescent="0.25">
      <c r="A354" s="6">
        <v>352</v>
      </c>
      <c r="B354" s="7">
        <v>42.821563720703125</v>
      </c>
      <c r="C354" s="3">
        <f t="shared" si="1"/>
        <v>0.67444668032710553</v>
      </c>
    </row>
    <row r="355" spans="1:3" ht="13.2" x14ac:dyDescent="0.25">
      <c r="A355" s="6">
        <v>353</v>
      </c>
      <c r="B355" s="7">
        <v>43.240333557128906</v>
      </c>
      <c r="C355" s="3">
        <f t="shared" si="1"/>
        <v>0.67043420865046932</v>
      </c>
    </row>
    <row r="356" spans="1:3" ht="13.2" x14ac:dyDescent="0.25">
      <c r="A356" s="6">
        <v>354</v>
      </c>
      <c r="B356" s="7">
        <v>43.659099578857422</v>
      </c>
      <c r="C356" s="3">
        <f t="shared" si="1"/>
        <v>0.68847370275043784</v>
      </c>
    </row>
    <row r="357" spans="1:3" ht="13.2" x14ac:dyDescent="0.25">
      <c r="A357" s="6">
        <v>355</v>
      </c>
      <c r="B357" s="7">
        <v>44.438205718994141</v>
      </c>
      <c r="C357" s="3">
        <f t="shared" si="1"/>
        <v>0.71239773394126571</v>
      </c>
    </row>
    <row r="358" spans="1:3" ht="13.2" x14ac:dyDescent="0.25">
      <c r="A358" s="6">
        <v>356</v>
      </c>
      <c r="B358" s="7">
        <v>44.175258636474609</v>
      </c>
      <c r="C358" s="3">
        <f t="shared" si="1"/>
        <v>0.72177173202479361</v>
      </c>
    </row>
    <row r="359" spans="1:3" ht="13.2" x14ac:dyDescent="0.25">
      <c r="A359" s="6">
        <v>357</v>
      </c>
      <c r="B359" s="7">
        <v>44.408988952636719</v>
      </c>
      <c r="C359" s="3">
        <f t="shared" si="1"/>
        <v>0.72704876185604583</v>
      </c>
    </row>
    <row r="360" spans="1:3" ht="13.2" x14ac:dyDescent="0.25">
      <c r="A360" s="6">
        <v>358</v>
      </c>
      <c r="B360" s="7">
        <v>46.084064483642578</v>
      </c>
      <c r="C360" s="3">
        <f t="shared" si="1"/>
        <v>0.80860828952014985</v>
      </c>
    </row>
    <row r="361" spans="1:3" ht="13.2" x14ac:dyDescent="0.25">
      <c r="A361" s="6">
        <v>359</v>
      </c>
      <c r="B361" s="7">
        <v>45.928241729736328</v>
      </c>
      <c r="C361" s="3">
        <f t="shared" si="1"/>
        <v>0.78595836188414181</v>
      </c>
    </row>
    <row r="362" spans="1:3" ht="13.2" x14ac:dyDescent="0.25">
      <c r="A362" s="6">
        <v>360</v>
      </c>
      <c r="B362" s="7">
        <v>45.636077880859375</v>
      </c>
      <c r="C362" s="3">
        <f t="shared" si="1"/>
        <v>0.77957673109924652</v>
      </c>
    </row>
    <row r="363" spans="1:3" ht="13.2" x14ac:dyDescent="0.25">
      <c r="A363" s="6">
        <v>361</v>
      </c>
      <c r="B363" s="7">
        <v>44.886188507080078</v>
      </c>
      <c r="C363" s="3">
        <f t="shared" si="1"/>
        <v>0.76207804454724737</v>
      </c>
    </row>
    <row r="364" spans="1:3" ht="13.2" x14ac:dyDescent="0.25">
      <c r="A364" s="6">
        <v>362</v>
      </c>
      <c r="B364" s="7">
        <v>44.243431091308594</v>
      </c>
      <c r="C364" s="3">
        <f t="shared" si="1"/>
        <v>0.74811973553439859</v>
      </c>
    </row>
    <row r="365" spans="1:3" ht="13.2" x14ac:dyDescent="0.25">
      <c r="A365" s="6">
        <v>363</v>
      </c>
      <c r="B365" s="7">
        <v>43.026077270507813</v>
      </c>
      <c r="C365" s="3">
        <f t="shared" si="1"/>
        <v>0.73427102338172179</v>
      </c>
    </row>
    <row r="366" spans="1:3" ht="13.2" x14ac:dyDescent="0.25">
      <c r="A366" s="6">
        <v>364</v>
      </c>
      <c r="B366" s="7">
        <v>42.402793884277344</v>
      </c>
      <c r="C366" s="3">
        <f t="shared" si="1"/>
        <v>0.79306139923845553</v>
      </c>
    </row>
    <row r="367" spans="1:3" ht="13.2" x14ac:dyDescent="0.25">
      <c r="A367" s="6">
        <v>365</v>
      </c>
      <c r="B367" s="7">
        <v>42.091152191162109</v>
      </c>
      <c r="C367" s="3">
        <f t="shared" si="1"/>
        <v>0.78873506937927329</v>
      </c>
    </row>
    <row r="368" spans="1:3" ht="13.2" x14ac:dyDescent="0.25">
      <c r="A368" s="6">
        <v>366</v>
      </c>
      <c r="B368" s="7">
        <v>43.113727569580078</v>
      </c>
      <c r="C368" s="3">
        <f t="shared" si="1"/>
        <v>0.88614217903000858</v>
      </c>
    </row>
    <row r="369" spans="1:3" ht="13.2" x14ac:dyDescent="0.25">
      <c r="A369" s="6">
        <v>367</v>
      </c>
      <c r="B369" s="7">
        <v>42.841041564941406</v>
      </c>
      <c r="C369" s="3">
        <f t="shared" si="1"/>
        <v>0.84110357117497436</v>
      </c>
    </row>
    <row r="370" spans="1:3" ht="13.2" x14ac:dyDescent="0.25">
      <c r="A370" s="6">
        <v>368</v>
      </c>
      <c r="B370" s="7">
        <v>42.74365234375</v>
      </c>
      <c r="C370" s="3">
        <f t="shared" si="1"/>
        <v>0.81024690394703214</v>
      </c>
    </row>
    <row r="371" spans="1:3" ht="13.2" x14ac:dyDescent="0.25">
      <c r="A371" s="6">
        <v>369</v>
      </c>
      <c r="B371" s="7">
        <v>42.539134979248047</v>
      </c>
      <c r="C371" s="3">
        <f t="shared" si="1"/>
        <v>0.8126487330253459</v>
      </c>
    </row>
    <row r="372" spans="1:3" ht="13.2" x14ac:dyDescent="0.25">
      <c r="A372" s="6">
        <v>370</v>
      </c>
      <c r="B372" s="7">
        <v>42.811820983886719</v>
      </c>
      <c r="C372" s="3">
        <f t="shared" si="1"/>
        <v>0.81030483608512505</v>
      </c>
    </row>
    <row r="373" spans="1:3" ht="13.2" x14ac:dyDescent="0.25">
      <c r="A373" s="6">
        <v>371</v>
      </c>
      <c r="B373" s="7">
        <v>41.750289916992188</v>
      </c>
      <c r="C373" s="3">
        <f t="shared" si="1"/>
        <v>0.68594195539966918</v>
      </c>
    </row>
    <row r="374" spans="1:3" ht="13.2" x14ac:dyDescent="0.25">
      <c r="A374" s="6">
        <v>372</v>
      </c>
      <c r="B374" s="7">
        <v>42.636524200439453</v>
      </c>
      <c r="C374" s="3">
        <f t="shared" si="1"/>
        <v>0.703248299708779</v>
      </c>
    </row>
    <row r="375" spans="1:3" ht="13.2" x14ac:dyDescent="0.25">
      <c r="A375" s="6">
        <v>373</v>
      </c>
      <c r="B375" s="7">
        <v>42.3443603515625</v>
      </c>
      <c r="C375" s="3">
        <f t="shared" si="1"/>
        <v>0.72066119058080236</v>
      </c>
    </row>
    <row r="376" spans="1:3" ht="13.2" x14ac:dyDescent="0.25">
      <c r="A376" s="6">
        <v>374</v>
      </c>
      <c r="B376" s="7">
        <v>42.470962524414063</v>
      </c>
      <c r="C376" s="3">
        <f t="shared" si="1"/>
        <v>0.74370447629005654</v>
      </c>
    </row>
    <row r="377" spans="1:3" ht="13.2" x14ac:dyDescent="0.25">
      <c r="A377" s="6">
        <v>375</v>
      </c>
      <c r="B377" s="7">
        <v>42.850776672363281</v>
      </c>
      <c r="C377" s="3">
        <f t="shared" si="1"/>
        <v>0.74252834157871184</v>
      </c>
    </row>
    <row r="378" spans="1:3" ht="13.2" x14ac:dyDescent="0.25">
      <c r="A378" s="6">
        <v>376</v>
      </c>
      <c r="B378" s="7">
        <v>42.519657135009766</v>
      </c>
      <c r="C378" s="3">
        <f t="shared" si="1"/>
        <v>0.68130729035475024</v>
      </c>
    </row>
    <row r="379" spans="1:3" ht="13.2" x14ac:dyDescent="0.25">
      <c r="A379" s="6">
        <v>377</v>
      </c>
      <c r="B379" s="7">
        <v>42.74365234375</v>
      </c>
      <c r="C379" s="3">
        <f t="shared" si="1"/>
        <v>0.65448755952553217</v>
      </c>
    </row>
    <row r="380" spans="1:3" ht="13.2" x14ac:dyDescent="0.25">
      <c r="A380" s="6">
        <v>378</v>
      </c>
      <c r="B380" s="7">
        <v>41.019878387451172</v>
      </c>
      <c r="C380" s="3">
        <f t="shared" si="1"/>
        <v>0.58054785222781768</v>
      </c>
    </row>
    <row r="381" spans="1:3" ht="13.2" x14ac:dyDescent="0.25">
      <c r="A381" s="6">
        <v>379</v>
      </c>
      <c r="B381" s="7">
        <v>39.636970520019531</v>
      </c>
      <c r="C381" s="3">
        <f t="shared" si="1"/>
        <v>0.52194373984736464</v>
      </c>
    </row>
    <row r="382" spans="1:3" ht="13.2" x14ac:dyDescent="0.25">
      <c r="A382" s="6">
        <v>380</v>
      </c>
      <c r="B382" s="7">
        <v>40.133651733398438</v>
      </c>
      <c r="C382" s="3">
        <f t="shared" si="1"/>
        <v>0.52655992150285791</v>
      </c>
    </row>
    <row r="383" spans="1:3" ht="13.2" x14ac:dyDescent="0.25">
      <c r="A383" s="6">
        <v>381</v>
      </c>
      <c r="B383" s="7">
        <v>39.257156372070313</v>
      </c>
      <c r="C383" s="3">
        <f t="shared" ref="C383:C446" si="2">LN(B383/B131)</f>
        <v>0.45870571696459927</v>
      </c>
    </row>
    <row r="384" spans="1:3" ht="13.2" x14ac:dyDescent="0.25">
      <c r="A384" s="6">
        <v>382</v>
      </c>
      <c r="B384" s="7">
        <v>39.120811462402344</v>
      </c>
      <c r="C384" s="3">
        <f t="shared" si="2"/>
        <v>0.41597566141696862</v>
      </c>
    </row>
    <row r="385" spans="1:3" ht="13.2" x14ac:dyDescent="0.25">
      <c r="A385" s="6">
        <v>383</v>
      </c>
      <c r="B385" s="7">
        <v>36.919837951660156</v>
      </c>
      <c r="C385" s="3">
        <f t="shared" si="2"/>
        <v>0.32796191909411165</v>
      </c>
    </row>
    <row r="386" spans="1:3" ht="13.2" x14ac:dyDescent="0.25">
      <c r="A386" s="6">
        <v>384</v>
      </c>
      <c r="B386" s="7">
        <v>37.562602996826172</v>
      </c>
      <c r="C386" s="3">
        <f t="shared" si="2"/>
        <v>0.33719845101827489</v>
      </c>
    </row>
    <row r="387" spans="1:3" ht="13.2" x14ac:dyDescent="0.25">
      <c r="A387" s="6">
        <v>385</v>
      </c>
      <c r="B387" s="7">
        <v>35.731704711914063</v>
      </c>
      <c r="C387" s="3">
        <f t="shared" si="2"/>
        <v>0.27926833954361124</v>
      </c>
    </row>
    <row r="388" spans="1:3" ht="13.2" x14ac:dyDescent="0.25">
      <c r="A388" s="6">
        <v>386</v>
      </c>
      <c r="B388" s="7">
        <v>36.062824249267578</v>
      </c>
      <c r="C388" s="3">
        <f t="shared" si="2"/>
        <v>0.28993506134068525</v>
      </c>
    </row>
    <row r="389" spans="1:3" ht="13.2" x14ac:dyDescent="0.25">
      <c r="A389" s="6">
        <v>387</v>
      </c>
      <c r="B389" s="7">
        <v>37.621036529541016</v>
      </c>
      <c r="C389" s="3">
        <f t="shared" si="2"/>
        <v>0.33115376314396494</v>
      </c>
    </row>
    <row r="390" spans="1:3" ht="13.2" x14ac:dyDescent="0.25">
      <c r="A390" s="6">
        <v>388</v>
      </c>
      <c r="B390" s="7">
        <v>37.913200378417969</v>
      </c>
      <c r="C390" s="3">
        <f t="shared" si="2"/>
        <v>0.31396854426945303</v>
      </c>
    </row>
    <row r="391" spans="1:3" ht="13.2" x14ac:dyDescent="0.25">
      <c r="A391" s="6">
        <v>389</v>
      </c>
      <c r="B391" s="7">
        <v>37.93267822265625</v>
      </c>
      <c r="C391" s="3">
        <f t="shared" si="2"/>
        <v>0.30852246073792822</v>
      </c>
    </row>
    <row r="392" spans="1:3" ht="13.2" x14ac:dyDescent="0.25">
      <c r="A392" s="6">
        <v>390</v>
      </c>
      <c r="B392" s="7">
        <v>38.273536682128906</v>
      </c>
      <c r="C392" s="3">
        <f t="shared" si="2"/>
        <v>0.31816751557395445</v>
      </c>
    </row>
    <row r="393" spans="1:3" ht="13.2" x14ac:dyDescent="0.25">
      <c r="A393" s="6">
        <v>391</v>
      </c>
      <c r="B393" s="7">
        <v>37.621036529541016</v>
      </c>
      <c r="C393" s="3">
        <f t="shared" si="2"/>
        <v>0.29573931811330234</v>
      </c>
    </row>
    <row r="394" spans="1:3" ht="13.2" x14ac:dyDescent="0.25">
      <c r="A394" s="6">
        <v>392</v>
      </c>
      <c r="B394" s="7">
        <v>36.705585479736328</v>
      </c>
      <c r="C394" s="3">
        <f t="shared" si="2"/>
        <v>0.27878911236106629</v>
      </c>
    </row>
    <row r="395" spans="1:3" ht="13.2" x14ac:dyDescent="0.25">
      <c r="A395" s="6">
        <v>393</v>
      </c>
      <c r="B395" s="7">
        <v>35.634315490722656</v>
      </c>
      <c r="C395" s="3">
        <f t="shared" si="2"/>
        <v>0.25232997293858483</v>
      </c>
    </row>
    <row r="396" spans="1:3" ht="13.2" x14ac:dyDescent="0.25">
      <c r="A396" s="6">
        <v>394</v>
      </c>
      <c r="B396" s="7">
        <v>35.1181640625</v>
      </c>
      <c r="C396" s="3">
        <f t="shared" si="2"/>
        <v>0.28749735524074183</v>
      </c>
    </row>
    <row r="397" spans="1:3" ht="13.2" x14ac:dyDescent="0.25">
      <c r="A397" s="6">
        <v>395</v>
      </c>
      <c r="B397" s="7">
        <v>35.819355010986328</v>
      </c>
      <c r="C397" s="3">
        <f t="shared" si="2"/>
        <v>0.30320891119213828</v>
      </c>
    </row>
    <row r="398" spans="1:3" ht="13.2" x14ac:dyDescent="0.25">
      <c r="A398" s="6">
        <v>396</v>
      </c>
      <c r="B398" s="7">
        <v>35.001293182373047</v>
      </c>
      <c r="C398" s="3">
        <f t="shared" si="2"/>
        <v>0.29009640179308638</v>
      </c>
    </row>
    <row r="399" spans="1:3" ht="13.2" x14ac:dyDescent="0.25">
      <c r="A399" s="6">
        <v>397</v>
      </c>
      <c r="B399" s="7">
        <v>36.160213470458984</v>
      </c>
      <c r="C399" s="3">
        <f t="shared" si="2"/>
        <v>0.34599766501359053</v>
      </c>
    </row>
    <row r="400" spans="1:3" ht="13.2" x14ac:dyDescent="0.25">
      <c r="A400" s="6">
        <v>398</v>
      </c>
      <c r="B400" s="7">
        <v>36.666633605957031</v>
      </c>
      <c r="C400" s="3">
        <f t="shared" si="2"/>
        <v>0.3410510850934883</v>
      </c>
    </row>
    <row r="401" spans="1:3" ht="13.2" x14ac:dyDescent="0.25">
      <c r="A401" s="6">
        <v>399</v>
      </c>
      <c r="B401" s="7">
        <v>35.790138244628906</v>
      </c>
      <c r="C401" s="3">
        <f t="shared" si="2"/>
        <v>0.36037465035055044</v>
      </c>
    </row>
    <row r="402" spans="1:3" ht="13.2" x14ac:dyDescent="0.25">
      <c r="A402" s="6">
        <v>400</v>
      </c>
      <c r="B402" s="7">
        <v>35.790138244628906</v>
      </c>
      <c r="C402" s="3">
        <f t="shared" si="2"/>
        <v>0.35337625095310776</v>
      </c>
    </row>
    <row r="403" spans="1:3" ht="13.2" x14ac:dyDescent="0.25">
      <c r="A403" s="6">
        <v>401</v>
      </c>
      <c r="B403" s="7">
        <v>36.023872375488281</v>
      </c>
      <c r="C403" s="3">
        <f t="shared" si="2"/>
        <v>0.37708022985400985</v>
      </c>
    </row>
    <row r="404" spans="1:3" ht="13.2" x14ac:dyDescent="0.25">
      <c r="A404" s="6">
        <v>402</v>
      </c>
      <c r="B404" s="7">
        <v>37.065925598144531</v>
      </c>
      <c r="C404" s="3">
        <f t="shared" si="2"/>
        <v>0.38724020959879363</v>
      </c>
    </row>
    <row r="405" spans="1:3" ht="13.2" x14ac:dyDescent="0.25">
      <c r="A405" s="6">
        <v>403</v>
      </c>
      <c r="B405" s="7">
        <v>37.124355316162109</v>
      </c>
      <c r="C405" s="3">
        <f t="shared" si="2"/>
        <v>0.38341202427430221</v>
      </c>
    </row>
    <row r="406" spans="1:3" ht="13.2" x14ac:dyDescent="0.25">
      <c r="A406" s="6">
        <v>404</v>
      </c>
      <c r="B406" s="7">
        <v>37.173049926757813</v>
      </c>
      <c r="C406" s="3">
        <f t="shared" si="2"/>
        <v>0.39439224415269936</v>
      </c>
    </row>
    <row r="407" spans="1:3" ht="13.2" x14ac:dyDescent="0.25">
      <c r="A407" s="6">
        <v>405</v>
      </c>
      <c r="B407" s="7">
        <v>37.026969909667969</v>
      </c>
      <c r="C407" s="3">
        <f t="shared" si="2"/>
        <v>0.37963135032603484</v>
      </c>
    </row>
    <row r="408" spans="1:3" ht="13.2" x14ac:dyDescent="0.25">
      <c r="A408" s="6">
        <v>406</v>
      </c>
      <c r="B408" s="7">
        <v>37.065925598144531</v>
      </c>
      <c r="C408" s="3">
        <f t="shared" si="2"/>
        <v>0.38029841362284317</v>
      </c>
    </row>
    <row r="409" spans="1:3" ht="13.2" x14ac:dyDescent="0.25">
      <c r="A409" s="6">
        <v>407</v>
      </c>
      <c r="B409" s="7">
        <v>37.572341918945313</v>
      </c>
      <c r="C409" s="3">
        <f t="shared" si="2"/>
        <v>0.39887724124354518</v>
      </c>
    </row>
    <row r="410" spans="1:3" ht="13.2" x14ac:dyDescent="0.25">
      <c r="A410" s="6">
        <v>408</v>
      </c>
      <c r="B410" s="7">
        <v>36.958797454833984</v>
      </c>
      <c r="C410" s="3">
        <f t="shared" si="2"/>
        <v>0.36556054056474624</v>
      </c>
    </row>
    <row r="411" spans="1:3" ht="13.2" x14ac:dyDescent="0.25">
      <c r="A411" s="6">
        <v>409</v>
      </c>
      <c r="B411" s="7">
        <v>38.896816253662109</v>
      </c>
      <c r="C411" s="3">
        <f t="shared" si="2"/>
        <v>0.4216187769623751</v>
      </c>
    </row>
    <row r="412" spans="1:3" ht="13.2" x14ac:dyDescent="0.25">
      <c r="A412" s="6">
        <v>410</v>
      </c>
      <c r="B412" s="7">
        <v>39.958347320556641</v>
      </c>
      <c r="C412" s="3">
        <f t="shared" si="2"/>
        <v>0.43489712505459377</v>
      </c>
    </row>
    <row r="413" spans="1:3" ht="13.2" x14ac:dyDescent="0.25">
      <c r="A413" s="6">
        <v>411</v>
      </c>
      <c r="B413" s="7">
        <v>40.805625915527344</v>
      </c>
      <c r="C413" s="3">
        <f t="shared" si="2"/>
        <v>0.44949928890819113</v>
      </c>
    </row>
    <row r="414" spans="1:3" ht="13.2" x14ac:dyDescent="0.25">
      <c r="A414" s="6">
        <v>412</v>
      </c>
      <c r="B414" s="7">
        <v>40.688762664794922</v>
      </c>
      <c r="C414" s="3">
        <f t="shared" si="2"/>
        <v>0.44177956443995414</v>
      </c>
    </row>
    <row r="415" spans="1:3" ht="13.2" x14ac:dyDescent="0.25">
      <c r="A415" s="6">
        <v>413</v>
      </c>
      <c r="B415" s="7">
        <v>42.10089111328125</v>
      </c>
      <c r="C415" s="3">
        <f t="shared" si="2"/>
        <v>0.50268552266942856</v>
      </c>
    </row>
    <row r="416" spans="1:3" ht="13.2" x14ac:dyDescent="0.25">
      <c r="A416" s="6">
        <v>414</v>
      </c>
      <c r="B416" s="7">
        <v>42.441749572753906</v>
      </c>
      <c r="C416" s="3">
        <f t="shared" si="2"/>
        <v>0.5339610590911591</v>
      </c>
    </row>
    <row r="417" spans="1:3" ht="13.2" x14ac:dyDescent="0.25">
      <c r="A417" s="6">
        <v>415</v>
      </c>
      <c r="B417" s="7">
        <v>42.412532806396484</v>
      </c>
      <c r="C417" s="3">
        <f t="shared" si="2"/>
        <v>0.58425671573286042</v>
      </c>
    </row>
    <row r="418" spans="1:3" ht="13.2" x14ac:dyDescent="0.25">
      <c r="A418" s="6">
        <v>416</v>
      </c>
      <c r="B418" s="7">
        <v>41.915851593017578</v>
      </c>
      <c r="C418" s="3">
        <f t="shared" si="2"/>
        <v>0.57536419546382089</v>
      </c>
    </row>
    <row r="419" spans="1:3" ht="13.2" x14ac:dyDescent="0.25">
      <c r="A419" s="6">
        <v>417</v>
      </c>
      <c r="B419" s="7">
        <v>41.925590515136719</v>
      </c>
      <c r="C419" s="3">
        <f t="shared" si="2"/>
        <v>0.57312115580054257</v>
      </c>
    </row>
    <row r="420" spans="1:3" ht="13.2" x14ac:dyDescent="0.25">
      <c r="A420" s="6">
        <v>418</v>
      </c>
      <c r="B420" s="7">
        <v>41.623687744140625</v>
      </c>
      <c r="C420" s="3">
        <f t="shared" si="2"/>
        <v>0.55320211980254419</v>
      </c>
    </row>
    <row r="421" spans="1:3" ht="13.2" x14ac:dyDescent="0.25">
      <c r="A421" s="6">
        <v>419</v>
      </c>
      <c r="B421" s="7">
        <v>42.013236999511719</v>
      </c>
      <c r="C421" s="3">
        <f t="shared" si="2"/>
        <v>0.59140924749476997</v>
      </c>
    </row>
    <row r="422" spans="1:3" ht="13.2" x14ac:dyDescent="0.25">
      <c r="A422" s="6">
        <v>420</v>
      </c>
      <c r="B422" s="7">
        <v>42.198280334472656</v>
      </c>
      <c r="C422" s="3">
        <f t="shared" si="2"/>
        <v>0.59748044709656956</v>
      </c>
    </row>
    <row r="423" spans="1:3" ht="13.2" x14ac:dyDescent="0.25">
      <c r="A423" s="6">
        <v>421</v>
      </c>
      <c r="B423" s="7">
        <v>40.805625915527344</v>
      </c>
      <c r="C423" s="3">
        <f t="shared" si="2"/>
        <v>0.57149992511258285</v>
      </c>
    </row>
    <row r="424" spans="1:3" ht="13.2" x14ac:dyDescent="0.25">
      <c r="A424" s="6">
        <v>422</v>
      </c>
      <c r="B424" s="7">
        <v>40.864059448242188</v>
      </c>
      <c r="C424" s="3">
        <f t="shared" si="2"/>
        <v>0.59905102769320762</v>
      </c>
    </row>
    <row r="425" spans="1:3" ht="13.2" x14ac:dyDescent="0.25">
      <c r="A425" s="6">
        <v>423</v>
      </c>
      <c r="B425" s="7">
        <v>38.887081146240234</v>
      </c>
      <c r="C425" s="3">
        <f t="shared" si="2"/>
        <v>0.55250363027738303</v>
      </c>
    </row>
    <row r="426" spans="1:3" ht="13.2" x14ac:dyDescent="0.25">
      <c r="A426" s="6">
        <v>424</v>
      </c>
      <c r="B426" s="7">
        <v>38.624134063720703</v>
      </c>
      <c r="C426" s="3">
        <f t="shared" si="2"/>
        <v>0.55446018137440967</v>
      </c>
    </row>
    <row r="427" spans="1:3" ht="13.2" x14ac:dyDescent="0.25">
      <c r="A427" s="6">
        <v>425</v>
      </c>
      <c r="B427" s="7">
        <v>38.302757263183594</v>
      </c>
      <c r="C427" s="3">
        <f t="shared" si="2"/>
        <v>0.55536613467862772</v>
      </c>
    </row>
    <row r="428" spans="1:3" ht="13.2" x14ac:dyDescent="0.25">
      <c r="A428" s="6">
        <v>426</v>
      </c>
      <c r="B428" s="7">
        <v>39.724620819091797</v>
      </c>
      <c r="C428" s="3">
        <f t="shared" si="2"/>
        <v>0.57599090614908421</v>
      </c>
    </row>
    <row r="429" spans="1:3" ht="13.2" x14ac:dyDescent="0.25">
      <c r="A429" s="6">
        <v>427</v>
      </c>
      <c r="B429" s="7">
        <v>39.792789459228516</v>
      </c>
      <c r="C429" s="3">
        <f t="shared" si="2"/>
        <v>0.56988605086280131</v>
      </c>
    </row>
    <row r="430" spans="1:3" ht="13.2" x14ac:dyDescent="0.25">
      <c r="A430" s="6">
        <v>428</v>
      </c>
      <c r="B430" s="7">
        <v>40.484245300292969</v>
      </c>
      <c r="C430" s="3">
        <f t="shared" si="2"/>
        <v>0.56148187413091688</v>
      </c>
    </row>
    <row r="431" spans="1:3" ht="13.2" x14ac:dyDescent="0.25">
      <c r="A431" s="6">
        <v>429</v>
      </c>
      <c r="B431" s="7">
        <v>41.204921722412109</v>
      </c>
      <c r="C431" s="3">
        <f t="shared" si="2"/>
        <v>0.5719822207135743</v>
      </c>
    </row>
    <row r="432" spans="1:3" ht="13.2" x14ac:dyDescent="0.25">
      <c r="A432" s="6">
        <v>430</v>
      </c>
      <c r="B432" s="7">
        <v>43.240333557128906</v>
      </c>
      <c r="C432" s="3">
        <f t="shared" si="2"/>
        <v>0.61352040512929373</v>
      </c>
    </row>
    <row r="433" spans="1:3" ht="13.2" x14ac:dyDescent="0.25">
      <c r="A433" s="6">
        <v>431</v>
      </c>
      <c r="B433" s="7">
        <v>44.1168212890625</v>
      </c>
      <c r="C433" s="3">
        <f t="shared" si="2"/>
        <v>0.64488263343735108</v>
      </c>
    </row>
    <row r="434" spans="1:3" ht="13.2" x14ac:dyDescent="0.25">
      <c r="A434" s="6">
        <v>432</v>
      </c>
      <c r="B434" s="7">
        <v>44.740104675292969</v>
      </c>
      <c r="C434" s="3">
        <f t="shared" si="2"/>
        <v>0.67545521138575093</v>
      </c>
    </row>
    <row r="435" spans="1:3" ht="13.2" x14ac:dyDescent="0.25">
      <c r="A435" s="6">
        <v>433</v>
      </c>
      <c r="B435" s="7">
        <v>45.042011260986328</v>
      </c>
      <c r="C435" s="3">
        <f t="shared" si="2"/>
        <v>0.67408670213119004</v>
      </c>
    </row>
    <row r="436" spans="1:3" ht="13.2" x14ac:dyDescent="0.25">
      <c r="A436" s="6">
        <v>434</v>
      </c>
      <c r="B436" s="7">
        <v>45.860073089599609</v>
      </c>
      <c r="C436" s="3">
        <f t="shared" si="2"/>
        <v>0.67525766329916415</v>
      </c>
    </row>
    <row r="437" spans="1:3" ht="13.2" x14ac:dyDescent="0.25">
      <c r="A437" s="6">
        <v>435</v>
      </c>
      <c r="B437" s="7">
        <v>45.947719573974609</v>
      </c>
      <c r="C437" s="3">
        <f t="shared" si="2"/>
        <v>0.67925507214823611</v>
      </c>
    </row>
    <row r="438" spans="1:3" ht="13.2" x14ac:dyDescent="0.25">
      <c r="A438" s="6">
        <v>436</v>
      </c>
      <c r="B438" s="7">
        <v>45.821117401123047</v>
      </c>
      <c r="C438" s="3">
        <f t="shared" si="2"/>
        <v>0.65908980725447053</v>
      </c>
    </row>
    <row r="439" spans="1:3" ht="13.2" x14ac:dyDescent="0.25">
      <c r="A439" s="6">
        <v>437</v>
      </c>
      <c r="B439" s="7">
        <v>45.168617248535156</v>
      </c>
      <c r="C439" s="3">
        <f t="shared" si="2"/>
        <v>0.63452847807213142</v>
      </c>
    </row>
    <row r="440" spans="1:3" ht="13.2" x14ac:dyDescent="0.25">
      <c r="A440" s="6">
        <v>438</v>
      </c>
      <c r="B440" s="7">
        <v>45.178352355957031</v>
      </c>
      <c r="C440" s="3">
        <f t="shared" si="2"/>
        <v>0.62704695654180298</v>
      </c>
    </row>
    <row r="441" spans="1:3" ht="13.2" x14ac:dyDescent="0.25">
      <c r="A441" s="6">
        <v>439</v>
      </c>
      <c r="B441" s="7">
        <v>45.07122802734375</v>
      </c>
      <c r="C441" s="3">
        <f t="shared" si="2"/>
        <v>0.62064571902354748</v>
      </c>
    </row>
    <row r="442" spans="1:3" ht="13.2" x14ac:dyDescent="0.25">
      <c r="A442" s="6">
        <v>440</v>
      </c>
      <c r="B442" s="7">
        <v>44.964099884033203</v>
      </c>
      <c r="C442" s="3">
        <f t="shared" si="2"/>
        <v>0.63284110905057733</v>
      </c>
    </row>
    <row r="443" spans="1:3" ht="13.2" x14ac:dyDescent="0.25">
      <c r="A443" s="6">
        <v>441</v>
      </c>
      <c r="B443" s="7">
        <v>45.382869720458984</v>
      </c>
      <c r="C443" s="3">
        <f t="shared" si="2"/>
        <v>0.63277503021142811</v>
      </c>
    </row>
    <row r="444" spans="1:3" ht="13.2" x14ac:dyDescent="0.25">
      <c r="A444" s="6">
        <v>442</v>
      </c>
      <c r="B444" s="7">
        <v>44.808277130126953</v>
      </c>
      <c r="C444" s="3">
        <f t="shared" si="2"/>
        <v>0.61680612744628249</v>
      </c>
    </row>
    <row r="445" spans="1:3" ht="13.2" x14ac:dyDescent="0.25">
      <c r="A445" s="6">
        <v>443</v>
      </c>
      <c r="B445" s="7">
        <v>43.814922332763672</v>
      </c>
      <c r="C445" s="3">
        <f t="shared" si="2"/>
        <v>0.59438769961070848</v>
      </c>
    </row>
    <row r="446" spans="1:3" ht="13.2" x14ac:dyDescent="0.25">
      <c r="A446" s="6">
        <v>444</v>
      </c>
      <c r="B446" s="7">
        <v>43.181900024414063</v>
      </c>
      <c r="C446" s="3">
        <f t="shared" si="2"/>
        <v>0.5862993364912612</v>
      </c>
    </row>
    <row r="447" spans="1:3" ht="13.2" x14ac:dyDescent="0.25">
      <c r="A447" s="6">
        <v>445</v>
      </c>
      <c r="B447" s="7">
        <v>42.490444183349609</v>
      </c>
      <c r="C447" s="3">
        <f t="shared" ref="C447:C510" si="3">LN(B447/B195)</f>
        <v>0.584445991335245</v>
      </c>
    </row>
    <row r="448" spans="1:3" ht="13.2" x14ac:dyDescent="0.25">
      <c r="A448" s="6">
        <v>446</v>
      </c>
      <c r="B448" s="7">
        <v>41.380218505859375</v>
      </c>
      <c r="C448" s="3">
        <f t="shared" si="3"/>
        <v>0.5129460239349144</v>
      </c>
    </row>
    <row r="449" spans="1:3" ht="13.2" x14ac:dyDescent="0.25">
      <c r="A449" s="6">
        <v>447</v>
      </c>
      <c r="B449" s="7">
        <v>45.032272338867188</v>
      </c>
      <c r="C449" s="3">
        <f t="shared" si="3"/>
        <v>0.53173179207134791</v>
      </c>
    </row>
    <row r="450" spans="1:3" ht="13.2" x14ac:dyDescent="0.25">
      <c r="A450" s="6">
        <v>448</v>
      </c>
      <c r="B450" s="7">
        <v>43.201377868652344</v>
      </c>
      <c r="C450" s="3">
        <f t="shared" si="3"/>
        <v>0.47997207031375183</v>
      </c>
    </row>
    <row r="451" spans="1:3" ht="13.2" x14ac:dyDescent="0.25">
      <c r="A451" s="6">
        <v>449</v>
      </c>
      <c r="B451" s="7">
        <v>44.730369567871094</v>
      </c>
      <c r="C451" s="3">
        <f t="shared" si="3"/>
        <v>0.54733569698416462</v>
      </c>
    </row>
    <row r="452" spans="1:3" ht="13.2" x14ac:dyDescent="0.25">
      <c r="A452" s="6">
        <v>450</v>
      </c>
      <c r="B452" s="7">
        <v>44.954360961914063</v>
      </c>
      <c r="C452" s="3">
        <f t="shared" si="3"/>
        <v>0.55270730474823504</v>
      </c>
    </row>
    <row r="453" spans="1:3" ht="13.2" x14ac:dyDescent="0.25">
      <c r="A453" s="6">
        <v>451</v>
      </c>
      <c r="B453" s="7">
        <v>46.366493225097656</v>
      </c>
      <c r="C453" s="3">
        <f t="shared" si="3"/>
        <v>0.56794704460603285</v>
      </c>
    </row>
    <row r="454" spans="1:3" ht="13.2" x14ac:dyDescent="0.25">
      <c r="A454" s="6">
        <v>452</v>
      </c>
      <c r="B454" s="7">
        <v>45.811378479003906</v>
      </c>
      <c r="C454" s="3">
        <f t="shared" si="3"/>
        <v>0.55924389158906196</v>
      </c>
    </row>
    <row r="455" spans="1:3" ht="13.2" x14ac:dyDescent="0.25">
      <c r="A455" s="6">
        <v>453</v>
      </c>
      <c r="B455" s="7">
        <v>42.938430786132813</v>
      </c>
      <c r="C455" s="3">
        <f t="shared" si="3"/>
        <v>0.48375165430322847</v>
      </c>
    </row>
    <row r="456" spans="1:3" ht="13.2" x14ac:dyDescent="0.25">
      <c r="A456" s="6">
        <v>454</v>
      </c>
      <c r="B456" s="7">
        <v>43.055290222167969</v>
      </c>
      <c r="C456" s="3">
        <f t="shared" si="3"/>
        <v>0.46607549588755681</v>
      </c>
    </row>
    <row r="457" spans="1:3" ht="13.2" x14ac:dyDescent="0.25">
      <c r="A457" s="6">
        <v>455</v>
      </c>
      <c r="B457" s="7">
        <v>43.775966644287109</v>
      </c>
      <c r="C457" s="3">
        <f t="shared" si="3"/>
        <v>0.46693828980768665</v>
      </c>
    </row>
    <row r="458" spans="1:3" ht="13.2" x14ac:dyDescent="0.25">
      <c r="A458" s="6">
        <v>456</v>
      </c>
      <c r="B458" s="7">
        <v>45.821117401123047</v>
      </c>
      <c r="C458" s="3">
        <f t="shared" si="3"/>
        <v>0.49920375052441085</v>
      </c>
    </row>
    <row r="459" spans="1:3" ht="13.2" x14ac:dyDescent="0.25">
      <c r="A459" s="6">
        <v>457</v>
      </c>
      <c r="B459" s="7">
        <v>47.574104309082031</v>
      </c>
      <c r="C459" s="3">
        <f t="shared" si="3"/>
        <v>0.5197359410104847</v>
      </c>
    </row>
    <row r="460" spans="1:3" ht="13.2" x14ac:dyDescent="0.25">
      <c r="A460" s="6">
        <v>458</v>
      </c>
      <c r="B460" s="7">
        <v>47.204029083251953</v>
      </c>
      <c r="C460" s="3">
        <f t="shared" si="3"/>
        <v>0.50404037899400989</v>
      </c>
    </row>
    <row r="461" spans="1:3" ht="13.2" x14ac:dyDescent="0.25">
      <c r="A461" s="6">
        <v>459</v>
      </c>
      <c r="B461" s="7">
        <v>47.817573547363281</v>
      </c>
      <c r="C461" s="3">
        <f t="shared" si="3"/>
        <v>0.49166213646748314</v>
      </c>
    </row>
    <row r="462" spans="1:3" ht="13.2" x14ac:dyDescent="0.25">
      <c r="A462" s="6">
        <v>460</v>
      </c>
      <c r="B462" s="7">
        <v>47.807834625244141</v>
      </c>
      <c r="C462" s="3">
        <f t="shared" si="3"/>
        <v>0.46614067860845348</v>
      </c>
    </row>
    <row r="463" spans="1:3" ht="13.2" x14ac:dyDescent="0.25">
      <c r="A463" s="6">
        <v>461</v>
      </c>
      <c r="B463" s="7">
        <v>48.470073699951172</v>
      </c>
      <c r="C463" s="3">
        <f t="shared" si="3"/>
        <v>0.47957315593699873</v>
      </c>
    </row>
    <row r="464" spans="1:3" ht="13.2" x14ac:dyDescent="0.25">
      <c r="A464" s="6">
        <v>462</v>
      </c>
      <c r="B464" s="7">
        <v>48.635635375976563</v>
      </c>
      <c r="C464" s="3">
        <f t="shared" si="3"/>
        <v>0.48688544630048336</v>
      </c>
    </row>
    <row r="465" spans="1:3" ht="13.2" x14ac:dyDescent="0.25">
      <c r="A465" s="6">
        <v>463</v>
      </c>
      <c r="B465" s="7">
        <v>48.44085693359375</v>
      </c>
      <c r="C465" s="3">
        <f t="shared" si="3"/>
        <v>0.47897019470132396</v>
      </c>
    </row>
    <row r="466" spans="1:3" ht="13.2" x14ac:dyDescent="0.25">
      <c r="A466" s="6">
        <v>464</v>
      </c>
      <c r="B466" s="7">
        <v>46.921604156494141</v>
      </c>
      <c r="C466" s="3">
        <f t="shared" si="3"/>
        <v>0.43388517316412223</v>
      </c>
    </row>
    <row r="467" spans="1:3" ht="13.2" x14ac:dyDescent="0.25">
      <c r="A467" s="6">
        <v>465</v>
      </c>
      <c r="B467" s="7">
        <v>46.35675048828125</v>
      </c>
      <c r="C467" s="3">
        <f t="shared" si="3"/>
        <v>0.41443373360984154</v>
      </c>
    </row>
    <row r="468" spans="1:3" ht="13.2" x14ac:dyDescent="0.25">
      <c r="A468" s="6">
        <v>466</v>
      </c>
      <c r="B468" s="7">
        <v>46.833953857421875</v>
      </c>
      <c r="C468" s="3">
        <f t="shared" si="3"/>
        <v>0.40796359621218226</v>
      </c>
    </row>
    <row r="469" spans="1:3" ht="13.2" x14ac:dyDescent="0.25">
      <c r="A469" s="6">
        <v>467</v>
      </c>
      <c r="B469" s="7">
        <v>47.486454010009766</v>
      </c>
      <c r="C469" s="3">
        <f t="shared" si="3"/>
        <v>0.45518369612533266</v>
      </c>
    </row>
    <row r="470" spans="1:3" ht="13.2" x14ac:dyDescent="0.25">
      <c r="A470" s="6">
        <v>468</v>
      </c>
      <c r="B470" s="7">
        <v>47.593578338623047</v>
      </c>
      <c r="C470" s="3">
        <f t="shared" si="3"/>
        <v>0.47867618641453713</v>
      </c>
    </row>
    <row r="471" spans="1:3" ht="13.2" x14ac:dyDescent="0.25">
      <c r="A471" s="6">
        <v>469</v>
      </c>
      <c r="B471" s="7">
        <v>47.428020477294922</v>
      </c>
      <c r="C471" s="3">
        <f t="shared" si="3"/>
        <v>0.43442244585050738</v>
      </c>
    </row>
    <row r="472" spans="1:3" ht="13.2" x14ac:dyDescent="0.25">
      <c r="A472" s="6">
        <v>470</v>
      </c>
      <c r="B472" s="7">
        <v>48.557723999023438</v>
      </c>
      <c r="C472" s="3">
        <f t="shared" si="3"/>
        <v>0.471047136745194</v>
      </c>
    </row>
    <row r="473" spans="1:3" ht="13.2" x14ac:dyDescent="0.25">
      <c r="A473" s="6">
        <v>471</v>
      </c>
      <c r="B473" s="7">
        <v>48.255821228027344</v>
      </c>
      <c r="C473" s="3">
        <f t="shared" si="3"/>
        <v>0.48985632208779606</v>
      </c>
    </row>
    <row r="474" spans="1:3" ht="13.2" x14ac:dyDescent="0.25">
      <c r="A474" s="6">
        <v>472</v>
      </c>
      <c r="B474" s="7">
        <v>47.350109100341797</v>
      </c>
      <c r="C474" s="3">
        <f t="shared" si="3"/>
        <v>0.46336175260030282</v>
      </c>
    </row>
    <row r="475" spans="1:3" ht="13.2" x14ac:dyDescent="0.25">
      <c r="A475" s="6">
        <v>473</v>
      </c>
      <c r="B475" s="7">
        <v>47.126117706298828</v>
      </c>
      <c r="C475" s="3">
        <f t="shared" si="3"/>
        <v>0.45048063840944191</v>
      </c>
    </row>
    <row r="476" spans="1:3" ht="13.2" x14ac:dyDescent="0.25">
      <c r="A476" s="6">
        <v>474</v>
      </c>
      <c r="B476" s="7">
        <v>46.463878631591797</v>
      </c>
      <c r="C476" s="3">
        <f t="shared" si="3"/>
        <v>0.44055274367633002</v>
      </c>
    </row>
    <row r="477" spans="1:3" ht="13.2" x14ac:dyDescent="0.25">
      <c r="A477" s="6">
        <v>475</v>
      </c>
      <c r="B477" s="7">
        <v>46.980037689208984</v>
      </c>
      <c r="C477" s="3">
        <f t="shared" si="3"/>
        <v>0.39833882086517247</v>
      </c>
    </row>
    <row r="478" spans="1:3" ht="13.2" x14ac:dyDescent="0.25">
      <c r="A478" s="6">
        <v>476</v>
      </c>
      <c r="B478" s="7">
        <v>46.376228332519531</v>
      </c>
      <c r="C478" s="3">
        <f t="shared" si="3"/>
        <v>0.3360103309366263</v>
      </c>
    </row>
    <row r="479" spans="1:3" ht="13.2" x14ac:dyDescent="0.25">
      <c r="A479" s="6">
        <v>477</v>
      </c>
      <c r="B479" s="7">
        <v>45.275741577148438</v>
      </c>
      <c r="C479" s="3">
        <f t="shared" si="3"/>
        <v>0.31317084438051923</v>
      </c>
    </row>
    <row r="480" spans="1:3" ht="13.2" x14ac:dyDescent="0.25">
      <c r="A480" s="6">
        <v>478</v>
      </c>
      <c r="B480" s="7">
        <v>44.798542022705078</v>
      </c>
      <c r="C480" s="3">
        <f t="shared" si="3"/>
        <v>0.29116640698647306</v>
      </c>
    </row>
    <row r="481" spans="1:3" ht="13.2" x14ac:dyDescent="0.25">
      <c r="A481" s="6">
        <v>479</v>
      </c>
      <c r="B481" s="7">
        <v>45.100444793701172</v>
      </c>
      <c r="C481" s="3">
        <f t="shared" si="3"/>
        <v>0.29179323029837079</v>
      </c>
    </row>
    <row r="482" spans="1:3" ht="13.2" x14ac:dyDescent="0.25">
      <c r="A482" s="6">
        <v>480</v>
      </c>
      <c r="B482" s="7">
        <v>44.555072784423828</v>
      </c>
      <c r="C482" s="3">
        <f t="shared" si="3"/>
        <v>0.27904920816403339</v>
      </c>
    </row>
    <row r="483" spans="1:3" ht="13.2" x14ac:dyDescent="0.25">
      <c r="A483" s="6">
        <v>481</v>
      </c>
      <c r="B483" s="7">
        <v>44.895927429199219</v>
      </c>
      <c r="C483" s="3">
        <f t="shared" si="3"/>
        <v>0.2528651104720262</v>
      </c>
    </row>
    <row r="484" spans="1:3" ht="13.2" x14ac:dyDescent="0.25">
      <c r="A484" s="6">
        <v>482</v>
      </c>
      <c r="B484" s="7">
        <v>44.681678771972656</v>
      </c>
      <c r="C484" s="3">
        <f t="shared" si="3"/>
        <v>0.22844326285386327</v>
      </c>
    </row>
    <row r="485" spans="1:3" ht="13.2" x14ac:dyDescent="0.25">
      <c r="A485" s="6">
        <v>483</v>
      </c>
      <c r="B485" s="7">
        <v>43.814922332763672</v>
      </c>
      <c r="C485" s="3">
        <f t="shared" si="3"/>
        <v>0.22961032103343426</v>
      </c>
    </row>
    <row r="486" spans="1:3" ht="13.2" x14ac:dyDescent="0.25">
      <c r="A486" s="6">
        <v>484</v>
      </c>
      <c r="B486" s="7">
        <v>44.0291748046875</v>
      </c>
      <c r="C486" s="3">
        <f t="shared" si="3"/>
        <v>0.2415039187780354</v>
      </c>
    </row>
    <row r="487" spans="1:3" ht="13.2" x14ac:dyDescent="0.25">
      <c r="A487" s="6">
        <v>485</v>
      </c>
      <c r="B487" s="7">
        <v>43.999961853027344</v>
      </c>
      <c r="C487" s="3">
        <f t="shared" si="3"/>
        <v>0.28047778322709532</v>
      </c>
    </row>
    <row r="488" spans="1:3" ht="13.2" x14ac:dyDescent="0.25">
      <c r="A488" s="6">
        <v>486</v>
      </c>
      <c r="B488" s="7">
        <v>42.753391265869141</v>
      </c>
      <c r="C488" s="3">
        <f t="shared" si="3"/>
        <v>0.23287192018570996</v>
      </c>
    </row>
    <row r="489" spans="1:3" ht="13.2" x14ac:dyDescent="0.25">
      <c r="A489" s="6">
        <v>487</v>
      </c>
      <c r="B489" s="7">
        <v>43.707794189453125</v>
      </c>
      <c r="C489" s="3">
        <f t="shared" si="3"/>
        <v>0.27235164276727958</v>
      </c>
    </row>
    <row r="490" spans="1:3" ht="13.2" x14ac:dyDescent="0.25">
      <c r="A490" s="6">
        <v>488</v>
      </c>
      <c r="B490" s="7">
        <v>44.204471588134766</v>
      </c>
      <c r="C490" s="3">
        <f t="shared" si="3"/>
        <v>0.32030051141559862</v>
      </c>
    </row>
    <row r="491" spans="1:3" ht="13.2" x14ac:dyDescent="0.25">
      <c r="A491" s="6">
        <v>489</v>
      </c>
      <c r="B491" s="7">
        <v>43.561710357666016</v>
      </c>
      <c r="C491" s="3">
        <f t="shared" si="3"/>
        <v>0.29388649239726938</v>
      </c>
    </row>
    <row r="492" spans="1:3" ht="13.2" x14ac:dyDescent="0.25">
      <c r="A492" s="6">
        <v>490</v>
      </c>
      <c r="B492" s="7">
        <v>42.003501892089844</v>
      </c>
      <c r="C492" s="3">
        <f t="shared" si="3"/>
        <v>0.28636903258596114</v>
      </c>
    </row>
    <row r="493" spans="1:3" ht="13.2" x14ac:dyDescent="0.25">
      <c r="A493" s="6">
        <v>491</v>
      </c>
      <c r="B493" s="7">
        <v>42.422271728515625</v>
      </c>
      <c r="C493" s="3">
        <f t="shared" si="3"/>
        <v>0.27945160083239323</v>
      </c>
    </row>
    <row r="494" spans="1:3" ht="13.2" x14ac:dyDescent="0.25">
      <c r="A494" s="6">
        <v>492</v>
      </c>
      <c r="B494" s="7">
        <v>43.892829895019531</v>
      </c>
      <c r="C494" s="3">
        <f t="shared" si="3"/>
        <v>0.31900860567936556</v>
      </c>
    </row>
    <row r="495" spans="1:3" ht="13.2" x14ac:dyDescent="0.25">
      <c r="A495" s="6">
        <v>493</v>
      </c>
      <c r="B495" s="7">
        <v>43.308502197265625</v>
      </c>
      <c r="C495" s="3">
        <f t="shared" si="3"/>
        <v>0.32160681728468732</v>
      </c>
    </row>
    <row r="496" spans="1:3" ht="13.2" x14ac:dyDescent="0.25">
      <c r="A496" s="6">
        <v>494</v>
      </c>
      <c r="B496" s="7">
        <v>41.750289916992188</v>
      </c>
      <c r="C496" s="3">
        <f t="shared" si="3"/>
        <v>0.28155822132173863</v>
      </c>
    </row>
    <row r="497" spans="1:3" ht="13.2" x14ac:dyDescent="0.25">
      <c r="A497" s="6">
        <v>495</v>
      </c>
      <c r="B497" s="7">
        <v>40.717979431152344</v>
      </c>
      <c r="C497" s="3">
        <f t="shared" si="3"/>
        <v>0.27021612686299051</v>
      </c>
    </row>
    <row r="498" spans="1:3" ht="13.2" x14ac:dyDescent="0.25">
      <c r="A498" s="6">
        <v>496</v>
      </c>
      <c r="B498" s="7">
        <v>41.029621124267578</v>
      </c>
      <c r="C498" s="3">
        <f t="shared" si="3"/>
        <v>0.28066509816589591</v>
      </c>
    </row>
    <row r="499" spans="1:3" ht="13.2" x14ac:dyDescent="0.25">
      <c r="A499" s="6">
        <v>497</v>
      </c>
      <c r="B499" s="7">
        <v>40.941970825195313</v>
      </c>
      <c r="C499" s="3">
        <f t="shared" si="3"/>
        <v>0.27382361283871298</v>
      </c>
    </row>
    <row r="500" spans="1:3" ht="13.2" x14ac:dyDescent="0.25">
      <c r="A500" s="6">
        <v>498</v>
      </c>
      <c r="B500" s="7">
        <v>40.094692230224609</v>
      </c>
      <c r="C500" s="3">
        <f t="shared" si="3"/>
        <v>0.24791959074217987</v>
      </c>
    </row>
    <row r="501" spans="1:3" ht="13.2" x14ac:dyDescent="0.25">
      <c r="A501" s="6">
        <v>499</v>
      </c>
      <c r="B501" s="7">
        <v>40.825103759765625</v>
      </c>
      <c r="C501" s="3">
        <f t="shared" si="3"/>
        <v>0.26286531241062594</v>
      </c>
    </row>
    <row r="502" spans="1:3" ht="13.2" x14ac:dyDescent="0.25">
      <c r="A502" s="6">
        <v>500</v>
      </c>
      <c r="B502" s="7">
        <v>41.828205108642578</v>
      </c>
      <c r="C502" s="3">
        <f t="shared" si="3"/>
        <v>0.26080564575295351</v>
      </c>
    </row>
    <row r="503" spans="1:3" ht="13.2" x14ac:dyDescent="0.25">
      <c r="A503" s="6">
        <v>501</v>
      </c>
      <c r="B503" s="7">
        <v>42.860515594482422</v>
      </c>
      <c r="C503" s="3">
        <f t="shared" si="3"/>
        <v>0.30010461247592291</v>
      </c>
    </row>
    <row r="504" spans="1:3" ht="13.2" x14ac:dyDescent="0.25">
      <c r="A504" s="6">
        <v>502</v>
      </c>
      <c r="B504" s="7">
        <v>42.324882507324219</v>
      </c>
      <c r="C504" s="3">
        <f t="shared" si="3"/>
        <v>0.29399119144664371</v>
      </c>
    </row>
    <row r="505" spans="1:3" ht="13.2" x14ac:dyDescent="0.25">
      <c r="A505" s="6">
        <v>503</v>
      </c>
      <c r="B505" s="7">
        <v>42.480705261230469</v>
      </c>
      <c r="C505" s="3">
        <f t="shared" si="3"/>
        <v>0.32457633301281902</v>
      </c>
    </row>
    <row r="506" spans="1:3" ht="13.2" x14ac:dyDescent="0.25">
      <c r="A506" s="6">
        <v>504</v>
      </c>
      <c r="B506" s="7">
        <v>42.334625244140625</v>
      </c>
      <c r="C506" s="3">
        <f t="shared" si="3"/>
        <v>0.30915169179727031</v>
      </c>
    </row>
    <row r="507" spans="1:3" ht="13.2" x14ac:dyDescent="0.25">
      <c r="A507" s="6">
        <v>505</v>
      </c>
      <c r="B507" s="7">
        <v>43.065032958984375</v>
      </c>
      <c r="C507" s="3">
        <f t="shared" si="3"/>
        <v>0.33380728517497033</v>
      </c>
    </row>
    <row r="508" spans="1:3" ht="13.2" x14ac:dyDescent="0.25">
      <c r="A508" s="6">
        <v>506</v>
      </c>
      <c r="B508" s="7">
        <v>42.422271728515625</v>
      </c>
      <c r="C508" s="3">
        <f t="shared" si="3"/>
        <v>0.32066577399923113</v>
      </c>
    </row>
    <row r="509" spans="1:3" ht="13.2" x14ac:dyDescent="0.25">
      <c r="A509" s="6">
        <v>507</v>
      </c>
      <c r="B509" s="7">
        <v>42.149581909179688</v>
      </c>
      <c r="C509" s="3">
        <f t="shared" si="3"/>
        <v>0.30195470945193947</v>
      </c>
    </row>
    <row r="510" spans="1:3" ht="13.2" x14ac:dyDescent="0.25">
      <c r="A510" s="6">
        <v>508</v>
      </c>
      <c r="B510" s="7">
        <v>42.032718658447266</v>
      </c>
      <c r="C510" s="3">
        <f t="shared" si="3"/>
        <v>0.2674978854629198</v>
      </c>
    </row>
    <row r="511" spans="1:3" ht="13.2" x14ac:dyDescent="0.25">
      <c r="A511" s="6">
        <v>509</v>
      </c>
      <c r="B511" s="7">
        <v>41.711338043212891</v>
      </c>
      <c r="C511" s="3">
        <f t="shared" ref="C511:C574" si="4">LN(B511/B259)</f>
        <v>0.24838351563185357</v>
      </c>
    </row>
    <row r="512" spans="1:3" ht="13.2" x14ac:dyDescent="0.25">
      <c r="A512" s="6">
        <v>510</v>
      </c>
      <c r="B512" s="7">
        <v>41.584735870361328</v>
      </c>
      <c r="C512" s="3">
        <f t="shared" si="4"/>
        <v>0.22607530058933498</v>
      </c>
    </row>
    <row r="513" spans="1:3" ht="13.2" x14ac:dyDescent="0.25">
      <c r="A513" s="6">
        <v>511</v>
      </c>
      <c r="B513" s="7">
        <v>41.049098968505859</v>
      </c>
      <c r="C513" s="3">
        <f t="shared" si="4"/>
        <v>0.20375969827860524</v>
      </c>
    </row>
    <row r="514" spans="1:3" ht="13.2" x14ac:dyDescent="0.25">
      <c r="A514" s="6">
        <v>512</v>
      </c>
      <c r="B514" s="7">
        <v>41.039360046386719</v>
      </c>
      <c r="C514" s="3">
        <f t="shared" si="4"/>
        <v>0.22975047854937178</v>
      </c>
    </row>
    <row r="515" spans="1:3" ht="13.2" x14ac:dyDescent="0.25">
      <c r="A515" s="6">
        <v>513</v>
      </c>
      <c r="B515" s="7">
        <v>41.78924560546875</v>
      </c>
      <c r="C515" s="3">
        <f t="shared" si="4"/>
        <v>0.26199138332627953</v>
      </c>
    </row>
    <row r="516" spans="1:3" ht="13.2" x14ac:dyDescent="0.25">
      <c r="A516" s="6">
        <v>514</v>
      </c>
      <c r="B516" s="7">
        <v>41.945072174072266</v>
      </c>
      <c r="C516" s="3">
        <f t="shared" si="4"/>
        <v>0.19781133148318941</v>
      </c>
    </row>
    <row r="517" spans="1:3" ht="13.2" x14ac:dyDescent="0.25">
      <c r="A517" s="6">
        <v>515</v>
      </c>
      <c r="B517" s="7">
        <v>41.906112670898438</v>
      </c>
      <c r="C517" s="3">
        <f t="shared" si="4"/>
        <v>0.2008513954570349</v>
      </c>
    </row>
    <row r="518" spans="1:3" ht="13.2" x14ac:dyDescent="0.25">
      <c r="A518" s="6">
        <v>516</v>
      </c>
      <c r="B518" s="7">
        <v>42.10089111328125</v>
      </c>
      <c r="C518" s="3">
        <f t="shared" si="4"/>
        <v>0.1810732441573337</v>
      </c>
    </row>
    <row r="519" spans="1:3" ht="13.2" x14ac:dyDescent="0.25">
      <c r="A519" s="6">
        <v>517</v>
      </c>
      <c r="B519" s="7">
        <v>43.668838500976563</v>
      </c>
      <c r="C519" s="3">
        <f t="shared" si="4"/>
        <v>0.15712860543586837</v>
      </c>
    </row>
    <row r="520" spans="1:3" ht="13.2" x14ac:dyDescent="0.25">
      <c r="A520" s="6">
        <v>518</v>
      </c>
      <c r="B520" s="7">
        <v>42.402793884277344</v>
      </c>
      <c r="C520" s="3">
        <f t="shared" si="4"/>
        <v>0.13451615347143867</v>
      </c>
    </row>
    <row r="521" spans="1:3" ht="13.2" x14ac:dyDescent="0.25">
      <c r="A521" s="6">
        <v>519</v>
      </c>
      <c r="B521" s="7">
        <v>41.019878387451172</v>
      </c>
      <c r="C521" s="3">
        <f t="shared" si="4"/>
        <v>0.11139321208728624</v>
      </c>
    </row>
    <row r="522" spans="1:3" ht="13.2" x14ac:dyDescent="0.25">
      <c r="A522" s="6">
        <v>520</v>
      </c>
      <c r="B522" s="7">
        <v>38.633869171142578</v>
      </c>
      <c r="C522" s="3">
        <f t="shared" si="4"/>
        <v>8.5477196745832262E-2</v>
      </c>
    </row>
    <row r="523" spans="1:3" ht="13.2" x14ac:dyDescent="0.25">
      <c r="A523" s="6">
        <v>521</v>
      </c>
      <c r="B523" s="7">
        <v>39.052639007568359</v>
      </c>
      <c r="C523" s="3">
        <f t="shared" si="4"/>
        <v>9.4064001199350919E-2</v>
      </c>
    </row>
    <row r="524" spans="1:3" ht="13.2" x14ac:dyDescent="0.25">
      <c r="A524" s="6">
        <v>522</v>
      </c>
      <c r="B524" s="7">
        <v>39.7733154296875</v>
      </c>
      <c r="C524" s="3">
        <f t="shared" si="4"/>
        <v>9.8203670295491277E-2</v>
      </c>
    </row>
    <row r="525" spans="1:3" ht="13.2" x14ac:dyDescent="0.25">
      <c r="A525" s="6">
        <v>523</v>
      </c>
      <c r="B525" s="7">
        <v>36.910102844238281</v>
      </c>
      <c r="C525" s="3">
        <f t="shared" si="4"/>
        <v>2.8366902889488628E-2</v>
      </c>
    </row>
    <row r="526" spans="1:3" ht="13.2" x14ac:dyDescent="0.25">
      <c r="A526" s="6">
        <v>524</v>
      </c>
      <c r="B526" s="7">
        <v>37.241226196289063</v>
      </c>
      <c r="C526" s="3">
        <f t="shared" si="4"/>
        <v>4.1105370411312875E-2</v>
      </c>
    </row>
    <row r="527" spans="1:3" ht="13.2" x14ac:dyDescent="0.25">
      <c r="A527" s="6">
        <v>525</v>
      </c>
      <c r="B527" s="7">
        <v>37.3775634765625</v>
      </c>
      <c r="C527" s="3">
        <f t="shared" si="4"/>
        <v>5.6545542405956821E-2</v>
      </c>
    </row>
    <row r="528" spans="1:3" ht="13.2" x14ac:dyDescent="0.25">
      <c r="A528" s="6">
        <v>526</v>
      </c>
      <c r="B528" s="7">
        <v>36.978275299072266</v>
      </c>
      <c r="C528" s="3">
        <f t="shared" si="4"/>
        <v>4.030639804895831E-2</v>
      </c>
    </row>
    <row r="529" spans="1:3" ht="13.2" x14ac:dyDescent="0.25">
      <c r="A529" s="6">
        <v>527</v>
      </c>
      <c r="B529" s="7">
        <v>36.988010406494141</v>
      </c>
      <c r="C529" s="3">
        <f t="shared" si="4"/>
        <v>3.6738163963013937E-2</v>
      </c>
    </row>
    <row r="530" spans="1:3" ht="13.2" x14ac:dyDescent="0.25">
      <c r="A530" s="6">
        <v>528</v>
      </c>
      <c r="B530" s="7">
        <v>37.621036529541016</v>
      </c>
      <c r="C530" s="3">
        <f t="shared" si="4"/>
        <v>6.7459360455351308E-2</v>
      </c>
    </row>
    <row r="531" spans="1:3" ht="13.2" x14ac:dyDescent="0.25">
      <c r="A531" s="6">
        <v>529</v>
      </c>
      <c r="B531" s="7">
        <v>38.916297912597656</v>
      </c>
      <c r="C531" s="3">
        <f t="shared" si="4"/>
        <v>0.1104898674809595</v>
      </c>
    </row>
    <row r="532" spans="1:3" ht="13.2" x14ac:dyDescent="0.25">
      <c r="A532" s="6">
        <v>530</v>
      </c>
      <c r="B532" s="7">
        <v>39.383758544921875</v>
      </c>
      <c r="C532" s="3">
        <f t="shared" si="4"/>
        <v>0.12382866844157815</v>
      </c>
    </row>
    <row r="533" spans="1:3" ht="13.2" x14ac:dyDescent="0.25">
      <c r="A533" s="6">
        <v>531</v>
      </c>
      <c r="B533" s="7">
        <v>38.594917297363281</v>
      </c>
      <c r="C533" s="3">
        <f t="shared" si="4"/>
        <v>0.11089912314645117</v>
      </c>
    </row>
    <row r="534" spans="1:3" ht="13.2" x14ac:dyDescent="0.25">
      <c r="A534" s="6">
        <v>532</v>
      </c>
      <c r="B534" s="7">
        <v>37.630775451660156</v>
      </c>
      <c r="C534" s="3">
        <f t="shared" si="4"/>
        <v>9.6941963402723208E-2</v>
      </c>
    </row>
    <row r="535" spans="1:3" ht="13.2" x14ac:dyDescent="0.25">
      <c r="A535" s="6">
        <v>533</v>
      </c>
      <c r="B535" s="7">
        <v>37.085399627685547</v>
      </c>
      <c r="C535" s="3">
        <f t="shared" si="4"/>
        <v>5.4227688229814344E-2</v>
      </c>
    </row>
    <row r="536" spans="1:3" ht="13.2" x14ac:dyDescent="0.25">
      <c r="A536" s="6">
        <v>534</v>
      </c>
      <c r="B536" s="7">
        <v>36.715328216552734</v>
      </c>
      <c r="C536" s="3">
        <f t="shared" si="4"/>
        <v>6.9205200475362313E-3</v>
      </c>
    </row>
    <row r="537" spans="1:3" ht="13.2" x14ac:dyDescent="0.25">
      <c r="A537" s="6">
        <v>535</v>
      </c>
      <c r="B537" s="7">
        <v>35.653797149658203</v>
      </c>
      <c r="C537" s="3">
        <f t="shared" si="4"/>
        <v>-3.383777127249725E-2</v>
      </c>
    </row>
    <row r="538" spans="1:3" ht="13.2" x14ac:dyDescent="0.25">
      <c r="A538" s="6">
        <v>536</v>
      </c>
      <c r="B538" s="7">
        <v>35.809619903564453</v>
      </c>
      <c r="C538" s="3">
        <f t="shared" si="4"/>
        <v>-3.8000515045951951E-3</v>
      </c>
    </row>
    <row r="539" spans="1:3" ht="13.2" x14ac:dyDescent="0.25">
      <c r="A539" s="6">
        <v>537</v>
      </c>
      <c r="B539" s="7">
        <v>36.208908081054688</v>
      </c>
      <c r="C539" s="3">
        <f t="shared" si="4"/>
        <v>7.8305584736681564E-3</v>
      </c>
    </row>
    <row r="540" spans="1:3" ht="13.2" x14ac:dyDescent="0.25">
      <c r="A540" s="6">
        <v>538</v>
      </c>
      <c r="B540" s="7">
        <v>37.182788848876953</v>
      </c>
      <c r="C540" s="3">
        <f t="shared" si="4"/>
        <v>3.0583453321616733E-2</v>
      </c>
    </row>
    <row r="541" spans="1:3" ht="13.2" x14ac:dyDescent="0.25">
      <c r="A541" s="6">
        <v>539</v>
      </c>
      <c r="B541" s="7">
        <v>36.150474548339844</v>
      </c>
      <c r="C541" s="3">
        <f t="shared" si="4"/>
        <v>4.5902059775277827E-3</v>
      </c>
    </row>
    <row r="542" spans="1:3" ht="13.2" x14ac:dyDescent="0.25">
      <c r="A542" s="6">
        <v>540</v>
      </c>
      <c r="B542" s="7">
        <v>35.381111145019531</v>
      </c>
      <c r="C542" s="3">
        <f t="shared" si="4"/>
        <v>7.4596029836266151E-3</v>
      </c>
    </row>
    <row r="543" spans="1:3" ht="13.2" x14ac:dyDescent="0.25">
      <c r="A543" s="6">
        <v>541</v>
      </c>
      <c r="B543" s="7">
        <v>35.244762420654297</v>
      </c>
      <c r="C543" s="3">
        <f t="shared" si="4"/>
        <v>-2.7639257011099377E-4</v>
      </c>
    </row>
    <row r="544" spans="1:3" ht="13.2" x14ac:dyDescent="0.25">
      <c r="A544" s="6">
        <v>542</v>
      </c>
      <c r="B544" s="7">
        <v>35.731704711914063</v>
      </c>
      <c r="C544" s="3">
        <f t="shared" si="4"/>
        <v>1.1237631835528471E-2</v>
      </c>
    </row>
    <row r="545" spans="1:3" ht="13.2" x14ac:dyDescent="0.25">
      <c r="A545" s="6">
        <v>543</v>
      </c>
      <c r="B545" s="7">
        <v>35.955699920654297</v>
      </c>
      <c r="C545" s="3">
        <f t="shared" si="4"/>
        <v>1.7211165927840558E-2</v>
      </c>
    </row>
    <row r="546" spans="1:3" ht="13.2" x14ac:dyDescent="0.25">
      <c r="A546" s="6">
        <v>544</v>
      </c>
      <c r="B546" s="7">
        <v>36.578983306884766</v>
      </c>
      <c r="C546" s="3">
        <f t="shared" si="4"/>
        <v>6.0075677570246601E-2</v>
      </c>
    </row>
    <row r="547" spans="1:3" ht="13.2" x14ac:dyDescent="0.25">
      <c r="A547" s="6">
        <v>545</v>
      </c>
      <c r="B547" s="7">
        <v>37.494430541992188</v>
      </c>
      <c r="C547" s="3">
        <f t="shared" si="4"/>
        <v>4.2446644753596365E-2</v>
      </c>
    </row>
    <row r="548" spans="1:3" ht="13.2" x14ac:dyDescent="0.25">
      <c r="A548" s="6">
        <v>546</v>
      </c>
      <c r="B548" s="7">
        <v>37.737899780273438</v>
      </c>
      <c r="C548" s="3">
        <f t="shared" si="4"/>
        <v>2.1124721114521225E-2</v>
      </c>
    </row>
    <row r="549" spans="1:3" ht="13.2" x14ac:dyDescent="0.25">
      <c r="A549" s="6">
        <v>547</v>
      </c>
      <c r="B549" s="7">
        <v>37.708686828613281</v>
      </c>
      <c r="C549" s="3">
        <f t="shared" si="4"/>
        <v>-1.6901798369248607E-2</v>
      </c>
    </row>
    <row r="550" spans="1:3" ht="13.2" x14ac:dyDescent="0.25">
      <c r="A550" s="6">
        <v>548</v>
      </c>
      <c r="B550" s="7">
        <v>37.036705017089844</v>
      </c>
      <c r="C550" s="3">
        <f t="shared" si="4"/>
        <v>-3.9695974427206147E-2</v>
      </c>
    </row>
    <row r="551" spans="1:3" ht="13.2" x14ac:dyDescent="0.25">
      <c r="A551" s="6">
        <v>549</v>
      </c>
      <c r="B551" s="7">
        <v>36.880886077880859</v>
      </c>
      <c r="C551" s="3">
        <f t="shared" si="4"/>
        <v>-5.9210077289219516E-2</v>
      </c>
    </row>
    <row r="552" spans="1:3" ht="13.2" x14ac:dyDescent="0.25">
      <c r="A552" s="6">
        <v>550</v>
      </c>
      <c r="B552" s="7">
        <v>37.893722534179688</v>
      </c>
      <c r="C552" s="3">
        <f t="shared" si="4"/>
        <v>-1.8839770842051771E-2</v>
      </c>
    </row>
    <row r="553" spans="1:3" ht="13.2" x14ac:dyDescent="0.25">
      <c r="A553" s="6">
        <v>551</v>
      </c>
      <c r="B553" s="7">
        <v>37.2899169921875</v>
      </c>
      <c r="C553" s="3">
        <f t="shared" si="4"/>
        <v>-2.2466999822260227E-2</v>
      </c>
    </row>
    <row r="554" spans="1:3" ht="13.2" x14ac:dyDescent="0.25">
      <c r="A554" s="6">
        <v>552</v>
      </c>
      <c r="B554" s="7">
        <v>37.572341918945313</v>
      </c>
      <c r="C554" s="3">
        <f t="shared" si="4"/>
        <v>-6.0594210313077081E-2</v>
      </c>
    </row>
    <row r="555" spans="1:3" ht="13.2" x14ac:dyDescent="0.25">
      <c r="A555" s="6">
        <v>553</v>
      </c>
      <c r="B555" s="7">
        <v>38.166408538818359</v>
      </c>
      <c r="C555" s="3">
        <f t="shared" si="4"/>
        <v>-2.9665358775602887E-2</v>
      </c>
    </row>
    <row r="556" spans="1:3" ht="13.2" x14ac:dyDescent="0.25">
      <c r="A556" s="6">
        <v>554</v>
      </c>
      <c r="B556" s="7">
        <v>38.624134063720703</v>
      </c>
      <c r="C556" s="3">
        <f t="shared" si="4"/>
        <v>-1.2279355945999503E-2</v>
      </c>
    </row>
    <row r="557" spans="1:3" ht="13.2" x14ac:dyDescent="0.25">
      <c r="A557" s="6">
        <v>555</v>
      </c>
      <c r="B557" s="7">
        <v>39.753837585449219</v>
      </c>
      <c r="C557" s="3">
        <f t="shared" si="4"/>
        <v>2.3798914144234157E-2</v>
      </c>
    </row>
    <row r="558" spans="1:3" ht="13.2" x14ac:dyDescent="0.25">
      <c r="A558" s="6">
        <v>556</v>
      </c>
      <c r="B558" s="7">
        <v>38.614398956298828</v>
      </c>
      <c r="C558" s="3">
        <f t="shared" si="4"/>
        <v>1.6273106085803565E-2</v>
      </c>
    </row>
    <row r="559" spans="1:3" ht="13.2" x14ac:dyDescent="0.25">
      <c r="A559" s="6">
        <v>557</v>
      </c>
      <c r="B559" s="7">
        <v>39.325328826904297</v>
      </c>
      <c r="C559" s="3">
        <f t="shared" si="4"/>
        <v>3.6826472110750789E-2</v>
      </c>
    </row>
    <row r="560" spans="1:3" ht="13.2" x14ac:dyDescent="0.25">
      <c r="A560" s="6">
        <v>558</v>
      </c>
      <c r="B560" s="7">
        <v>40.649806976318359</v>
      </c>
      <c r="C560" s="3">
        <f t="shared" si="4"/>
        <v>7.7689715429946779E-2</v>
      </c>
    </row>
    <row r="561" spans="1:3" ht="13.2" x14ac:dyDescent="0.25">
      <c r="A561" s="6">
        <v>559</v>
      </c>
      <c r="B561" s="7">
        <v>39.744098663330078</v>
      </c>
      <c r="C561" s="3">
        <f t="shared" si="4"/>
        <v>7.9797792939971232E-2</v>
      </c>
    </row>
    <row r="562" spans="1:3" ht="13.2" x14ac:dyDescent="0.25">
      <c r="A562" s="6">
        <v>560</v>
      </c>
      <c r="B562" s="7">
        <v>38.721519470214844</v>
      </c>
      <c r="C562" s="3">
        <f t="shared" si="4"/>
        <v>2.7797288856282187E-2</v>
      </c>
    </row>
    <row r="563" spans="1:3" ht="13.2" x14ac:dyDescent="0.25">
      <c r="A563" s="6">
        <v>561</v>
      </c>
      <c r="B563" s="7">
        <v>38.069019317626953</v>
      </c>
      <c r="C563" s="3">
        <f t="shared" si="4"/>
        <v>2.5575527166141996E-4</v>
      </c>
    </row>
    <row r="564" spans="1:3" ht="13.2" x14ac:dyDescent="0.25">
      <c r="A564" s="6">
        <v>562</v>
      </c>
      <c r="B564" s="7">
        <v>37.728164672851563</v>
      </c>
      <c r="C564" s="3">
        <f t="shared" si="4"/>
        <v>-1.1804019484947083E-2</v>
      </c>
    </row>
    <row r="565" spans="1:3" ht="13.2" x14ac:dyDescent="0.25">
      <c r="A565" s="6">
        <v>563</v>
      </c>
      <c r="B565" s="7">
        <v>37.757377624511719</v>
      </c>
      <c r="C565" s="3">
        <f t="shared" si="4"/>
        <v>-1.5465102651197379E-3</v>
      </c>
    </row>
    <row r="566" spans="1:3" ht="13.2" x14ac:dyDescent="0.25">
      <c r="A566" s="6">
        <v>564</v>
      </c>
      <c r="B566" s="7">
        <v>37.93267822265625</v>
      </c>
      <c r="C566" s="3">
        <f t="shared" si="4"/>
        <v>3.6007662756736528E-3</v>
      </c>
    </row>
    <row r="567" spans="1:3" ht="13.2" x14ac:dyDescent="0.25">
      <c r="A567" s="6">
        <v>565</v>
      </c>
      <c r="B567" s="7">
        <v>37.163314819335938</v>
      </c>
      <c r="C567" s="3">
        <f t="shared" si="4"/>
        <v>7.3646602062663914E-3</v>
      </c>
    </row>
    <row r="568" spans="1:3" ht="13.2" x14ac:dyDescent="0.25">
      <c r="A568" s="6">
        <v>566</v>
      </c>
      <c r="B568" s="7">
        <v>38.254058837890625</v>
      </c>
      <c r="C568" s="3">
        <f t="shared" si="4"/>
        <v>3.1551567959120973E-2</v>
      </c>
    </row>
    <row r="569" spans="1:3" ht="13.2" x14ac:dyDescent="0.25">
      <c r="A569" s="6">
        <v>567</v>
      </c>
      <c r="B569" s="7">
        <v>37.445735931396484</v>
      </c>
      <c r="C569" s="3">
        <f t="shared" si="4"/>
        <v>1.4407539781166174E-2</v>
      </c>
    </row>
    <row r="570" spans="1:3" ht="13.2" x14ac:dyDescent="0.25">
      <c r="A570" s="6">
        <v>568</v>
      </c>
      <c r="B570" s="7">
        <v>36.988010406494141</v>
      </c>
      <c r="C570" s="3">
        <f t="shared" si="4"/>
        <v>-1.1518478746244185E-2</v>
      </c>
    </row>
    <row r="571" spans="1:3" ht="13.2" x14ac:dyDescent="0.25">
      <c r="A571" s="6">
        <v>569</v>
      </c>
      <c r="B571" s="7">
        <v>36.306293487548828</v>
      </c>
      <c r="C571" s="3">
        <f t="shared" si="4"/>
        <v>-6.1886215348495636E-2</v>
      </c>
    </row>
    <row r="572" spans="1:3" ht="13.2" x14ac:dyDescent="0.25">
      <c r="A572" s="6">
        <v>570</v>
      </c>
      <c r="B572" s="7">
        <v>35.838832855224609</v>
      </c>
      <c r="C572" s="3">
        <f t="shared" si="4"/>
        <v>-7.1814954531413816E-2</v>
      </c>
    </row>
    <row r="573" spans="1:3" ht="13.2" x14ac:dyDescent="0.25">
      <c r="A573" s="6">
        <v>571</v>
      </c>
      <c r="B573" s="7">
        <v>35.692752838134766</v>
      </c>
      <c r="C573" s="3">
        <f t="shared" si="4"/>
        <v>-7.2352368440595005E-2</v>
      </c>
    </row>
    <row r="574" spans="1:3" ht="13.2" x14ac:dyDescent="0.25">
      <c r="A574" s="6">
        <v>572</v>
      </c>
      <c r="B574" s="7">
        <v>35.858310699462891</v>
      </c>
      <c r="C574" s="3">
        <f t="shared" si="4"/>
        <v>-5.9057788536132624E-2</v>
      </c>
    </row>
    <row r="575" spans="1:3" ht="13.2" x14ac:dyDescent="0.25">
      <c r="A575" s="6">
        <v>573</v>
      </c>
      <c r="B575" s="7">
        <v>37.13409423828125</v>
      </c>
      <c r="C575" s="3">
        <f t="shared" ref="C575:C638" si="5">LN(B575/B323)</f>
        <v>-3.9089707096617306E-2</v>
      </c>
    </row>
    <row r="576" spans="1:3" ht="13.2" x14ac:dyDescent="0.25">
      <c r="A576" s="6">
        <v>574</v>
      </c>
      <c r="B576" s="7">
        <v>36.413425445556641</v>
      </c>
      <c r="C576" s="3">
        <f t="shared" si="5"/>
        <v>-6.0954914840030301E-2</v>
      </c>
    </row>
    <row r="577" spans="1:3" ht="13.2" x14ac:dyDescent="0.25">
      <c r="A577" s="6">
        <v>575</v>
      </c>
      <c r="B577" s="7">
        <v>36.277080535888672</v>
      </c>
      <c r="C577" s="3">
        <f t="shared" si="5"/>
        <v>-5.2554216060120153E-2</v>
      </c>
    </row>
    <row r="578" spans="1:3" ht="13.2" x14ac:dyDescent="0.25">
      <c r="A578" s="6">
        <v>576</v>
      </c>
      <c r="B578" s="7">
        <v>35.712223052978516</v>
      </c>
      <c r="C578" s="3">
        <f t="shared" si="5"/>
        <v>-9.0912599452975321E-2</v>
      </c>
    </row>
    <row r="579" spans="1:3" ht="13.2" x14ac:dyDescent="0.25">
      <c r="A579" s="6">
        <v>577</v>
      </c>
      <c r="B579" s="7">
        <v>35.6051025390625</v>
      </c>
      <c r="C579" s="3">
        <f t="shared" si="5"/>
        <v>-0.13895289228147809</v>
      </c>
    </row>
    <row r="580" spans="1:3" ht="13.2" x14ac:dyDescent="0.25">
      <c r="A580" s="6">
        <v>578</v>
      </c>
      <c r="B580" s="7">
        <v>35.400585174560547</v>
      </c>
      <c r="C580" s="3">
        <f t="shared" si="5"/>
        <v>-0.1194016992480218</v>
      </c>
    </row>
    <row r="581" spans="1:3" ht="13.2" x14ac:dyDescent="0.25">
      <c r="A581" s="6">
        <v>579</v>
      </c>
      <c r="B581" s="7">
        <v>36.462116241455078</v>
      </c>
      <c r="C581" s="3">
        <f t="shared" si="5"/>
        <v>-0.11397712423919623</v>
      </c>
    </row>
    <row r="582" spans="1:3" ht="13.2" x14ac:dyDescent="0.25">
      <c r="A582" s="6">
        <v>580</v>
      </c>
      <c r="B582" s="7">
        <v>36.413425445556641</v>
      </c>
      <c r="C582" s="3">
        <f t="shared" si="5"/>
        <v>-0.10909776643297028</v>
      </c>
    </row>
    <row r="583" spans="1:3" ht="13.2" x14ac:dyDescent="0.25">
      <c r="A583" s="6">
        <v>581</v>
      </c>
      <c r="B583" s="7">
        <v>36.471855163574219</v>
      </c>
      <c r="C583" s="3">
        <f t="shared" si="5"/>
        <v>-0.10268667682243256</v>
      </c>
    </row>
    <row r="584" spans="1:3" ht="13.2" x14ac:dyDescent="0.25">
      <c r="A584" s="6">
        <v>582</v>
      </c>
      <c r="B584" s="7">
        <v>36.627674102783203</v>
      </c>
      <c r="C584" s="3">
        <f t="shared" si="5"/>
        <v>-8.5325971888759539E-2</v>
      </c>
    </row>
    <row r="585" spans="1:3" ht="13.2" x14ac:dyDescent="0.25">
      <c r="A585" s="6">
        <v>583</v>
      </c>
      <c r="B585" s="7">
        <v>36.082302093505859</v>
      </c>
      <c r="C585" s="3">
        <f t="shared" si="5"/>
        <v>-7.9357401736953811E-2</v>
      </c>
    </row>
    <row r="586" spans="1:3" ht="13.2" x14ac:dyDescent="0.25">
      <c r="A586" s="6">
        <v>584</v>
      </c>
      <c r="B586" s="7">
        <v>36.676368713378906</v>
      </c>
      <c r="C586" s="3">
        <f t="shared" si="5"/>
        <v>-7.146821721405143E-2</v>
      </c>
    </row>
    <row r="587" spans="1:3" ht="13.2" x14ac:dyDescent="0.25">
      <c r="A587" s="6">
        <v>585</v>
      </c>
      <c r="B587" s="7">
        <v>37.737899780273438</v>
      </c>
      <c r="C587" s="3">
        <f t="shared" si="5"/>
        <v>-4.6883617535822049E-2</v>
      </c>
    </row>
    <row r="588" spans="1:3" ht="13.2" x14ac:dyDescent="0.25">
      <c r="A588" s="6">
        <v>586</v>
      </c>
      <c r="B588" s="7">
        <v>37.552867889404297</v>
      </c>
      <c r="C588" s="3">
        <f t="shared" si="5"/>
        <v>-5.6711618268135255E-2</v>
      </c>
    </row>
    <row r="589" spans="1:3" ht="13.2" x14ac:dyDescent="0.25">
      <c r="A589" s="6">
        <v>587</v>
      </c>
      <c r="B589" s="7">
        <v>37.698947906494141</v>
      </c>
      <c r="C589" s="3">
        <f t="shared" si="5"/>
        <v>-6.5974314971622636E-2</v>
      </c>
    </row>
    <row r="590" spans="1:3" ht="13.2" x14ac:dyDescent="0.25">
      <c r="A590" s="6">
        <v>588</v>
      </c>
      <c r="B590" s="7">
        <v>37.455474853515625</v>
      </c>
      <c r="C590" s="3">
        <f t="shared" si="5"/>
        <v>-4.050998690880632E-2</v>
      </c>
    </row>
    <row r="591" spans="1:3" ht="13.2" x14ac:dyDescent="0.25">
      <c r="A591" s="6">
        <v>589</v>
      </c>
      <c r="B591" s="7">
        <v>37.698947906494141</v>
      </c>
      <c r="C591" s="3">
        <f t="shared" si="5"/>
        <v>-5.4298250367153501E-2</v>
      </c>
    </row>
    <row r="592" spans="1:3" ht="13.2" x14ac:dyDescent="0.25">
      <c r="A592" s="6">
        <v>590</v>
      </c>
      <c r="B592" s="7">
        <v>37.280174255371094</v>
      </c>
      <c r="C592" s="3">
        <f t="shared" si="5"/>
        <v>-9.7018720543138995E-2</v>
      </c>
    </row>
    <row r="593" spans="1:3" ht="13.2" x14ac:dyDescent="0.25">
      <c r="A593" s="6">
        <v>591</v>
      </c>
      <c r="B593" s="7">
        <v>37.299652099609375</v>
      </c>
      <c r="C593" s="3">
        <f t="shared" si="5"/>
        <v>-0.10146265817934484</v>
      </c>
    </row>
    <row r="594" spans="1:3" ht="13.2" x14ac:dyDescent="0.25">
      <c r="A594" s="6">
        <v>592</v>
      </c>
      <c r="B594" s="7">
        <v>35.585624694824219</v>
      </c>
      <c r="C594" s="3">
        <f t="shared" si="5"/>
        <v>-0.13973810691463209</v>
      </c>
    </row>
    <row r="595" spans="1:3" ht="13.2" x14ac:dyDescent="0.25">
      <c r="A595" s="6">
        <v>593</v>
      </c>
      <c r="B595" s="7">
        <v>35.390846252441406</v>
      </c>
      <c r="C595" s="3">
        <f t="shared" si="5"/>
        <v>-0.15328547888505181</v>
      </c>
    </row>
    <row r="596" spans="1:3" ht="13.2" x14ac:dyDescent="0.25">
      <c r="A596" s="6">
        <v>594</v>
      </c>
      <c r="B596" s="7">
        <v>34.144283294677734</v>
      </c>
      <c r="C596" s="3">
        <f t="shared" si="5"/>
        <v>-0.16983648399812434</v>
      </c>
    </row>
    <row r="597" spans="1:3" ht="13.2" x14ac:dyDescent="0.25">
      <c r="A597" s="6">
        <v>595</v>
      </c>
      <c r="B597" s="7">
        <v>34.738346099853516</v>
      </c>
      <c r="C597" s="3">
        <f t="shared" si="5"/>
        <v>-0.16335962832504997</v>
      </c>
    </row>
    <row r="598" spans="1:3" ht="13.2" x14ac:dyDescent="0.25">
      <c r="A598" s="6">
        <v>596</v>
      </c>
      <c r="B598" s="7">
        <v>34.952598571777344</v>
      </c>
      <c r="C598" s="3">
        <f t="shared" si="5"/>
        <v>-0.14788195110523014</v>
      </c>
    </row>
    <row r="599" spans="1:3" ht="13.2" x14ac:dyDescent="0.25">
      <c r="A599" s="6">
        <v>597</v>
      </c>
      <c r="B599" s="7">
        <v>34.494873046875</v>
      </c>
      <c r="C599" s="3">
        <f t="shared" si="5"/>
        <v>-0.17015504143025562</v>
      </c>
    </row>
    <row r="600" spans="1:3" ht="13.2" x14ac:dyDescent="0.25">
      <c r="A600" s="6">
        <v>598</v>
      </c>
      <c r="B600" s="7">
        <v>35.205810546875</v>
      </c>
      <c r="C600" s="3">
        <f t="shared" si="5"/>
        <v>-0.12589510078929053</v>
      </c>
    </row>
    <row r="601" spans="1:3" ht="13.2" x14ac:dyDescent="0.25">
      <c r="A601" s="6">
        <v>599</v>
      </c>
      <c r="B601" s="7">
        <v>35.536930084228516</v>
      </c>
      <c r="C601" s="3">
        <f t="shared" si="5"/>
        <v>-0.12042869001378319</v>
      </c>
    </row>
    <row r="602" spans="1:3" ht="13.2" x14ac:dyDescent="0.25">
      <c r="A602" s="6">
        <v>600</v>
      </c>
      <c r="B602" s="7">
        <v>35.585624694824219</v>
      </c>
      <c r="C602" s="3">
        <f t="shared" si="5"/>
        <v>-0.12051605493974774</v>
      </c>
    </row>
    <row r="603" spans="1:3" ht="13.2" x14ac:dyDescent="0.25">
      <c r="A603" s="6">
        <v>601</v>
      </c>
      <c r="B603" s="7">
        <v>36.014129638671875</v>
      </c>
      <c r="C603" s="3">
        <f t="shared" si="5"/>
        <v>-0.12514734172331912</v>
      </c>
    </row>
    <row r="604" spans="1:3" ht="13.2" x14ac:dyDescent="0.25">
      <c r="A604" s="6">
        <v>602</v>
      </c>
      <c r="B604" s="7">
        <v>35.858310699462891</v>
      </c>
      <c r="C604" s="3">
        <f t="shared" si="5"/>
        <v>-0.13067557577798575</v>
      </c>
    </row>
    <row r="605" spans="1:3" ht="13.2" x14ac:dyDescent="0.25">
      <c r="A605" s="6">
        <v>603</v>
      </c>
      <c r="B605" s="7">
        <v>35.225284576416016</v>
      </c>
      <c r="C605" s="3">
        <f t="shared" si="5"/>
        <v>-0.15253013572502122</v>
      </c>
    </row>
    <row r="606" spans="1:3" ht="13.2" x14ac:dyDescent="0.25">
      <c r="A606" s="6">
        <v>604</v>
      </c>
      <c r="B606" s="7">
        <v>34.017673492431641</v>
      </c>
      <c r="C606" s="3">
        <f t="shared" si="5"/>
        <v>-0.23016160279709641</v>
      </c>
    </row>
    <row r="607" spans="1:3" ht="13.2" x14ac:dyDescent="0.25">
      <c r="A607" s="6">
        <v>605</v>
      </c>
      <c r="B607" s="7">
        <v>34.670173645019531</v>
      </c>
      <c r="C607" s="3">
        <f t="shared" si="5"/>
        <v>-0.22089393863466653</v>
      </c>
    </row>
    <row r="608" spans="1:3" ht="13.2" x14ac:dyDescent="0.25">
      <c r="A608" s="6">
        <v>606</v>
      </c>
      <c r="B608" s="7">
        <v>34.192974090576172</v>
      </c>
      <c r="C608" s="3">
        <f t="shared" si="5"/>
        <v>-0.24439154041335917</v>
      </c>
    </row>
    <row r="609" spans="1:3" ht="13.2" x14ac:dyDescent="0.25">
      <c r="A609" s="6">
        <v>607</v>
      </c>
      <c r="B609" s="7">
        <v>34.903907775878906</v>
      </c>
      <c r="C609" s="3">
        <f t="shared" si="5"/>
        <v>-0.24150079500046295</v>
      </c>
    </row>
    <row r="610" spans="1:3" ht="13.2" x14ac:dyDescent="0.25">
      <c r="A610" s="6">
        <v>608</v>
      </c>
      <c r="B610" s="7">
        <v>34.884429931640625</v>
      </c>
      <c r="C610" s="3">
        <f t="shared" si="5"/>
        <v>-0.23612427710689216</v>
      </c>
    </row>
    <row r="611" spans="1:3" ht="13.2" x14ac:dyDescent="0.25">
      <c r="A611" s="6">
        <v>609</v>
      </c>
      <c r="B611" s="7">
        <v>35.225284576416016</v>
      </c>
      <c r="C611" s="3">
        <f t="shared" si="5"/>
        <v>-0.23167776626378497</v>
      </c>
    </row>
    <row r="612" spans="1:3" ht="13.2" x14ac:dyDescent="0.25">
      <c r="A612" s="6">
        <v>610</v>
      </c>
      <c r="B612" s="7">
        <v>36.540027618408203</v>
      </c>
      <c r="C612" s="3">
        <f t="shared" si="5"/>
        <v>-0.2320589106479943</v>
      </c>
    </row>
    <row r="613" spans="1:3" ht="13.2" x14ac:dyDescent="0.25">
      <c r="A613" s="6">
        <v>611</v>
      </c>
      <c r="B613" s="7">
        <v>36.64715576171875</v>
      </c>
      <c r="C613" s="3">
        <f t="shared" si="5"/>
        <v>-0.22574439617278044</v>
      </c>
    </row>
    <row r="614" spans="1:3" ht="13.2" x14ac:dyDescent="0.25">
      <c r="A614" s="6">
        <v>612</v>
      </c>
      <c r="B614" s="7">
        <v>35.585624694824219</v>
      </c>
      <c r="C614" s="3">
        <f t="shared" si="5"/>
        <v>-0.24875682969761989</v>
      </c>
    </row>
    <row r="615" spans="1:3" ht="13.2" x14ac:dyDescent="0.25">
      <c r="A615" s="6">
        <v>613</v>
      </c>
      <c r="B615" s="7">
        <v>35.741447448730469</v>
      </c>
      <c r="C615" s="3">
        <f t="shared" si="5"/>
        <v>-0.22781913347884639</v>
      </c>
    </row>
    <row r="616" spans="1:3" ht="13.2" x14ac:dyDescent="0.25">
      <c r="A616" s="6">
        <v>614</v>
      </c>
      <c r="B616" s="7">
        <v>35.692752838134766</v>
      </c>
      <c r="C616" s="3">
        <f t="shared" si="5"/>
        <v>-0.21475924407519639</v>
      </c>
    </row>
    <row r="617" spans="1:3" ht="13.2" x14ac:dyDescent="0.25">
      <c r="A617" s="6">
        <v>615</v>
      </c>
      <c r="B617" s="7">
        <v>36.296558380126953</v>
      </c>
      <c r="C617" s="3">
        <f t="shared" si="5"/>
        <v>-0.17008345371835265</v>
      </c>
    </row>
    <row r="618" spans="1:3" ht="13.2" x14ac:dyDescent="0.25">
      <c r="A618" s="6">
        <v>616</v>
      </c>
      <c r="B618" s="7">
        <v>36.841930389404297</v>
      </c>
      <c r="C618" s="3">
        <f t="shared" si="5"/>
        <v>-0.14057764427175082</v>
      </c>
    </row>
    <row r="619" spans="1:3" ht="13.2" x14ac:dyDescent="0.25">
      <c r="A619" s="6">
        <v>617</v>
      </c>
      <c r="B619" s="7">
        <v>37.2899169921875</v>
      </c>
      <c r="C619" s="3">
        <f t="shared" si="5"/>
        <v>-0.12111458869020419</v>
      </c>
    </row>
    <row r="620" spans="1:3" ht="13.2" x14ac:dyDescent="0.25">
      <c r="A620" s="6">
        <v>618</v>
      </c>
      <c r="B620" s="7">
        <v>36.140735626220703</v>
      </c>
      <c r="C620" s="3">
        <f t="shared" si="5"/>
        <v>-0.17642081163173612</v>
      </c>
    </row>
    <row r="621" spans="1:3" ht="13.2" x14ac:dyDescent="0.25">
      <c r="A621" s="6">
        <v>619</v>
      </c>
      <c r="B621" s="7">
        <v>37.065925598144531</v>
      </c>
      <c r="C621" s="3">
        <f t="shared" si="5"/>
        <v>-0.14479845809842362</v>
      </c>
    </row>
    <row r="622" spans="1:3" ht="13.2" x14ac:dyDescent="0.25">
      <c r="A622" s="6">
        <v>620</v>
      </c>
      <c r="B622" s="7">
        <v>37.104877471923828</v>
      </c>
      <c r="C622" s="3">
        <f t="shared" si="5"/>
        <v>-0.14147227195279266</v>
      </c>
    </row>
    <row r="623" spans="1:3" ht="13.2" x14ac:dyDescent="0.25">
      <c r="A623" s="6">
        <v>621</v>
      </c>
      <c r="B623" s="7">
        <v>36.111522674560547</v>
      </c>
      <c r="C623" s="3">
        <f t="shared" si="5"/>
        <v>-0.16381247320379755</v>
      </c>
    </row>
    <row r="624" spans="1:3" ht="13.2" x14ac:dyDescent="0.25">
      <c r="A624" s="6">
        <v>622</v>
      </c>
      <c r="B624" s="7">
        <v>37.153572082519531</v>
      </c>
      <c r="C624" s="3">
        <f t="shared" si="5"/>
        <v>-0.14175433616342276</v>
      </c>
    </row>
    <row r="625" spans="1:3" ht="13.2" x14ac:dyDescent="0.25">
      <c r="A625" s="6">
        <v>623</v>
      </c>
      <c r="B625" s="7">
        <v>37.095142364501953</v>
      </c>
      <c r="C625" s="3">
        <f t="shared" si="5"/>
        <v>-0.11822036792286243</v>
      </c>
    </row>
    <row r="626" spans="1:3" ht="13.2" x14ac:dyDescent="0.25">
      <c r="A626" s="6">
        <v>624</v>
      </c>
      <c r="B626" s="7">
        <v>37.767116546630859</v>
      </c>
      <c r="C626" s="3">
        <f t="shared" si="5"/>
        <v>-0.12127247015024013</v>
      </c>
    </row>
    <row r="627" spans="1:3" ht="13.2" x14ac:dyDescent="0.25">
      <c r="A627" s="6">
        <v>625</v>
      </c>
      <c r="B627" s="7">
        <v>37.689205169677734</v>
      </c>
      <c r="C627" s="3">
        <f t="shared" si="5"/>
        <v>-0.1164615261863782</v>
      </c>
    </row>
    <row r="628" spans="1:3" ht="13.2" x14ac:dyDescent="0.25">
      <c r="A628" s="6">
        <v>626</v>
      </c>
      <c r="B628" s="7">
        <v>37.543125152587891</v>
      </c>
      <c r="C628" s="3">
        <f t="shared" si="5"/>
        <v>-0.12333033140226993</v>
      </c>
    </row>
    <row r="629" spans="1:3" ht="13.2" x14ac:dyDescent="0.25">
      <c r="A629" s="6">
        <v>627</v>
      </c>
      <c r="B629" s="7">
        <v>38.010589599609375</v>
      </c>
      <c r="C629" s="3">
        <f t="shared" si="5"/>
        <v>-0.11985897567754465</v>
      </c>
    </row>
    <row r="630" spans="1:3" ht="13.2" x14ac:dyDescent="0.25">
      <c r="A630" s="6">
        <v>628</v>
      </c>
      <c r="B630" s="7">
        <v>37.202266693115234</v>
      </c>
      <c r="C630" s="3">
        <f t="shared" si="5"/>
        <v>-0.13359679779093508</v>
      </c>
    </row>
    <row r="631" spans="1:3" ht="13.2" x14ac:dyDescent="0.25">
      <c r="A631" s="6">
        <v>629</v>
      </c>
      <c r="B631" s="7">
        <v>37.3775634765625</v>
      </c>
      <c r="C631" s="3">
        <f t="shared" si="5"/>
        <v>-0.13415008381044169</v>
      </c>
    </row>
    <row r="632" spans="1:3" ht="13.2" x14ac:dyDescent="0.25">
      <c r="A632" s="6">
        <v>630</v>
      </c>
      <c r="B632" s="7">
        <v>37.494430541992188</v>
      </c>
      <c r="C632" s="3">
        <f t="shared" si="5"/>
        <v>-8.9864384860178198E-2</v>
      </c>
    </row>
    <row r="633" spans="1:3" ht="13.2" x14ac:dyDescent="0.25">
      <c r="A633" s="6">
        <v>631</v>
      </c>
      <c r="B633" s="7">
        <v>38.146926879882813</v>
      </c>
      <c r="C633" s="3">
        <f t="shared" si="5"/>
        <v>-3.8317080839759481E-2</v>
      </c>
    </row>
    <row r="634" spans="1:3" ht="13.2" x14ac:dyDescent="0.25">
      <c r="A634" s="6">
        <v>632</v>
      </c>
      <c r="B634" s="7">
        <v>38.964988708496094</v>
      </c>
      <c r="C634" s="3">
        <f t="shared" si="5"/>
        <v>-2.9551660221903069E-2</v>
      </c>
    </row>
    <row r="635" spans="1:3" ht="13.2" x14ac:dyDescent="0.25">
      <c r="A635" s="6">
        <v>633</v>
      </c>
      <c r="B635" s="7">
        <v>39.841484069824219</v>
      </c>
      <c r="C635" s="3">
        <f t="shared" si="5"/>
        <v>1.4774927211672765E-2</v>
      </c>
    </row>
    <row r="636" spans="1:3" ht="13.2" x14ac:dyDescent="0.25">
      <c r="A636" s="6">
        <v>634</v>
      </c>
      <c r="B636" s="7">
        <v>39.412979125976563</v>
      </c>
      <c r="C636" s="3">
        <f t="shared" si="5"/>
        <v>7.4405936428155002E-3</v>
      </c>
    </row>
    <row r="637" spans="1:3" ht="13.2" x14ac:dyDescent="0.25">
      <c r="A637" s="6">
        <v>635</v>
      </c>
      <c r="B637" s="7">
        <v>39.257156372070313</v>
      </c>
      <c r="C637" s="3">
        <f t="shared" si="5"/>
        <v>6.1384735109482481E-2</v>
      </c>
    </row>
    <row r="638" spans="1:3" ht="13.2" x14ac:dyDescent="0.25">
      <c r="A638" s="6">
        <v>636</v>
      </c>
      <c r="B638" s="7">
        <v>39.627231597900391</v>
      </c>
      <c r="C638" s="3">
        <f t="shared" si="5"/>
        <v>5.3507594236057096E-2</v>
      </c>
    </row>
    <row r="639" spans="1:3" ht="13.2" x14ac:dyDescent="0.25">
      <c r="A639" s="6">
        <v>637</v>
      </c>
      <c r="B639" s="7">
        <v>38.643611907958984</v>
      </c>
      <c r="C639" s="3">
        <f t="shared" ref="C639:C702" si="6">LN(B639/B387)</f>
        <v>7.8343099016607728E-2</v>
      </c>
    </row>
    <row r="640" spans="1:3" ht="13.2" x14ac:dyDescent="0.25">
      <c r="A640" s="6">
        <v>638</v>
      </c>
      <c r="B640" s="7">
        <v>37.3775634765625</v>
      </c>
      <c r="C640" s="3">
        <f t="shared" si="6"/>
        <v>3.5808081818397751E-2</v>
      </c>
    </row>
    <row r="641" spans="1:3" ht="13.2" x14ac:dyDescent="0.25">
      <c r="A641" s="6">
        <v>639</v>
      </c>
      <c r="B641" s="7">
        <v>37.786594390869141</v>
      </c>
      <c r="C641" s="3">
        <f t="shared" si="6"/>
        <v>4.3910178669688306E-3</v>
      </c>
    </row>
    <row r="642" spans="1:3" ht="13.2" x14ac:dyDescent="0.25">
      <c r="A642" s="6">
        <v>640</v>
      </c>
      <c r="B642" s="7">
        <v>38.585174560546875</v>
      </c>
      <c r="C642" s="3">
        <f t="shared" si="6"/>
        <v>1.7568777558503199E-2</v>
      </c>
    </row>
    <row r="643" spans="1:3" ht="13.2" x14ac:dyDescent="0.25">
      <c r="A643" s="6">
        <v>641</v>
      </c>
      <c r="B643" s="7">
        <v>38.663089752197266</v>
      </c>
      <c r="C643" s="3">
        <f t="shared" si="6"/>
        <v>1.9072428928588774E-2</v>
      </c>
    </row>
    <row r="644" spans="1:3" ht="13.2" x14ac:dyDescent="0.25">
      <c r="A644" s="6">
        <v>642</v>
      </c>
      <c r="B644" s="7">
        <v>38.107978820800781</v>
      </c>
      <c r="C644" s="3">
        <f t="shared" si="6"/>
        <v>-4.3350310479797439E-3</v>
      </c>
    </row>
    <row r="645" spans="1:3" ht="13.2" x14ac:dyDescent="0.25">
      <c r="A645" s="6">
        <v>643</v>
      </c>
      <c r="B645" s="7">
        <v>37.630775451660156</v>
      </c>
      <c r="C645" s="3">
        <f t="shared" si="6"/>
        <v>2.5883555271588631E-4</v>
      </c>
    </row>
    <row r="646" spans="1:3" ht="13.2" x14ac:dyDescent="0.25">
      <c r="A646" s="6">
        <v>644</v>
      </c>
      <c r="B646" s="7">
        <v>37.93267822265625</v>
      </c>
      <c r="C646" s="3">
        <f t="shared" si="6"/>
        <v>3.288402643328741E-2</v>
      </c>
    </row>
    <row r="647" spans="1:3" ht="13.2" x14ac:dyDescent="0.25">
      <c r="A647" s="6">
        <v>645</v>
      </c>
      <c r="B647" s="7">
        <v>37.93267822265625</v>
      </c>
      <c r="C647" s="3">
        <f t="shared" si="6"/>
        <v>6.2503870956183885E-2</v>
      </c>
    </row>
    <row r="648" spans="1:3" ht="13.2" x14ac:dyDescent="0.25">
      <c r="A648" s="6">
        <v>646</v>
      </c>
      <c r="B648" s="7">
        <v>38.107978820800781</v>
      </c>
      <c r="C648" s="3">
        <f t="shared" si="6"/>
        <v>8.1705186800824753E-2</v>
      </c>
    </row>
    <row r="649" spans="1:3" ht="13.2" x14ac:dyDescent="0.25">
      <c r="A649" s="6">
        <v>647</v>
      </c>
      <c r="B649" s="7">
        <v>37.796337127685547</v>
      </c>
      <c r="C649" s="3">
        <f t="shared" si="6"/>
        <v>5.3723806469328936E-2</v>
      </c>
    </row>
    <row r="650" spans="1:3" ht="13.2" x14ac:dyDescent="0.25">
      <c r="A650" s="6">
        <v>648</v>
      </c>
      <c r="B650" s="7">
        <v>38.127452850341797</v>
      </c>
      <c r="C650" s="3">
        <f t="shared" si="6"/>
        <v>8.5549561041529401E-2</v>
      </c>
    </row>
    <row r="651" spans="1:3" ht="13.2" x14ac:dyDescent="0.25">
      <c r="A651" s="6">
        <v>649</v>
      </c>
      <c r="B651" s="7">
        <v>38.263797760009766</v>
      </c>
      <c r="C651" s="3">
        <f t="shared" si="6"/>
        <v>5.6544781974785456E-2</v>
      </c>
    </row>
    <row r="652" spans="1:3" ht="13.2" x14ac:dyDescent="0.25">
      <c r="A652" s="6">
        <v>650</v>
      </c>
      <c r="B652" s="7">
        <v>37.698947906494141</v>
      </c>
      <c r="C652" s="3">
        <f t="shared" si="6"/>
        <v>2.7765011606829777E-2</v>
      </c>
    </row>
    <row r="653" spans="1:3" ht="13.2" x14ac:dyDescent="0.25">
      <c r="A653" s="6">
        <v>651</v>
      </c>
      <c r="B653" s="7">
        <v>36.666633605957031</v>
      </c>
      <c r="C653" s="3">
        <f t="shared" si="6"/>
        <v>2.4194788036939842E-2</v>
      </c>
    </row>
    <row r="654" spans="1:3" ht="13.2" x14ac:dyDescent="0.25">
      <c r="A654" s="6">
        <v>652</v>
      </c>
      <c r="B654" s="7">
        <v>36.432899475097656</v>
      </c>
      <c r="C654" s="3">
        <f t="shared" si="6"/>
        <v>1.7799810734953118E-2</v>
      </c>
    </row>
    <row r="655" spans="1:3" ht="13.2" x14ac:dyDescent="0.25">
      <c r="A655" s="6">
        <v>653</v>
      </c>
      <c r="B655" s="7">
        <v>36.014129638671875</v>
      </c>
      <c r="C655" s="3">
        <f t="shared" si="6"/>
        <v>-2.7048881433145127E-4</v>
      </c>
    </row>
    <row r="656" spans="1:3" ht="13.2" x14ac:dyDescent="0.25">
      <c r="A656" s="6">
        <v>654</v>
      </c>
      <c r="B656" s="7">
        <v>35.712223052978516</v>
      </c>
      <c r="C656" s="3">
        <f t="shared" si="6"/>
        <v>-3.720508747022426E-2</v>
      </c>
    </row>
    <row r="657" spans="1:3" ht="13.2" x14ac:dyDescent="0.25">
      <c r="A657" s="6">
        <v>655</v>
      </c>
      <c r="B657" s="7">
        <v>35.984916687011719</v>
      </c>
      <c r="C657" s="3">
        <f t="shared" si="6"/>
        <v>-3.1173362008123498E-2</v>
      </c>
    </row>
    <row r="658" spans="1:3" ht="13.2" x14ac:dyDescent="0.25">
      <c r="A658" s="6">
        <v>656</v>
      </c>
      <c r="B658" s="7">
        <v>36.218643188476563</v>
      </c>
      <c r="C658" s="3">
        <f t="shared" si="6"/>
        <v>-2.6010042924940927E-2</v>
      </c>
    </row>
    <row r="659" spans="1:3" ht="13.2" x14ac:dyDescent="0.25">
      <c r="A659" s="6">
        <v>657</v>
      </c>
      <c r="B659" s="7">
        <v>36.588722229003906</v>
      </c>
      <c r="C659" s="3">
        <f t="shared" si="6"/>
        <v>-1.1906506486987791E-2</v>
      </c>
    </row>
    <row r="660" spans="1:3" ht="13.2" x14ac:dyDescent="0.25">
      <c r="A660" s="6">
        <v>658</v>
      </c>
      <c r="B660" s="7">
        <v>36.277080535888672</v>
      </c>
      <c r="C660" s="3">
        <f t="shared" si="6"/>
        <v>-2.1511948428530284E-2</v>
      </c>
    </row>
    <row r="661" spans="1:3" ht="13.2" x14ac:dyDescent="0.25">
      <c r="A661" s="6">
        <v>659</v>
      </c>
      <c r="B661" s="7">
        <v>36.520549774169922</v>
      </c>
      <c r="C661" s="3">
        <f t="shared" si="6"/>
        <v>-2.83930827860168E-2</v>
      </c>
    </row>
    <row r="662" spans="1:3" ht="13.2" x14ac:dyDescent="0.25">
      <c r="A662" s="6">
        <v>660</v>
      </c>
      <c r="B662" s="7">
        <v>35.819355010986328</v>
      </c>
      <c r="C662" s="3">
        <f t="shared" si="6"/>
        <v>-3.1315319771988551E-2</v>
      </c>
    </row>
    <row r="663" spans="1:3" ht="13.2" x14ac:dyDescent="0.25">
      <c r="A663" s="6">
        <v>661</v>
      </c>
      <c r="B663" s="7">
        <v>36.238121032714844</v>
      </c>
      <c r="C663" s="3">
        <f t="shared" si="6"/>
        <v>-7.0800770948614505E-2</v>
      </c>
    </row>
    <row r="664" spans="1:3" ht="13.2" x14ac:dyDescent="0.25">
      <c r="A664" s="6">
        <v>662</v>
      </c>
      <c r="B664" s="7">
        <v>35.673274993896484</v>
      </c>
      <c r="C664" s="3">
        <f t="shared" si="6"/>
        <v>-0.11343578574639965</v>
      </c>
    </row>
    <row r="665" spans="1:3" ht="13.2" x14ac:dyDescent="0.25">
      <c r="A665" s="6">
        <v>663</v>
      </c>
      <c r="B665" s="7">
        <v>36.160213470458984</v>
      </c>
      <c r="C665" s="3">
        <f t="shared" si="6"/>
        <v>-0.12086052298684975</v>
      </c>
    </row>
    <row r="666" spans="1:3" ht="13.2" x14ac:dyDescent="0.25">
      <c r="A666" s="6">
        <v>664</v>
      </c>
      <c r="B666" s="7">
        <v>37.611293792724609</v>
      </c>
      <c r="C666" s="3">
        <f t="shared" si="6"/>
        <v>-7.8647580600847797E-2</v>
      </c>
    </row>
    <row r="667" spans="1:3" ht="13.2" x14ac:dyDescent="0.25">
      <c r="A667" s="6">
        <v>665</v>
      </c>
      <c r="B667" s="7">
        <v>38.468315124511719</v>
      </c>
      <c r="C667" s="3">
        <f t="shared" si="6"/>
        <v>-9.0233988372825411E-2</v>
      </c>
    </row>
    <row r="668" spans="1:3" ht="13.2" x14ac:dyDescent="0.25">
      <c r="A668" s="6">
        <v>666</v>
      </c>
      <c r="B668" s="7">
        <v>39.159767150878906</v>
      </c>
      <c r="C668" s="3">
        <f t="shared" si="6"/>
        <v>-8.0482665964682509E-2</v>
      </c>
    </row>
    <row r="669" spans="1:3" ht="13.2" x14ac:dyDescent="0.25">
      <c r="A669" s="6">
        <v>667</v>
      </c>
      <c r="B669" s="7">
        <v>39.636970520019531</v>
      </c>
      <c r="C669" s="3">
        <f t="shared" si="6"/>
        <v>-6.7681621899433053E-2</v>
      </c>
    </row>
    <row r="670" spans="1:3" ht="13.2" x14ac:dyDescent="0.25">
      <c r="A670" s="6">
        <v>668</v>
      </c>
      <c r="B670" s="7">
        <v>40.162868499755859</v>
      </c>
      <c r="C670" s="3">
        <f t="shared" si="6"/>
        <v>-4.2721175406232673E-2</v>
      </c>
    </row>
    <row r="671" spans="1:3" ht="13.2" x14ac:dyDescent="0.25">
      <c r="A671" s="6">
        <v>669</v>
      </c>
      <c r="B671" s="7">
        <v>41.253612518310547</v>
      </c>
      <c r="C671" s="3">
        <f t="shared" si="6"/>
        <v>-1.6157707498550933E-2</v>
      </c>
    </row>
    <row r="672" spans="1:3" ht="13.2" x14ac:dyDescent="0.25">
      <c r="A672" s="6">
        <v>670</v>
      </c>
      <c r="B672" s="7">
        <v>41.565258026123047</v>
      </c>
      <c r="C672" s="3">
        <f t="shared" si="6"/>
        <v>-1.404747399667589E-3</v>
      </c>
    </row>
    <row r="673" spans="1:3" ht="13.2" x14ac:dyDescent="0.25">
      <c r="A673" s="6">
        <v>671</v>
      </c>
      <c r="B673" s="7">
        <v>40.679023742675781</v>
      </c>
      <c r="C673" s="3">
        <f t="shared" si="6"/>
        <v>-3.2272162850737598E-2</v>
      </c>
    </row>
    <row r="674" spans="1:3" ht="13.2" x14ac:dyDescent="0.25">
      <c r="A674" s="6">
        <v>672</v>
      </c>
      <c r="B674" s="7">
        <v>40.795886993408203</v>
      </c>
      <c r="C674" s="3">
        <f t="shared" si="6"/>
        <v>-3.3798202500245039E-2</v>
      </c>
    </row>
    <row r="675" spans="1:3" ht="13.2" x14ac:dyDescent="0.25">
      <c r="A675" s="6">
        <v>673</v>
      </c>
      <c r="B675" s="7">
        <v>40.591373443603516</v>
      </c>
      <c r="C675" s="3">
        <f t="shared" si="6"/>
        <v>-5.2643947178380697E-3</v>
      </c>
    </row>
    <row r="676" spans="1:3" ht="13.2" x14ac:dyDescent="0.25">
      <c r="A676" s="6">
        <v>674</v>
      </c>
      <c r="B676" s="7">
        <v>41.068572998046875</v>
      </c>
      <c r="C676" s="3">
        <f t="shared" si="6"/>
        <v>4.9922471290835234E-3</v>
      </c>
    </row>
    <row r="677" spans="1:3" ht="13.2" x14ac:dyDescent="0.25">
      <c r="A677" s="6">
        <v>675</v>
      </c>
      <c r="B677" s="7">
        <v>41.195178985595703</v>
      </c>
      <c r="C677" s="3">
        <f t="shared" si="6"/>
        <v>5.7659143340153658E-2</v>
      </c>
    </row>
    <row r="678" spans="1:3" ht="13.2" x14ac:dyDescent="0.25">
      <c r="A678" s="6">
        <v>676</v>
      </c>
      <c r="B678" s="7">
        <v>42.363838195800781</v>
      </c>
      <c r="C678" s="3">
        <f t="shared" si="6"/>
        <v>9.2417809690133912E-2</v>
      </c>
    </row>
    <row r="679" spans="1:3" ht="13.2" x14ac:dyDescent="0.25">
      <c r="A679" s="6">
        <v>677</v>
      </c>
      <c r="B679" s="7">
        <v>42.850776672363281</v>
      </c>
      <c r="C679" s="3">
        <f t="shared" si="6"/>
        <v>0.11220188545436967</v>
      </c>
    </row>
    <row r="680" spans="1:3" ht="13.2" x14ac:dyDescent="0.25">
      <c r="A680" s="6">
        <v>678</v>
      </c>
      <c r="B680" s="7">
        <v>43.435104370117188</v>
      </c>
      <c r="C680" s="3">
        <f t="shared" si="6"/>
        <v>8.9296803380937623E-2</v>
      </c>
    </row>
    <row r="681" spans="1:3" ht="13.2" x14ac:dyDescent="0.25">
      <c r="A681" s="6">
        <v>679</v>
      </c>
      <c r="B681" s="7">
        <v>43.999961853027344</v>
      </c>
      <c r="C681" s="3">
        <f t="shared" si="6"/>
        <v>0.1005030404301118</v>
      </c>
    </row>
    <row r="682" spans="1:3" ht="13.2" x14ac:dyDescent="0.25">
      <c r="A682" s="6">
        <v>680</v>
      </c>
      <c r="B682" s="7">
        <v>43.853878021240234</v>
      </c>
      <c r="C682" s="3">
        <f t="shared" si="6"/>
        <v>7.9950259749055133E-2</v>
      </c>
    </row>
    <row r="683" spans="1:3" ht="13.2" x14ac:dyDescent="0.25">
      <c r="A683" s="6">
        <v>681</v>
      </c>
      <c r="B683" s="7">
        <v>43.337718963623047</v>
      </c>
      <c r="C683" s="3">
        <f t="shared" si="6"/>
        <v>5.0465655016608102E-2</v>
      </c>
    </row>
    <row r="684" spans="1:3" ht="13.2" x14ac:dyDescent="0.25">
      <c r="A684" s="6">
        <v>682</v>
      </c>
      <c r="B684" s="7">
        <v>43.844139099121094</v>
      </c>
      <c r="C684" s="3">
        <f t="shared" si="6"/>
        <v>1.3867345111969376E-2</v>
      </c>
    </row>
    <row r="685" spans="1:3" ht="13.2" x14ac:dyDescent="0.25">
      <c r="A685" s="6">
        <v>683</v>
      </c>
      <c r="B685" s="7">
        <v>43.688316345214844</v>
      </c>
      <c r="C685" s="3">
        <f t="shared" si="6"/>
        <v>-9.7604390181006834E-3</v>
      </c>
    </row>
    <row r="686" spans="1:3" ht="13.2" x14ac:dyDescent="0.25">
      <c r="A686" s="6">
        <v>684</v>
      </c>
      <c r="B686" s="7">
        <v>43.493541717529297</v>
      </c>
      <c r="C686" s="3">
        <f t="shared" si="6"/>
        <v>-2.8257834886024794E-2</v>
      </c>
    </row>
    <row r="687" spans="1:3" ht="13.2" x14ac:dyDescent="0.25">
      <c r="A687" s="6">
        <v>685</v>
      </c>
      <c r="B687" s="7">
        <v>43.503276824951172</v>
      </c>
      <c r="C687" s="3">
        <f t="shared" si="6"/>
        <v>-3.4759373262935461E-2</v>
      </c>
    </row>
    <row r="688" spans="1:3" ht="13.2" x14ac:dyDescent="0.25">
      <c r="A688" s="6">
        <v>686</v>
      </c>
      <c r="B688" s="7">
        <v>43.162422180175781</v>
      </c>
      <c r="C688" s="3">
        <f t="shared" si="6"/>
        <v>-6.0624611418781234E-2</v>
      </c>
    </row>
    <row r="689" spans="1:3" ht="13.2" x14ac:dyDescent="0.25">
      <c r="A689" s="6">
        <v>687</v>
      </c>
      <c r="B689" s="7">
        <v>43.259807586669922</v>
      </c>
      <c r="C689" s="3">
        <f t="shared" si="6"/>
        <v>-6.0280246467115522E-2</v>
      </c>
    </row>
    <row r="690" spans="1:3" ht="13.2" x14ac:dyDescent="0.25">
      <c r="A690" s="6">
        <v>688</v>
      </c>
      <c r="B690" s="7">
        <v>43.211112976074219</v>
      </c>
      <c r="C690" s="3">
        <f t="shared" si="6"/>
        <v>-5.8647356498369656E-2</v>
      </c>
    </row>
    <row r="691" spans="1:3" ht="13.2" x14ac:dyDescent="0.25">
      <c r="A691" s="6">
        <v>689</v>
      </c>
      <c r="B691" s="7">
        <v>42.704696655273438</v>
      </c>
      <c r="C691" s="3">
        <f t="shared" si="6"/>
        <v>-5.6093630920886602E-2</v>
      </c>
    </row>
    <row r="692" spans="1:3" ht="13.2" x14ac:dyDescent="0.25">
      <c r="A692" s="6">
        <v>690</v>
      </c>
      <c r="B692" s="7">
        <v>42.841041564941406</v>
      </c>
      <c r="C692" s="3">
        <f t="shared" si="6"/>
        <v>-5.3121483745431748E-2</v>
      </c>
    </row>
    <row r="693" spans="1:3" ht="13.2" x14ac:dyDescent="0.25">
      <c r="A693" s="6">
        <v>691</v>
      </c>
      <c r="B693" s="7">
        <v>42.139846801757813</v>
      </c>
      <c r="C693" s="3">
        <f t="shared" si="6"/>
        <v>-6.7250310533055802E-2</v>
      </c>
    </row>
    <row r="694" spans="1:3" ht="13.2" x14ac:dyDescent="0.25">
      <c r="A694" s="6">
        <v>692</v>
      </c>
      <c r="B694" s="7">
        <v>42.169059753417969</v>
      </c>
      <c r="C694" s="3">
        <f t="shared" si="6"/>
        <v>-6.4177620084845927E-2</v>
      </c>
    </row>
    <row r="695" spans="1:3" ht="13.2" x14ac:dyDescent="0.25">
      <c r="A695" s="6">
        <v>693</v>
      </c>
      <c r="B695" s="7">
        <v>43.006595611572266</v>
      </c>
      <c r="C695" s="3">
        <f t="shared" si="6"/>
        <v>-5.3781224665262667E-2</v>
      </c>
    </row>
    <row r="696" spans="1:3" ht="13.2" x14ac:dyDescent="0.25">
      <c r="A696" s="6">
        <v>694</v>
      </c>
      <c r="B696" s="7">
        <v>42.74365234375</v>
      </c>
      <c r="C696" s="3">
        <f t="shared" si="6"/>
        <v>-4.7172178553388948E-2</v>
      </c>
    </row>
    <row r="697" spans="1:3" ht="13.2" x14ac:dyDescent="0.25">
      <c r="A697" s="6">
        <v>695</v>
      </c>
      <c r="B697" s="7">
        <v>42.617042541503906</v>
      </c>
      <c r="C697" s="3">
        <f t="shared" si="6"/>
        <v>-2.7720218956218304E-2</v>
      </c>
    </row>
    <row r="698" spans="1:3" ht="13.2" x14ac:dyDescent="0.25">
      <c r="A698" s="6">
        <v>696</v>
      </c>
      <c r="B698" s="7">
        <v>41.701595306396484</v>
      </c>
      <c r="C698" s="3">
        <f t="shared" si="6"/>
        <v>-3.4882041715592844E-2</v>
      </c>
    </row>
    <row r="699" spans="1:3" ht="13.2" x14ac:dyDescent="0.25">
      <c r="A699" s="6">
        <v>697</v>
      </c>
      <c r="B699" s="7">
        <v>41.945072174072266</v>
      </c>
      <c r="C699" s="3">
        <f t="shared" si="6"/>
        <v>-1.2918250924390858E-2</v>
      </c>
    </row>
    <row r="700" spans="1:3" ht="13.2" x14ac:dyDescent="0.25">
      <c r="A700" s="6">
        <v>698</v>
      </c>
      <c r="B700" s="7">
        <v>42.841041564941406</v>
      </c>
      <c r="C700" s="3">
        <f t="shared" si="6"/>
        <v>3.4693605417407299E-2</v>
      </c>
    </row>
    <row r="701" spans="1:3" ht="13.2" x14ac:dyDescent="0.25">
      <c r="A701" s="6">
        <v>699</v>
      </c>
      <c r="B701" s="7">
        <v>42.071674346923828</v>
      </c>
      <c r="C701" s="3">
        <f t="shared" si="6"/>
        <v>-6.8004699936065838E-2</v>
      </c>
    </row>
    <row r="702" spans="1:3" ht="13.2" x14ac:dyDescent="0.25">
      <c r="A702" s="6">
        <v>700</v>
      </c>
      <c r="B702" s="7">
        <v>41.321784973144531</v>
      </c>
      <c r="C702" s="3">
        <f t="shared" si="6"/>
        <v>-4.4482547761493088E-2</v>
      </c>
    </row>
    <row r="703" spans="1:3" ht="13.2" x14ac:dyDescent="0.25">
      <c r="A703" s="6">
        <v>701</v>
      </c>
      <c r="B703" s="7">
        <v>39.442195892333984</v>
      </c>
      <c r="C703" s="3">
        <f t="shared" ref="C703:C766" si="7">LN(B703/B451)</f>
        <v>-0.12581647463528164</v>
      </c>
    </row>
    <row r="704" spans="1:3" ht="13.2" x14ac:dyDescent="0.25">
      <c r="A704" s="6">
        <v>702</v>
      </c>
      <c r="B704" s="7">
        <v>40.094692230224609</v>
      </c>
      <c r="C704" s="3">
        <f t="shared" si="7"/>
        <v>-0.11440381205860632</v>
      </c>
    </row>
    <row r="705" spans="1:3" ht="13.2" x14ac:dyDescent="0.25">
      <c r="A705" s="6">
        <v>703</v>
      </c>
      <c r="B705" s="7">
        <v>39.802528381347656</v>
      </c>
      <c r="C705" s="3">
        <f t="shared" si="7"/>
        <v>-0.15264663216002589</v>
      </c>
    </row>
    <row r="706" spans="1:3" ht="13.2" x14ac:dyDescent="0.25">
      <c r="A706" s="6">
        <v>704</v>
      </c>
      <c r="B706" s="7">
        <v>39.890174865722656</v>
      </c>
      <c r="C706" s="3">
        <f t="shared" si="7"/>
        <v>-0.13840244906468416</v>
      </c>
    </row>
    <row r="707" spans="1:3" ht="13.2" x14ac:dyDescent="0.25">
      <c r="A707" s="6">
        <v>705</v>
      </c>
      <c r="B707" s="7">
        <v>40.10443115234375</v>
      </c>
      <c r="C707" s="3">
        <f t="shared" si="7"/>
        <v>-6.8280416685247092E-2</v>
      </c>
    </row>
    <row r="708" spans="1:3" ht="13.2" x14ac:dyDescent="0.25">
      <c r="A708" s="6">
        <v>706</v>
      </c>
      <c r="B708" s="7">
        <v>39.111072540283203</v>
      </c>
      <c r="C708" s="3">
        <f t="shared" si="7"/>
        <v>-9.60794967808377E-2</v>
      </c>
    </row>
    <row r="709" spans="1:3" ht="13.2" x14ac:dyDescent="0.25">
      <c r="A709" s="6">
        <v>707</v>
      </c>
      <c r="B709" s="7">
        <v>39.344806671142578</v>
      </c>
      <c r="C709" s="3">
        <f t="shared" si="7"/>
        <v>-0.10672097174444443</v>
      </c>
    </row>
    <row r="710" spans="1:3" ht="13.2" x14ac:dyDescent="0.25">
      <c r="A710" s="6">
        <v>708</v>
      </c>
      <c r="B710" s="7">
        <v>39.257156372070313</v>
      </c>
      <c r="C710" s="3">
        <f t="shared" si="7"/>
        <v>-0.15461130792365996</v>
      </c>
    </row>
    <row r="711" spans="1:3" ht="13.2" x14ac:dyDescent="0.25">
      <c r="A711" s="6">
        <v>709</v>
      </c>
      <c r="B711" s="7">
        <v>39.393501281738281</v>
      </c>
      <c r="C711" s="3">
        <f t="shared" si="7"/>
        <v>-0.18868772546921705</v>
      </c>
    </row>
    <row r="712" spans="1:3" ht="13.2" x14ac:dyDescent="0.25">
      <c r="A712" s="6">
        <v>710</v>
      </c>
      <c r="B712" s="7">
        <v>39.344806671142578</v>
      </c>
      <c r="C712" s="3">
        <f t="shared" si="7"/>
        <v>-0.18211526258981139</v>
      </c>
    </row>
    <row r="713" spans="1:3" ht="13.2" x14ac:dyDescent="0.25">
      <c r="A713" s="6">
        <v>711</v>
      </c>
      <c r="B713" s="7">
        <v>40.007045745849609</v>
      </c>
      <c r="C713" s="3">
        <f t="shared" si="7"/>
        <v>-0.17833763711732431</v>
      </c>
    </row>
    <row r="714" spans="1:3" ht="13.2" x14ac:dyDescent="0.25">
      <c r="A714" s="6">
        <v>712</v>
      </c>
      <c r="B714" s="7">
        <v>38.867603302001953</v>
      </c>
      <c r="C714" s="3">
        <f t="shared" si="7"/>
        <v>-0.2070284467231702</v>
      </c>
    </row>
    <row r="715" spans="1:3" ht="13.2" x14ac:dyDescent="0.25">
      <c r="A715" s="6">
        <v>713</v>
      </c>
      <c r="B715" s="7">
        <v>38.867603302001953</v>
      </c>
      <c r="C715" s="3">
        <f t="shared" si="7"/>
        <v>-0.22078548674607362</v>
      </c>
    </row>
    <row r="716" spans="1:3" ht="13.2" x14ac:dyDescent="0.25">
      <c r="A716" s="6">
        <v>714</v>
      </c>
      <c r="B716" s="7">
        <v>38.692306518554688</v>
      </c>
      <c r="C716" s="3">
        <f t="shared" si="7"/>
        <v>-0.22871571810484165</v>
      </c>
    </row>
    <row r="717" spans="1:3" ht="13.2" x14ac:dyDescent="0.25">
      <c r="A717" s="6">
        <v>715</v>
      </c>
      <c r="B717" s="7">
        <v>38.838390350341797</v>
      </c>
      <c r="C717" s="3">
        <f t="shared" si="7"/>
        <v>-0.22093440967436961</v>
      </c>
    </row>
    <row r="718" spans="1:3" ht="13.2" x14ac:dyDescent="0.25">
      <c r="A718" s="6">
        <v>716</v>
      </c>
      <c r="B718" s="7">
        <v>38.546226501464844</v>
      </c>
      <c r="C718" s="3">
        <f t="shared" si="7"/>
        <v>-0.1966200029907392</v>
      </c>
    </row>
    <row r="719" spans="1:3" ht="13.2" x14ac:dyDescent="0.25">
      <c r="A719" s="6">
        <v>717</v>
      </c>
      <c r="B719" s="7">
        <v>38.838390350341797</v>
      </c>
      <c r="C719" s="3">
        <f t="shared" si="7"/>
        <v>-0.17695772353653294</v>
      </c>
    </row>
    <row r="720" spans="1:3" ht="13.2" x14ac:dyDescent="0.25">
      <c r="A720" s="6">
        <v>718</v>
      </c>
      <c r="B720" s="7">
        <v>38.955253601074219</v>
      </c>
      <c r="C720" s="3">
        <f t="shared" si="7"/>
        <v>-0.18419480577764646</v>
      </c>
    </row>
    <row r="721" spans="1:3" ht="13.2" x14ac:dyDescent="0.25">
      <c r="A721" s="6">
        <v>719</v>
      </c>
      <c r="B721" s="7">
        <v>39.364284515380859</v>
      </c>
      <c r="C721" s="3">
        <f t="shared" si="7"/>
        <v>-0.18758557081550475</v>
      </c>
    </row>
    <row r="722" spans="1:3" ht="13.2" x14ac:dyDescent="0.25">
      <c r="A722" s="6">
        <v>720</v>
      </c>
      <c r="B722" s="7">
        <v>39.763576507568359</v>
      </c>
      <c r="C722" s="3">
        <f t="shared" si="7"/>
        <v>-0.17974651313737031</v>
      </c>
    </row>
    <row r="723" spans="1:3" ht="13.2" x14ac:dyDescent="0.25">
      <c r="A723" s="6">
        <v>721</v>
      </c>
      <c r="B723" s="7">
        <v>40.532939910888672</v>
      </c>
      <c r="C723" s="3">
        <f t="shared" si="7"/>
        <v>-0.15709822868011356</v>
      </c>
    </row>
    <row r="724" spans="1:3" ht="13.2" x14ac:dyDescent="0.25">
      <c r="A724" s="6">
        <v>722</v>
      </c>
      <c r="B724" s="7">
        <v>41.906112670898438</v>
      </c>
      <c r="C724" s="3">
        <f t="shared" si="7"/>
        <v>-0.14732157235976248</v>
      </c>
    </row>
    <row r="725" spans="1:3" ht="13.2" x14ac:dyDescent="0.25">
      <c r="A725" s="6">
        <v>723</v>
      </c>
      <c r="B725" s="7">
        <v>41.984024047851563</v>
      </c>
      <c r="C725" s="3">
        <f t="shared" si="7"/>
        <v>-0.13922730161314886</v>
      </c>
    </row>
    <row r="726" spans="1:3" ht="13.2" x14ac:dyDescent="0.25">
      <c r="A726" s="6">
        <v>724</v>
      </c>
      <c r="B726" s="7">
        <v>42.169059753417969</v>
      </c>
      <c r="C726" s="3">
        <f t="shared" si="7"/>
        <v>-0.11588235282036204</v>
      </c>
    </row>
    <row r="727" spans="1:3" ht="13.2" x14ac:dyDescent="0.25">
      <c r="A727" s="6">
        <v>725</v>
      </c>
      <c r="B727" s="7">
        <v>42.607307434082031</v>
      </c>
      <c r="C727" s="3">
        <f t="shared" si="7"/>
        <v>-0.10080158881643453</v>
      </c>
    </row>
    <row r="728" spans="1:3" ht="13.2" x14ac:dyDescent="0.25">
      <c r="A728" s="6">
        <v>726</v>
      </c>
      <c r="B728" s="7">
        <v>41.623687744140625</v>
      </c>
      <c r="C728" s="3">
        <f t="shared" si="7"/>
        <v>-0.11000578496598479</v>
      </c>
    </row>
    <row r="729" spans="1:3" ht="13.2" x14ac:dyDescent="0.25">
      <c r="A729" s="6">
        <v>727</v>
      </c>
      <c r="B729" s="7">
        <v>42.110630035400391</v>
      </c>
      <c r="C729" s="3">
        <f t="shared" si="7"/>
        <v>-0.10942257775040222</v>
      </c>
    </row>
    <row r="730" spans="1:3" ht="13.2" x14ac:dyDescent="0.25">
      <c r="A730" s="6">
        <v>728</v>
      </c>
      <c r="B730" s="7">
        <v>42.548873901367188</v>
      </c>
      <c r="C730" s="3">
        <f t="shared" si="7"/>
        <v>-8.6133618165023088E-2</v>
      </c>
    </row>
    <row r="731" spans="1:3" ht="13.2" x14ac:dyDescent="0.25">
      <c r="A731" s="6">
        <v>729</v>
      </c>
      <c r="B731" s="7">
        <v>42.393051147460938</v>
      </c>
      <c r="C731" s="3">
        <f t="shared" si="7"/>
        <v>-6.5786922255996139E-2</v>
      </c>
    </row>
    <row r="732" spans="1:3" ht="13.2" x14ac:dyDescent="0.25">
      <c r="A732" s="6">
        <v>730</v>
      </c>
      <c r="B732" s="7">
        <v>42.724174499511719</v>
      </c>
      <c r="C732" s="3">
        <f t="shared" si="7"/>
        <v>-4.7410687192243457E-2</v>
      </c>
    </row>
    <row r="733" spans="1:3" ht="13.2" x14ac:dyDescent="0.25">
      <c r="A733" s="6">
        <v>731</v>
      </c>
      <c r="B733" s="7">
        <v>42.685218811035156</v>
      </c>
      <c r="C733" s="3">
        <f t="shared" si="7"/>
        <v>-5.5039412217940772E-2</v>
      </c>
    </row>
    <row r="734" spans="1:3" ht="13.2" x14ac:dyDescent="0.25">
      <c r="A734" s="6">
        <v>732</v>
      </c>
      <c r="B734" s="7">
        <v>44.253166198730469</v>
      </c>
      <c r="C734" s="3">
        <f t="shared" si="7"/>
        <v>-6.7990932414774318E-3</v>
      </c>
    </row>
    <row r="735" spans="1:3" ht="13.2" x14ac:dyDescent="0.25">
      <c r="A735" s="6">
        <v>733</v>
      </c>
      <c r="B735" s="7">
        <v>44.749847412109375</v>
      </c>
      <c r="C735" s="3">
        <f t="shared" si="7"/>
        <v>-3.259052568769836E-3</v>
      </c>
    </row>
    <row r="736" spans="1:3" ht="13.2" x14ac:dyDescent="0.25">
      <c r="A736" s="6">
        <v>734</v>
      </c>
      <c r="B736" s="7">
        <v>45.499736785888672</v>
      </c>
      <c r="C736" s="3">
        <f t="shared" si="7"/>
        <v>1.8142994288245517E-2</v>
      </c>
    </row>
    <row r="737" spans="1:3" ht="13.2" x14ac:dyDescent="0.25">
      <c r="A737" s="6">
        <v>735</v>
      </c>
      <c r="B737" s="7">
        <v>45.402347564697266</v>
      </c>
      <c r="C737" s="3">
        <f t="shared" si="7"/>
        <v>3.5589360295243393E-2</v>
      </c>
    </row>
    <row r="738" spans="1:3" ht="13.2" x14ac:dyDescent="0.25">
      <c r="A738" s="6">
        <v>736</v>
      </c>
      <c r="B738" s="7">
        <v>44.856975555419922</v>
      </c>
      <c r="C738" s="3">
        <f t="shared" si="7"/>
        <v>1.8626629258221401E-2</v>
      </c>
    </row>
    <row r="739" spans="1:3" ht="13.2" x14ac:dyDescent="0.25">
      <c r="A739" s="6">
        <v>737</v>
      </c>
      <c r="B739" s="7">
        <v>45.129657745361328</v>
      </c>
      <c r="C739" s="3">
        <f t="shared" si="7"/>
        <v>2.5350863118893022E-2</v>
      </c>
    </row>
    <row r="740" spans="1:3" ht="13.2" x14ac:dyDescent="0.25">
      <c r="A740" s="6">
        <v>738</v>
      </c>
      <c r="B740" s="7">
        <v>44.876453399658203</v>
      </c>
      <c r="C740" s="3">
        <f t="shared" si="7"/>
        <v>4.8464713927018246E-2</v>
      </c>
    </row>
    <row r="741" spans="1:3" ht="13.2" x14ac:dyDescent="0.25">
      <c r="A741" s="6">
        <v>739</v>
      </c>
      <c r="B741" s="7">
        <v>44.301864624023438</v>
      </c>
      <c r="C741" s="3">
        <f t="shared" si="7"/>
        <v>1.3500324065108916E-2</v>
      </c>
    </row>
    <row r="742" spans="1:3" ht="13.2" x14ac:dyDescent="0.25">
      <c r="A742" s="6">
        <v>740</v>
      </c>
      <c r="B742" s="7">
        <v>44.905670166015625</v>
      </c>
      <c r="C742" s="3">
        <f t="shared" si="7"/>
        <v>1.5738119977104306E-2</v>
      </c>
    </row>
    <row r="743" spans="1:3" ht="13.2" x14ac:dyDescent="0.25">
      <c r="A743" s="6">
        <v>741</v>
      </c>
      <c r="B743" s="7">
        <v>47.165073394775391</v>
      </c>
      <c r="C743" s="3">
        <f t="shared" si="7"/>
        <v>7.947508652540701E-2</v>
      </c>
    </row>
    <row r="744" spans="1:3" ht="13.2" x14ac:dyDescent="0.25">
      <c r="A744" s="6">
        <v>742</v>
      </c>
      <c r="B744" s="7">
        <v>48.022090911865234</v>
      </c>
      <c r="C744" s="3">
        <f t="shared" si="7"/>
        <v>0.13390813917562536</v>
      </c>
    </row>
    <row r="745" spans="1:3" ht="13.2" x14ac:dyDescent="0.25">
      <c r="A745" s="6">
        <v>743</v>
      </c>
      <c r="B745" s="7">
        <v>48.684329986572266</v>
      </c>
      <c r="C745" s="3">
        <f t="shared" si="7"/>
        <v>0.13768371117683881</v>
      </c>
    </row>
    <row r="746" spans="1:3" ht="13.2" x14ac:dyDescent="0.25">
      <c r="A746" s="6">
        <v>744</v>
      </c>
      <c r="B746" s="7">
        <v>49.804290771484375</v>
      </c>
      <c r="C746" s="3">
        <f t="shared" si="7"/>
        <v>0.12635016177904873</v>
      </c>
    </row>
    <row r="747" spans="1:3" ht="13.2" x14ac:dyDescent="0.25">
      <c r="A747" s="6">
        <v>745</v>
      </c>
      <c r="B747" s="7">
        <v>50.057498931884766</v>
      </c>
      <c r="C747" s="3">
        <f t="shared" si="7"/>
        <v>0.1448233520186446</v>
      </c>
    </row>
    <row r="748" spans="1:3" ht="13.2" x14ac:dyDescent="0.25">
      <c r="A748" s="6">
        <v>746</v>
      </c>
      <c r="B748" s="7">
        <v>49.852985382080078</v>
      </c>
      <c r="C748" s="3">
        <f t="shared" si="7"/>
        <v>0.17737198652585898</v>
      </c>
    </row>
    <row r="749" spans="1:3" ht="13.2" x14ac:dyDescent="0.25">
      <c r="A749" s="6">
        <v>747</v>
      </c>
      <c r="B749" s="7">
        <v>50.145153045654297</v>
      </c>
      <c r="C749" s="3">
        <f t="shared" si="7"/>
        <v>0.20825211062894494</v>
      </c>
    </row>
    <row r="750" spans="1:3" ht="13.2" x14ac:dyDescent="0.25">
      <c r="A750" s="6">
        <v>748</v>
      </c>
      <c r="B750" s="7">
        <v>51.596233367919922</v>
      </c>
      <c r="C750" s="3">
        <f t="shared" si="7"/>
        <v>0.22915440078078003</v>
      </c>
    </row>
    <row r="751" spans="1:3" ht="13.2" x14ac:dyDescent="0.25">
      <c r="A751" s="6">
        <v>749</v>
      </c>
      <c r="B751" s="7">
        <v>51.946830749511719</v>
      </c>
      <c r="C751" s="3">
        <f t="shared" si="7"/>
        <v>0.23806499147060406</v>
      </c>
    </row>
    <row r="752" spans="1:3" ht="13.2" x14ac:dyDescent="0.25">
      <c r="A752" s="6">
        <v>750</v>
      </c>
      <c r="B752" s="7">
        <v>52.131866455078125</v>
      </c>
      <c r="C752" s="3">
        <f t="shared" si="7"/>
        <v>0.26253243978063628</v>
      </c>
    </row>
    <row r="753" spans="1:3" ht="13.2" x14ac:dyDescent="0.25">
      <c r="A753" s="6">
        <v>751</v>
      </c>
      <c r="B753" s="7">
        <v>53.027835845947266</v>
      </c>
      <c r="C753" s="3">
        <f t="shared" si="7"/>
        <v>0.26151979989347857</v>
      </c>
    </row>
    <row r="754" spans="1:3" ht="13.2" x14ac:dyDescent="0.25">
      <c r="A754" s="6">
        <v>752</v>
      </c>
      <c r="B754" s="7">
        <v>52.248733520507813</v>
      </c>
      <c r="C754" s="3">
        <f t="shared" si="7"/>
        <v>0.22244477636427673</v>
      </c>
    </row>
    <row r="755" spans="1:3" ht="13.2" x14ac:dyDescent="0.25">
      <c r="A755" s="6">
        <v>753</v>
      </c>
      <c r="B755" s="7">
        <v>51.907875061035156</v>
      </c>
      <c r="C755" s="3">
        <f t="shared" si="7"/>
        <v>0.19151949423225545</v>
      </c>
    </row>
    <row r="756" spans="1:3" ht="13.2" x14ac:dyDescent="0.25">
      <c r="A756" s="6">
        <v>754</v>
      </c>
      <c r="B756" s="7">
        <v>50.291229248046875</v>
      </c>
      <c r="C756" s="3">
        <f t="shared" si="7"/>
        <v>0.1724555410242182</v>
      </c>
    </row>
    <row r="757" spans="1:3" ht="13.2" x14ac:dyDescent="0.25">
      <c r="A757" s="6">
        <v>755</v>
      </c>
      <c r="B757" s="7">
        <v>51.615711212158203</v>
      </c>
      <c r="C757" s="3">
        <f t="shared" si="7"/>
        <v>0.19477612800784827</v>
      </c>
    </row>
    <row r="758" spans="1:3" ht="13.2" x14ac:dyDescent="0.25">
      <c r="A758" s="6">
        <v>756</v>
      </c>
      <c r="B758" s="7">
        <v>51.615711212158203</v>
      </c>
      <c r="C758" s="3">
        <f t="shared" si="7"/>
        <v>0.1982207920954529</v>
      </c>
    </row>
    <row r="759" spans="1:3" ht="13.2" x14ac:dyDescent="0.25">
      <c r="A759" s="6">
        <v>757</v>
      </c>
      <c r="B759" s="7">
        <v>50.505485534667969</v>
      </c>
      <c r="C759" s="3">
        <f t="shared" si="7"/>
        <v>0.15937058725901962</v>
      </c>
    </row>
    <row r="760" spans="1:3" ht="13.2" x14ac:dyDescent="0.25">
      <c r="A760" s="6">
        <v>758</v>
      </c>
      <c r="B760" s="7">
        <v>50.12567138671875</v>
      </c>
      <c r="C760" s="3">
        <f t="shared" si="7"/>
        <v>0.16685977884140762</v>
      </c>
    </row>
    <row r="761" spans="1:3" ht="13.2" x14ac:dyDescent="0.25">
      <c r="A761" s="6">
        <v>759</v>
      </c>
      <c r="B761" s="7">
        <v>49.142047882080078</v>
      </c>
      <c r="C761" s="3">
        <f t="shared" si="7"/>
        <v>0.1534902753859316</v>
      </c>
    </row>
    <row r="762" spans="1:3" ht="13.2" x14ac:dyDescent="0.25">
      <c r="A762" s="6">
        <v>760</v>
      </c>
      <c r="B762" s="7">
        <v>50.271751403808594</v>
      </c>
      <c r="C762" s="3">
        <f t="shared" si="7"/>
        <v>0.17899498635261524</v>
      </c>
    </row>
    <row r="763" spans="1:3" ht="13.2" x14ac:dyDescent="0.25">
      <c r="A763" s="6">
        <v>761</v>
      </c>
      <c r="B763" s="7">
        <v>49.541343688964844</v>
      </c>
      <c r="C763" s="3">
        <f t="shared" si="7"/>
        <v>0.1720345596386065</v>
      </c>
    </row>
    <row r="764" spans="1:3" ht="13.2" x14ac:dyDescent="0.25">
      <c r="A764" s="6">
        <v>762</v>
      </c>
      <c r="B764" s="7">
        <v>49.073879241943359</v>
      </c>
      <c r="C764" s="3">
        <f t="shared" si="7"/>
        <v>0.16559372850384629</v>
      </c>
    </row>
    <row r="765" spans="1:3" ht="13.2" x14ac:dyDescent="0.25">
      <c r="A765" s="6">
        <v>763</v>
      </c>
      <c r="B765" s="7">
        <v>50.106193542480469</v>
      </c>
      <c r="C765" s="3">
        <f t="shared" si="7"/>
        <v>0.19937573800500355</v>
      </c>
    </row>
    <row r="766" spans="1:3" ht="13.2" x14ac:dyDescent="0.25">
      <c r="A766" s="6">
        <v>764</v>
      </c>
      <c r="B766" s="7">
        <v>49.891941070556641</v>
      </c>
      <c r="C766" s="3">
        <f t="shared" si="7"/>
        <v>0.19532788079332933</v>
      </c>
    </row>
    <row r="767" spans="1:3" ht="13.2" x14ac:dyDescent="0.25">
      <c r="A767" s="6">
        <v>765</v>
      </c>
      <c r="B767" s="7">
        <v>49.658210754394531</v>
      </c>
      <c r="C767" s="3">
        <f t="shared" ref="C767:C830" si="8">LN(B767/B515)</f>
        <v>0.17252472525323567</v>
      </c>
    </row>
    <row r="768" spans="1:3" ht="13.2" x14ac:dyDescent="0.25">
      <c r="A768" s="6">
        <v>766</v>
      </c>
      <c r="B768" s="7">
        <v>49.745857238769531</v>
      </c>
      <c r="C768" s="3">
        <f t="shared" si="8"/>
        <v>0.17056623157446346</v>
      </c>
    </row>
    <row r="769" spans="1:3" ht="13.2" x14ac:dyDescent="0.25">
      <c r="A769" s="6">
        <v>767</v>
      </c>
      <c r="B769" s="7">
        <v>49.784812927246094</v>
      </c>
      <c r="C769" s="3">
        <f t="shared" si="8"/>
        <v>0.17227827279896132</v>
      </c>
    </row>
    <row r="770" spans="1:3" ht="13.2" x14ac:dyDescent="0.25">
      <c r="A770" s="6">
        <v>768</v>
      </c>
      <c r="B770" s="7">
        <v>49.775077819824219</v>
      </c>
      <c r="C770" s="3">
        <f t="shared" si="8"/>
        <v>0.16744550633038627</v>
      </c>
    </row>
    <row r="771" spans="1:3" ht="13.2" x14ac:dyDescent="0.25">
      <c r="A771" s="6">
        <v>769</v>
      </c>
      <c r="B771" s="7">
        <v>51.498844146728516</v>
      </c>
      <c r="C771" s="3">
        <f t="shared" si="8"/>
        <v>0.16492459370518084</v>
      </c>
    </row>
    <row r="772" spans="1:3" ht="13.2" x14ac:dyDescent="0.25">
      <c r="A772" s="6">
        <v>770</v>
      </c>
      <c r="B772" s="7">
        <v>54.089366912841797</v>
      </c>
      <c r="C772" s="3">
        <f t="shared" si="8"/>
        <v>0.24342336792165339</v>
      </c>
    </row>
    <row r="773" spans="1:3" ht="13.2" x14ac:dyDescent="0.25">
      <c r="A773" s="6">
        <v>771</v>
      </c>
      <c r="B773" s="7">
        <v>55.988437652587891</v>
      </c>
      <c r="C773" s="3">
        <f t="shared" si="8"/>
        <v>0.3110884110013673</v>
      </c>
    </row>
    <row r="774" spans="1:3" ht="13.2" x14ac:dyDescent="0.25">
      <c r="A774" s="6">
        <v>772</v>
      </c>
      <c r="B774" s="7">
        <v>55.861835479736328</v>
      </c>
      <c r="C774" s="3">
        <f t="shared" si="8"/>
        <v>0.36875208713494934</v>
      </c>
    </row>
    <row r="775" spans="1:3" ht="13.2" x14ac:dyDescent="0.25">
      <c r="A775" s="6">
        <v>773</v>
      </c>
      <c r="B775" s="7">
        <v>56.524074554443359</v>
      </c>
      <c r="C775" s="3">
        <f t="shared" si="8"/>
        <v>0.36975619148534711</v>
      </c>
    </row>
    <row r="776" spans="1:3" ht="13.2" x14ac:dyDescent="0.25">
      <c r="A776" s="6">
        <v>774</v>
      </c>
      <c r="B776" s="7">
        <v>57.049968719482422</v>
      </c>
      <c r="C776" s="3">
        <f t="shared" si="8"/>
        <v>0.36073130717150265</v>
      </c>
    </row>
    <row r="777" spans="1:3" ht="13.2" x14ac:dyDescent="0.25">
      <c r="A777" s="6">
        <v>775</v>
      </c>
      <c r="B777" s="7">
        <v>56.728588104248047</v>
      </c>
      <c r="C777" s="3">
        <f t="shared" si="8"/>
        <v>0.42979297964772262</v>
      </c>
    </row>
    <row r="778" spans="1:3" ht="13.2" x14ac:dyDescent="0.25">
      <c r="A778" s="6">
        <v>776</v>
      </c>
      <c r="B778" s="7">
        <v>57.741424560546875</v>
      </c>
      <c r="C778" s="3">
        <f t="shared" si="8"/>
        <v>0.4385584671903458</v>
      </c>
    </row>
    <row r="779" spans="1:3" ht="13.2" x14ac:dyDescent="0.25">
      <c r="A779" s="6">
        <v>777</v>
      </c>
      <c r="B779" s="7">
        <v>58.277061462402344</v>
      </c>
      <c r="C779" s="3">
        <f t="shared" si="8"/>
        <v>0.4441379416658755</v>
      </c>
    </row>
    <row r="780" spans="1:3" ht="13.2" x14ac:dyDescent="0.25">
      <c r="A780" s="6">
        <v>778</v>
      </c>
      <c r="B780" s="7">
        <v>58.325752258300781</v>
      </c>
      <c r="C780" s="3">
        <f t="shared" si="8"/>
        <v>0.45571312940079572</v>
      </c>
    </row>
    <row r="781" spans="1:3" ht="13.2" x14ac:dyDescent="0.25">
      <c r="A781" s="6">
        <v>779</v>
      </c>
      <c r="B781" s="7">
        <v>58.15045166015625</v>
      </c>
      <c r="C781" s="3">
        <f t="shared" si="8"/>
        <v>0.45243982902790952</v>
      </c>
    </row>
    <row r="782" spans="1:3" ht="13.2" x14ac:dyDescent="0.25">
      <c r="A782" s="6">
        <v>780</v>
      </c>
      <c r="B782" s="7">
        <v>56.679897308349609</v>
      </c>
      <c r="C782" s="3">
        <f t="shared" si="8"/>
        <v>0.40985622692884793</v>
      </c>
    </row>
    <row r="783" spans="1:3" ht="13.2" x14ac:dyDescent="0.25">
      <c r="A783" s="6">
        <v>781</v>
      </c>
      <c r="B783" s="7">
        <v>55.939743041992188</v>
      </c>
      <c r="C783" s="3">
        <f t="shared" si="8"/>
        <v>0.36286196194913334</v>
      </c>
    </row>
    <row r="784" spans="1:3" ht="13.2" x14ac:dyDescent="0.25">
      <c r="A784" s="6">
        <v>782</v>
      </c>
      <c r="B784" s="7">
        <v>56.085826873779297</v>
      </c>
      <c r="C784" s="3">
        <f t="shared" si="8"/>
        <v>0.35352962856762921</v>
      </c>
    </row>
    <row r="785" spans="1:3" ht="13.2" x14ac:dyDescent="0.25">
      <c r="A785" s="6">
        <v>783</v>
      </c>
      <c r="B785" s="7">
        <v>54.673694610595703</v>
      </c>
      <c r="C785" s="3">
        <f t="shared" si="8"/>
        <v>0.34826209927629104</v>
      </c>
    </row>
    <row r="786" spans="1:3" ht="13.2" x14ac:dyDescent="0.25">
      <c r="A786" s="6">
        <v>784</v>
      </c>
      <c r="B786" s="7">
        <v>55.219070434570313</v>
      </c>
      <c r="C786" s="3">
        <f t="shared" si="8"/>
        <v>0.38348616084069154</v>
      </c>
    </row>
    <row r="787" spans="1:3" ht="13.2" x14ac:dyDescent="0.25">
      <c r="A787" s="6">
        <v>785</v>
      </c>
      <c r="B787" s="7">
        <v>54.29388427734375</v>
      </c>
      <c r="C787" s="3">
        <f t="shared" si="8"/>
        <v>0.38118824106389831</v>
      </c>
    </row>
    <row r="788" spans="1:3" ht="13.2" x14ac:dyDescent="0.25">
      <c r="A788" s="6">
        <v>786</v>
      </c>
      <c r="B788" s="7">
        <v>55.3359375</v>
      </c>
      <c r="C788" s="3">
        <f t="shared" si="8"/>
        <v>0.41022823139384756</v>
      </c>
    </row>
    <row r="789" spans="1:3" ht="13.2" x14ac:dyDescent="0.25">
      <c r="A789" s="6">
        <v>787</v>
      </c>
      <c r="B789" s="7">
        <v>55.014560699462891</v>
      </c>
      <c r="C789" s="3">
        <f t="shared" si="8"/>
        <v>0.4337422370850727</v>
      </c>
    </row>
    <row r="790" spans="1:3" ht="13.2" x14ac:dyDescent="0.25">
      <c r="A790" s="6">
        <v>788</v>
      </c>
      <c r="B790" s="7">
        <v>56.77728271484375</v>
      </c>
      <c r="C790" s="3">
        <f t="shared" si="8"/>
        <v>0.46091972382142082</v>
      </c>
    </row>
    <row r="791" spans="1:3" ht="13.2" x14ac:dyDescent="0.25">
      <c r="A791" s="6">
        <v>789</v>
      </c>
      <c r="B791" s="7">
        <v>56.231910705566406</v>
      </c>
      <c r="C791" s="3">
        <f t="shared" si="8"/>
        <v>0.44017923376134138</v>
      </c>
    </row>
    <row r="792" spans="1:3" ht="13.2" x14ac:dyDescent="0.25">
      <c r="A792" s="6">
        <v>790</v>
      </c>
      <c r="B792" s="7">
        <v>56.592243194580078</v>
      </c>
      <c r="C792" s="3">
        <f t="shared" si="8"/>
        <v>0.42002594092162521</v>
      </c>
    </row>
    <row r="793" spans="1:3" ht="13.2" x14ac:dyDescent="0.25">
      <c r="A793" s="6">
        <v>791</v>
      </c>
      <c r="B793" s="7">
        <v>57.26422119140625</v>
      </c>
      <c r="C793" s="3">
        <f t="shared" si="8"/>
        <v>0.4599859409567103</v>
      </c>
    </row>
    <row r="794" spans="1:3" ht="13.2" x14ac:dyDescent="0.25">
      <c r="A794" s="6">
        <v>792</v>
      </c>
      <c r="B794" s="7">
        <v>55.998176574707031</v>
      </c>
      <c r="C794" s="3">
        <f t="shared" si="8"/>
        <v>0.45914103477969415</v>
      </c>
    </row>
    <row r="795" spans="1:3" ht="13.2" x14ac:dyDescent="0.25">
      <c r="A795" s="6">
        <v>793</v>
      </c>
      <c r="B795" s="7">
        <v>56.485115051269531</v>
      </c>
      <c r="C795" s="3">
        <f t="shared" si="8"/>
        <v>0.4716602186158449</v>
      </c>
    </row>
    <row r="796" spans="1:3" ht="13.2" x14ac:dyDescent="0.25">
      <c r="A796" s="6">
        <v>794</v>
      </c>
      <c r="B796" s="7">
        <v>57.322654724121094</v>
      </c>
      <c r="C796" s="3">
        <f t="shared" si="8"/>
        <v>0.47265753414795297</v>
      </c>
    </row>
    <row r="797" spans="1:3" ht="13.2" x14ac:dyDescent="0.25">
      <c r="A797" s="6">
        <v>795</v>
      </c>
      <c r="B797" s="7">
        <v>57.118141174316406</v>
      </c>
      <c r="C797" s="3">
        <f t="shared" si="8"/>
        <v>0.46283415209676171</v>
      </c>
    </row>
    <row r="798" spans="1:3" ht="13.2" x14ac:dyDescent="0.25">
      <c r="A798" s="6">
        <v>796</v>
      </c>
      <c r="B798" s="7">
        <v>56.660415649414063</v>
      </c>
      <c r="C798" s="3">
        <f t="shared" si="8"/>
        <v>0.43760198133992079</v>
      </c>
    </row>
    <row r="799" spans="1:3" ht="13.2" x14ac:dyDescent="0.25">
      <c r="A799" s="6">
        <v>797</v>
      </c>
      <c r="B799" s="7">
        <v>56.533809661865234</v>
      </c>
      <c r="C799" s="3">
        <f t="shared" si="8"/>
        <v>0.410646457210678</v>
      </c>
    </row>
    <row r="800" spans="1:3" ht="13.2" x14ac:dyDescent="0.25">
      <c r="A800" s="6">
        <v>798</v>
      </c>
      <c r="B800" s="7">
        <v>55.355415344238281</v>
      </c>
      <c r="C800" s="3">
        <f t="shared" si="8"/>
        <v>0.38310960387580656</v>
      </c>
    </row>
    <row r="801" spans="1:3" ht="13.2" x14ac:dyDescent="0.25">
      <c r="A801" s="6">
        <v>799</v>
      </c>
      <c r="B801" s="7">
        <v>54.537353515625</v>
      </c>
      <c r="C801" s="3">
        <f t="shared" si="8"/>
        <v>0.36899536473904326</v>
      </c>
    </row>
    <row r="802" spans="1:3" ht="13.2" x14ac:dyDescent="0.25">
      <c r="A802" s="6">
        <v>800</v>
      </c>
      <c r="B802" s="7">
        <v>54.508140563964844</v>
      </c>
      <c r="C802" s="3">
        <f t="shared" si="8"/>
        <v>0.38644061026197946</v>
      </c>
    </row>
    <row r="803" spans="1:3" ht="13.2" x14ac:dyDescent="0.25">
      <c r="A803" s="6">
        <v>801</v>
      </c>
      <c r="B803" s="7">
        <v>54.800304412841797</v>
      </c>
      <c r="C803" s="3">
        <f t="shared" si="8"/>
        <v>0.39600232454472356</v>
      </c>
    </row>
    <row r="804" spans="1:3" ht="13.2" x14ac:dyDescent="0.25">
      <c r="A804" s="6">
        <v>802</v>
      </c>
      <c r="B804" s="7">
        <v>55.608619689941406</v>
      </c>
      <c r="C804" s="3">
        <f t="shared" si="8"/>
        <v>0.38355275360891128</v>
      </c>
    </row>
    <row r="805" spans="1:3" ht="13.2" x14ac:dyDescent="0.25">
      <c r="A805" s="6">
        <v>803</v>
      </c>
      <c r="B805" s="7">
        <v>56.222171783447266</v>
      </c>
      <c r="C805" s="3">
        <f t="shared" si="8"/>
        <v>0.41058822663753852</v>
      </c>
    </row>
    <row r="806" spans="1:3" ht="13.2" x14ac:dyDescent="0.25">
      <c r="A806" s="6">
        <v>804</v>
      </c>
      <c r="B806" s="7">
        <v>57.020751953125</v>
      </c>
      <c r="C806" s="3">
        <f t="shared" si="8"/>
        <v>0.41714707847375421</v>
      </c>
    </row>
    <row r="807" spans="1:3" ht="13.2" x14ac:dyDescent="0.25">
      <c r="A807" s="6">
        <v>805</v>
      </c>
      <c r="B807" s="7">
        <v>57.429782867431641</v>
      </c>
      <c r="C807" s="3">
        <f t="shared" si="8"/>
        <v>0.40860726291948918</v>
      </c>
    </row>
    <row r="808" spans="1:3" ht="13.2" x14ac:dyDescent="0.25">
      <c r="A808" s="6">
        <v>806</v>
      </c>
      <c r="B808" s="7">
        <v>56.757804870605469</v>
      </c>
      <c r="C808" s="3">
        <f t="shared" si="8"/>
        <v>0.38491586176024051</v>
      </c>
    </row>
    <row r="809" spans="1:3" ht="13.2" x14ac:dyDescent="0.25">
      <c r="A809" s="6">
        <v>807</v>
      </c>
      <c r="B809" s="7">
        <v>56.261123657226563</v>
      </c>
      <c r="C809" s="3">
        <f t="shared" si="8"/>
        <v>0.34729739596952164</v>
      </c>
    </row>
    <row r="810" spans="1:3" ht="13.2" x14ac:dyDescent="0.25">
      <c r="A810" s="6">
        <v>808</v>
      </c>
      <c r="B810" s="7">
        <v>55.141159057617188</v>
      </c>
      <c r="C810" s="3">
        <f t="shared" si="8"/>
        <v>0.35627118877511021</v>
      </c>
    </row>
    <row r="811" spans="1:3" ht="13.2" x14ac:dyDescent="0.25">
      <c r="A811" s="6">
        <v>809</v>
      </c>
      <c r="B811" s="7">
        <v>55.783920288085938</v>
      </c>
      <c r="C811" s="3">
        <f t="shared" si="8"/>
        <v>0.3496168502920447</v>
      </c>
    </row>
    <row r="812" spans="1:3" ht="13.2" x14ac:dyDescent="0.25">
      <c r="A812" s="6">
        <v>810</v>
      </c>
      <c r="B812" s="7">
        <v>56.894142150878906</v>
      </c>
      <c r="C812" s="3">
        <f t="shared" si="8"/>
        <v>0.33619829838340776</v>
      </c>
    </row>
    <row r="813" spans="1:3" ht="13.2" x14ac:dyDescent="0.25">
      <c r="A813" s="6">
        <v>811</v>
      </c>
      <c r="B813" s="7">
        <v>57.332393646240234</v>
      </c>
      <c r="C813" s="3">
        <f t="shared" si="8"/>
        <v>0.36640442934086992</v>
      </c>
    </row>
    <row r="814" spans="1:3" ht="13.2" x14ac:dyDescent="0.25">
      <c r="A814" s="6">
        <v>812</v>
      </c>
      <c r="B814" s="7">
        <v>56.972057342529297</v>
      </c>
      <c r="C814" s="3">
        <f t="shared" si="8"/>
        <v>0.38616542142125387</v>
      </c>
    </row>
    <row r="815" spans="1:3" ht="13.2" x14ac:dyDescent="0.25">
      <c r="A815" s="6">
        <v>813</v>
      </c>
      <c r="B815" s="7">
        <v>57.030490875244141</v>
      </c>
      <c r="C815" s="3">
        <f t="shared" si="8"/>
        <v>0.40418524236329284</v>
      </c>
    </row>
    <row r="816" spans="1:3" ht="13.2" x14ac:dyDescent="0.25">
      <c r="A816" s="6">
        <v>814</v>
      </c>
      <c r="B816" s="7">
        <v>59.319110870361328</v>
      </c>
      <c r="C816" s="3">
        <f t="shared" si="8"/>
        <v>0.45252463937429682</v>
      </c>
    </row>
    <row r="817" spans="1:3" ht="13.2" x14ac:dyDescent="0.25">
      <c r="A817" s="6">
        <v>815</v>
      </c>
      <c r="B817" s="7">
        <v>61.091575622558594</v>
      </c>
      <c r="C817" s="3">
        <f t="shared" si="8"/>
        <v>0.48119308779132663</v>
      </c>
    </row>
    <row r="818" spans="1:3" ht="13.2" x14ac:dyDescent="0.25">
      <c r="A818" s="6">
        <v>816</v>
      </c>
      <c r="B818" s="7">
        <v>61.549301147460938</v>
      </c>
      <c r="C818" s="3">
        <f t="shared" si="8"/>
        <v>0.48402553551916716</v>
      </c>
    </row>
    <row r="819" spans="1:3" ht="13.2" x14ac:dyDescent="0.25">
      <c r="A819" s="6">
        <v>817</v>
      </c>
      <c r="B819" s="7">
        <v>64.276168823242188</v>
      </c>
      <c r="C819" s="3">
        <f t="shared" si="8"/>
        <v>0.54786682378017171</v>
      </c>
    </row>
    <row r="820" spans="1:3" ht="13.2" x14ac:dyDescent="0.25">
      <c r="A820" s="6">
        <v>818</v>
      </c>
      <c r="B820" s="7">
        <v>62.786128997802734</v>
      </c>
      <c r="C820" s="3">
        <f t="shared" si="8"/>
        <v>0.49548450519450687</v>
      </c>
    </row>
    <row r="821" spans="1:3" ht="13.2" x14ac:dyDescent="0.25">
      <c r="A821" s="6">
        <v>819</v>
      </c>
      <c r="B821" s="7">
        <v>59.796318054199219</v>
      </c>
      <c r="C821" s="3">
        <f t="shared" si="8"/>
        <v>0.46805124489019007</v>
      </c>
    </row>
    <row r="822" spans="1:3" ht="13.2" x14ac:dyDescent="0.25">
      <c r="A822" s="6">
        <v>820</v>
      </c>
      <c r="B822" s="7">
        <v>57.566123962402344</v>
      </c>
      <c r="C822" s="3">
        <f t="shared" si="8"/>
        <v>0.44234045197217858</v>
      </c>
    </row>
    <row r="823" spans="1:3" ht="13.2" x14ac:dyDescent="0.25">
      <c r="A823" s="6">
        <v>821</v>
      </c>
      <c r="B823" s="7">
        <v>57.235008239746094</v>
      </c>
      <c r="C823" s="3">
        <f t="shared" si="8"/>
        <v>0.45517464277798919</v>
      </c>
    </row>
    <row r="824" spans="1:3" ht="13.2" x14ac:dyDescent="0.25">
      <c r="A824" s="6">
        <v>822</v>
      </c>
      <c r="B824" s="7">
        <v>58.734786987304688</v>
      </c>
      <c r="C824" s="3">
        <f t="shared" si="8"/>
        <v>0.49400015244226392</v>
      </c>
    </row>
    <row r="825" spans="1:3" ht="13.2" x14ac:dyDescent="0.25">
      <c r="A825" s="6">
        <v>823</v>
      </c>
      <c r="B825" s="7">
        <v>59.085376739501953</v>
      </c>
      <c r="C825" s="3">
        <f t="shared" si="8"/>
        <v>0.50403579485481242</v>
      </c>
    </row>
    <row r="826" spans="1:3" ht="13.2" x14ac:dyDescent="0.25">
      <c r="A826" s="6">
        <v>824</v>
      </c>
      <c r="B826" s="7">
        <v>58.442619323730469</v>
      </c>
      <c r="C826" s="3">
        <f t="shared" si="8"/>
        <v>0.48847004775885505</v>
      </c>
    </row>
    <row r="827" spans="1:3" ht="13.2" x14ac:dyDescent="0.25">
      <c r="A827" s="6">
        <v>825</v>
      </c>
      <c r="B827" s="7">
        <v>58.325752258300781</v>
      </c>
      <c r="C827" s="3">
        <f t="shared" si="8"/>
        <v>0.45150818575171264</v>
      </c>
    </row>
    <row r="828" spans="1:3" ht="13.2" x14ac:dyDescent="0.25">
      <c r="A828" s="6">
        <v>826</v>
      </c>
      <c r="B828" s="7">
        <v>57.371349334716797</v>
      </c>
      <c r="C828" s="3">
        <f t="shared" si="8"/>
        <v>0.45460750064009187</v>
      </c>
    </row>
    <row r="829" spans="1:3" ht="13.2" x14ac:dyDescent="0.25">
      <c r="A829" s="6">
        <v>827</v>
      </c>
      <c r="B829" s="7">
        <v>58.432880401611328</v>
      </c>
      <c r="C829" s="3">
        <f t="shared" si="8"/>
        <v>0.47669260030893024</v>
      </c>
    </row>
    <row r="830" spans="1:3" ht="13.2" x14ac:dyDescent="0.25">
      <c r="A830" s="6">
        <v>828</v>
      </c>
      <c r="B830" s="7">
        <v>58.997730255126953</v>
      </c>
      <c r="C830" s="3">
        <f t="shared" si="8"/>
        <v>0.50200596029115963</v>
      </c>
    </row>
    <row r="831" spans="1:3" ht="13.2" x14ac:dyDescent="0.25">
      <c r="A831" s="6">
        <v>829</v>
      </c>
      <c r="B831" s="7">
        <v>58.647136688232422</v>
      </c>
      <c r="C831" s="3">
        <f t="shared" ref="C831:C894" si="9">LN(B831/B579)</f>
        <v>0.49904979625153673</v>
      </c>
    </row>
    <row r="832" spans="1:3" ht="13.2" x14ac:dyDescent="0.25">
      <c r="A832" s="6">
        <v>830</v>
      </c>
      <c r="B832" s="7">
        <v>58.335491180419922</v>
      </c>
      <c r="C832" s="3">
        <f t="shared" si="9"/>
        <v>0.49948232587764946</v>
      </c>
    </row>
    <row r="833" spans="1:3" ht="13.2" x14ac:dyDescent="0.25">
      <c r="A833" s="6">
        <v>831</v>
      </c>
      <c r="B833" s="7">
        <v>58.471836090087891</v>
      </c>
      <c r="C833" s="3">
        <f t="shared" si="9"/>
        <v>0.47227139356098802</v>
      </c>
    </row>
    <row r="834" spans="1:3" ht="13.2" x14ac:dyDescent="0.25">
      <c r="A834" s="6">
        <v>832</v>
      </c>
      <c r="B834" s="7">
        <v>58.725044250488281</v>
      </c>
      <c r="C834" s="3">
        <f t="shared" si="9"/>
        <v>0.47792874650196376</v>
      </c>
    </row>
    <row r="835" spans="1:3" ht="13.2" x14ac:dyDescent="0.25">
      <c r="A835" s="6">
        <v>833</v>
      </c>
      <c r="B835" s="7">
        <v>58.637393951416016</v>
      </c>
      <c r="C835" s="3">
        <f t="shared" si="9"/>
        <v>0.47483174337186251</v>
      </c>
    </row>
    <row r="836" spans="1:3" ht="13.2" x14ac:dyDescent="0.25">
      <c r="A836" s="6">
        <v>834</v>
      </c>
      <c r="B836" s="7">
        <v>58.871124267578125</v>
      </c>
      <c r="C836" s="3">
        <f t="shared" si="9"/>
        <v>0.47454664260246521</v>
      </c>
    </row>
    <row r="837" spans="1:3" ht="13.2" x14ac:dyDescent="0.25">
      <c r="A837" s="6">
        <v>835</v>
      </c>
      <c r="B837" s="7">
        <v>58.763999938964844</v>
      </c>
      <c r="C837" s="3">
        <f t="shared" si="9"/>
        <v>0.48772692305819776</v>
      </c>
    </row>
    <row r="838" spans="1:3" ht="13.2" x14ac:dyDescent="0.25">
      <c r="A838" s="6">
        <v>836</v>
      </c>
      <c r="B838" s="7">
        <v>59.221725463867188</v>
      </c>
      <c r="C838" s="3">
        <f t="shared" si="9"/>
        <v>0.47915581535714569</v>
      </c>
    </row>
    <row r="839" spans="1:3" ht="13.2" x14ac:dyDescent="0.25">
      <c r="A839" s="6">
        <v>837</v>
      </c>
      <c r="B839" s="7">
        <v>58.617916107177734</v>
      </c>
      <c r="C839" s="3">
        <f t="shared" si="9"/>
        <v>0.44037549678210919</v>
      </c>
    </row>
    <row r="840" spans="1:3" ht="13.2" x14ac:dyDescent="0.25">
      <c r="A840" s="6">
        <v>838</v>
      </c>
      <c r="B840" s="7">
        <v>58.432880401611328</v>
      </c>
      <c r="C840" s="3">
        <f t="shared" si="9"/>
        <v>0.44212900146223577</v>
      </c>
    </row>
    <row r="841" spans="1:3" ht="13.2" x14ac:dyDescent="0.25">
      <c r="A841" s="6">
        <v>839</v>
      </c>
      <c r="B841" s="7">
        <v>58.822433471679688</v>
      </c>
      <c r="C841" s="3">
        <f t="shared" si="9"/>
        <v>0.44489111669590431</v>
      </c>
    </row>
    <row r="842" spans="1:3" ht="13.2" x14ac:dyDescent="0.25">
      <c r="A842" s="6">
        <v>840</v>
      </c>
      <c r="B842" s="7">
        <v>58.296535491943359</v>
      </c>
      <c r="C842" s="3">
        <f t="shared" si="9"/>
        <v>0.4423897757730858</v>
      </c>
    </row>
    <row r="843" spans="1:3" ht="13.2" x14ac:dyDescent="0.25">
      <c r="A843" s="6">
        <v>841</v>
      </c>
      <c r="B843" s="7">
        <v>58.939296722412109</v>
      </c>
      <c r="C843" s="3">
        <f t="shared" si="9"/>
        <v>0.44687585806989916</v>
      </c>
    </row>
    <row r="844" spans="1:3" ht="13.2" x14ac:dyDescent="0.25">
      <c r="A844" s="6">
        <v>842</v>
      </c>
      <c r="B844" s="7">
        <v>60.0787353515625</v>
      </c>
      <c r="C844" s="3">
        <f t="shared" si="9"/>
        <v>0.47719429378773304</v>
      </c>
    </row>
    <row r="845" spans="1:3" ht="13.2" x14ac:dyDescent="0.25">
      <c r="A845" s="6">
        <v>843</v>
      </c>
      <c r="B845" s="7">
        <v>60.585155487060547</v>
      </c>
      <c r="C845" s="3">
        <f t="shared" si="9"/>
        <v>0.48506590459047372</v>
      </c>
    </row>
    <row r="846" spans="1:3" ht="13.2" x14ac:dyDescent="0.25">
      <c r="A846" s="6">
        <v>844</v>
      </c>
      <c r="B846" s="7">
        <v>60.400123596191406</v>
      </c>
      <c r="C846" s="3">
        <f t="shared" si="9"/>
        <v>0.5290493956318949</v>
      </c>
    </row>
    <row r="847" spans="1:3" ht="13.2" x14ac:dyDescent="0.25">
      <c r="A847" s="6">
        <v>845</v>
      </c>
      <c r="B847" s="7">
        <v>62.386837005615234</v>
      </c>
      <c r="C847" s="3">
        <f t="shared" si="9"/>
        <v>0.56690110143789985</v>
      </c>
    </row>
    <row r="848" spans="1:3" ht="13.2" x14ac:dyDescent="0.25">
      <c r="A848" s="6">
        <v>846</v>
      </c>
      <c r="B848" s="7">
        <v>62.5621337890625</v>
      </c>
      <c r="C848" s="3">
        <f t="shared" si="9"/>
        <v>0.60556503139597462</v>
      </c>
    </row>
    <row r="849" spans="1:3" ht="13.2" x14ac:dyDescent="0.25">
      <c r="A849" s="6">
        <v>847</v>
      </c>
      <c r="B849" s="7">
        <v>61.744075775146484</v>
      </c>
      <c r="C849" s="3">
        <f t="shared" si="9"/>
        <v>0.5751538803109193</v>
      </c>
    </row>
    <row r="850" spans="1:3" ht="13.2" x14ac:dyDescent="0.25">
      <c r="A850" s="6">
        <v>848</v>
      </c>
      <c r="B850" s="7">
        <v>61.685646057128906</v>
      </c>
      <c r="C850" s="3">
        <f t="shared" si="9"/>
        <v>0.56805844591720522</v>
      </c>
    </row>
    <row r="851" spans="1:3" ht="13.2" x14ac:dyDescent="0.25">
      <c r="A851" s="6">
        <v>849</v>
      </c>
      <c r="B851" s="7">
        <v>61.763553619384766</v>
      </c>
      <c r="C851" s="3">
        <f t="shared" si="9"/>
        <v>0.58250273757798887</v>
      </c>
    </row>
    <row r="852" spans="1:3" ht="13.2" x14ac:dyDescent="0.25">
      <c r="A852" s="6">
        <v>850</v>
      </c>
      <c r="B852" s="7">
        <v>61.938850402832031</v>
      </c>
      <c r="C852" s="3">
        <f t="shared" si="9"/>
        <v>0.56493647318635576</v>
      </c>
    </row>
    <row r="853" spans="1:3" ht="13.2" x14ac:dyDescent="0.25">
      <c r="A853" s="6">
        <v>851</v>
      </c>
      <c r="B853" s="7">
        <v>61.34478759765625</v>
      </c>
      <c r="C853" s="3">
        <f t="shared" si="9"/>
        <v>0.54593776599042443</v>
      </c>
    </row>
    <row r="854" spans="1:3" ht="13.2" x14ac:dyDescent="0.25">
      <c r="A854" s="6">
        <v>852</v>
      </c>
      <c r="B854" s="7">
        <v>61.705123901367188</v>
      </c>
      <c r="C854" s="3">
        <f t="shared" si="9"/>
        <v>0.55042521726495686</v>
      </c>
    </row>
    <row r="855" spans="1:3" ht="13.2" x14ac:dyDescent="0.25">
      <c r="A855" s="6">
        <v>853</v>
      </c>
      <c r="B855" s="7">
        <v>62.532920837402344</v>
      </c>
      <c r="C855" s="3">
        <f t="shared" si="9"/>
        <v>0.551781800050271</v>
      </c>
    </row>
    <row r="856" spans="1:3" ht="13.2" x14ac:dyDescent="0.25">
      <c r="A856" s="6">
        <v>854</v>
      </c>
      <c r="B856" s="7">
        <v>61.929115295410156</v>
      </c>
      <c r="C856" s="3">
        <f t="shared" si="9"/>
        <v>0.54641507043637383</v>
      </c>
    </row>
    <row r="857" spans="1:3" ht="13.2" x14ac:dyDescent="0.25">
      <c r="A857" s="6">
        <v>855</v>
      </c>
      <c r="B857" s="7">
        <v>62.240756988525391</v>
      </c>
      <c r="C857" s="3">
        <f t="shared" si="9"/>
        <v>0.56924590563662936</v>
      </c>
    </row>
    <row r="858" spans="1:3" ht="13.2" x14ac:dyDescent="0.25">
      <c r="A858" s="6">
        <v>856</v>
      </c>
      <c r="B858" s="7">
        <v>61.656429290771484</v>
      </c>
      <c r="C858" s="3">
        <f t="shared" si="9"/>
        <v>0.59469731296437711</v>
      </c>
    </row>
    <row r="859" spans="1:3" ht="13.2" x14ac:dyDescent="0.25">
      <c r="A859" s="6">
        <v>857</v>
      </c>
      <c r="B859" s="7">
        <v>63.204898834228516</v>
      </c>
      <c r="C859" s="3">
        <f t="shared" si="9"/>
        <v>0.60050204315488709</v>
      </c>
    </row>
    <row r="860" spans="1:3" ht="13.2" x14ac:dyDescent="0.25">
      <c r="A860" s="6">
        <v>858</v>
      </c>
      <c r="B860" s="7">
        <v>62.14337158203125</v>
      </c>
      <c r="C860" s="3">
        <f t="shared" si="9"/>
        <v>0.59742397331500352</v>
      </c>
    </row>
    <row r="861" spans="1:3" ht="13.2" x14ac:dyDescent="0.25">
      <c r="A861" s="6">
        <v>859</v>
      </c>
      <c r="B861" s="7">
        <v>60.7896728515625</v>
      </c>
      <c r="C861" s="3">
        <f t="shared" si="9"/>
        <v>0.55482112653444449</v>
      </c>
    </row>
    <row r="862" spans="1:3" ht="13.2" x14ac:dyDescent="0.25">
      <c r="A862" s="6">
        <v>860</v>
      </c>
      <c r="B862" s="7">
        <v>59.406761169433594</v>
      </c>
      <c r="C862" s="3">
        <f t="shared" si="9"/>
        <v>0.53236744839510641</v>
      </c>
    </row>
    <row r="863" spans="1:3" ht="13.2" x14ac:dyDescent="0.25">
      <c r="A863" s="6">
        <v>861</v>
      </c>
      <c r="B863" s="7">
        <v>60.302730560302734</v>
      </c>
      <c r="C863" s="3">
        <f t="shared" si="9"/>
        <v>0.53761324906007346</v>
      </c>
    </row>
    <row r="864" spans="1:3" ht="13.2" x14ac:dyDescent="0.25">
      <c r="A864" s="6">
        <v>862</v>
      </c>
      <c r="B864" s="7">
        <v>60.565677642822266</v>
      </c>
      <c r="C864" s="3">
        <f t="shared" si="9"/>
        <v>0.50532005030310079</v>
      </c>
    </row>
    <row r="865" spans="1:3" ht="13.2" x14ac:dyDescent="0.25">
      <c r="A865" s="6">
        <v>863</v>
      </c>
      <c r="B865" s="7">
        <v>59.903438568115234</v>
      </c>
      <c r="C865" s="3">
        <f t="shared" si="9"/>
        <v>0.49139808870654317</v>
      </c>
    </row>
    <row r="866" spans="1:3" ht="13.2" x14ac:dyDescent="0.25">
      <c r="A866" s="6">
        <v>864</v>
      </c>
      <c r="B866" s="7">
        <v>60.039787292480469</v>
      </c>
      <c r="C866" s="3">
        <f t="shared" si="9"/>
        <v>0.523065708394162</v>
      </c>
    </row>
    <row r="867" spans="1:3" ht="13.2" x14ac:dyDescent="0.25">
      <c r="A867" s="6">
        <v>865</v>
      </c>
      <c r="B867" s="7">
        <v>58.169929504394531</v>
      </c>
      <c r="C867" s="3">
        <f t="shared" si="9"/>
        <v>0.48705753771646693</v>
      </c>
    </row>
    <row r="868" spans="1:3" ht="13.2" x14ac:dyDescent="0.25">
      <c r="A868" s="6">
        <v>866</v>
      </c>
      <c r="B868" s="7">
        <v>57.702468872070313</v>
      </c>
      <c r="C868" s="3">
        <f t="shared" si="9"/>
        <v>0.48035229423111236</v>
      </c>
    </row>
    <row r="869" spans="1:3" ht="13.2" x14ac:dyDescent="0.25">
      <c r="A869" s="6">
        <v>867</v>
      </c>
      <c r="B869" s="7">
        <v>57.478477478027344</v>
      </c>
      <c r="C869" s="3">
        <f t="shared" si="9"/>
        <v>0.45968764669265805</v>
      </c>
    </row>
    <row r="870" spans="1:3" ht="13.2" x14ac:dyDescent="0.25">
      <c r="A870" s="6">
        <v>868</v>
      </c>
      <c r="B870" s="7">
        <v>60.185867309570313</v>
      </c>
      <c r="C870" s="3">
        <f t="shared" si="9"/>
        <v>0.49080095316190936</v>
      </c>
    </row>
    <row r="871" spans="1:3" ht="13.2" x14ac:dyDescent="0.25">
      <c r="A871" s="6">
        <v>869</v>
      </c>
      <c r="B871" s="7">
        <v>61.03314208984375</v>
      </c>
      <c r="C871" s="3">
        <f t="shared" si="9"/>
        <v>0.49269406139958349</v>
      </c>
    </row>
    <row r="872" spans="1:3" ht="13.2" x14ac:dyDescent="0.25">
      <c r="A872" s="6">
        <v>870</v>
      </c>
      <c r="B872" s="7">
        <v>60.351428985595703</v>
      </c>
      <c r="C872" s="3">
        <f t="shared" si="9"/>
        <v>0.51276398570572235</v>
      </c>
    </row>
    <row r="873" spans="1:3" ht="13.2" x14ac:dyDescent="0.25">
      <c r="A873" s="6">
        <v>871</v>
      </c>
      <c r="B873" s="7">
        <v>60.088478088378906</v>
      </c>
      <c r="C873" s="3">
        <f t="shared" si="9"/>
        <v>0.48312001072951744</v>
      </c>
    </row>
    <row r="874" spans="1:3" ht="13.2" x14ac:dyDescent="0.25">
      <c r="A874" s="6">
        <v>872</v>
      </c>
      <c r="B874" s="7">
        <v>58.277061462402344</v>
      </c>
      <c r="C874" s="3">
        <f t="shared" si="9"/>
        <v>0.45146012980822647</v>
      </c>
    </row>
    <row r="875" spans="1:3" ht="13.2" x14ac:dyDescent="0.25">
      <c r="A875" s="6">
        <v>873</v>
      </c>
      <c r="B875" s="7">
        <v>58.608177185058594</v>
      </c>
      <c r="C875" s="3">
        <f t="shared" si="9"/>
        <v>0.48426222718472622</v>
      </c>
    </row>
    <row r="876" spans="1:3" ht="13.2" x14ac:dyDescent="0.25">
      <c r="A876" s="6">
        <v>874</v>
      </c>
      <c r="B876" s="7">
        <v>61.042881011962891</v>
      </c>
      <c r="C876" s="3">
        <f t="shared" si="9"/>
        <v>0.49651666511381898</v>
      </c>
    </row>
    <row r="877" spans="1:3" ht="13.2" x14ac:dyDescent="0.25">
      <c r="A877" s="6">
        <v>875</v>
      </c>
      <c r="B877" s="7">
        <v>60.604633331298828</v>
      </c>
      <c r="C877" s="3">
        <f t="shared" si="9"/>
        <v>0.49088532029526122</v>
      </c>
    </row>
    <row r="878" spans="1:3" ht="13.2" x14ac:dyDescent="0.25">
      <c r="A878" s="6">
        <v>876</v>
      </c>
      <c r="B878" s="7">
        <v>59.854743957519531</v>
      </c>
      <c r="C878" s="3">
        <f t="shared" si="9"/>
        <v>0.46048190159595803</v>
      </c>
    </row>
    <row r="879" spans="1:3" ht="13.2" x14ac:dyDescent="0.25">
      <c r="A879" s="6">
        <v>877</v>
      </c>
      <c r="B879" s="7">
        <v>59.221725463867188</v>
      </c>
      <c r="C879" s="3">
        <f t="shared" si="9"/>
        <v>0.45191474032422441</v>
      </c>
    </row>
    <row r="880" spans="1:3" ht="13.2" x14ac:dyDescent="0.25">
      <c r="A880" s="6">
        <v>878</v>
      </c>
      <c r="B880" s="7">
        <v>59.552841186523438</v>
      </c>
      <c r="C880" s="3">
        <f t="shared" si="9"/>
        <v>0.46137372930673515</v>
      </c>
    </row>
    <row r="881" spans="1:3" ht="13.2" x14ac:dyDescent="0.25">
      <c r="A881" s="6">
        <v>879</v>
      </c>
      <c r="B881" s="7">
        <v>59.406761169433594</v>
      </c>
      <c r="C881" s="3">
        <f t="shared" si="9"/>
        <v>0.44654324971431181</v>
      </c>
    </row>
    <row r="882" spans="1:3" ht="13.2" x14ac:dyDescent="0.25">
      <c r="A882" s="6">
        <v>880</v>
      </c>
      <c r="B882" s="7">
        <v>59.474929809570313</v>
      </c>
      <c r="C882" s="3">
        <f t="shared" si="9"/>
        <v>0.46918518398796005</v>
      </c>
    </row>
    <row r="883" spans="1:3" ht="13.2" x14ac:dyDescent="0.25">
      <c r="A883" s="6">
        <v>881</v>
      </c>
      <c r="B883" s="7">
        <v>59.552841186523438</v>
      </c>
      <c r="C883" s="3">
        <f t="shared" si="9"/>
        <v>0.46579338824348493</v>
      </c>
    </row>
    <row r="884" spans="1:3" ht="13.2" x14ac:dyDescent="0.25">
      <c r="A884" s="6">
        <v>882</v>
      </c>
      <c r="B884" s="7">
        <v>60.263778686523438</v>
      </c>
      <c r="C884" s="3">
        <f t="shared" si="9"/>
        <v>0.47453883505112909</v>
      </c>
    </row>
    <row r="885" spans="1:3" ht="13.2" x14ac:dyDescent="0.25">
      <c r="A885" s="6">
        <v>883</v>
      </c>
      <c r="B885" s="7">
        <v>58.647136688232422</v>
      </c>
      <c r="C885" s="3">
        <f t="shared" si="9"/>
        <v>0.43009355270915689</v>
      </c>
    </row>
    <row r="886" spans="1:3" ht="13.2" x14ac:dyDescent="0.25">
      <c r="A886" s="6">
        <v>884</v>
      </c>
      <c r="B886" s="7">
        <v>58.793212890625</v>
      </c>
      <c r="C886" s="3">
        <f t="shared" si="9"/>
        <v>0.411362903702505</v>
      </c>
    </row>
    <row r="887" spans="1:3" ht="13.2" x14ac:dyDescent="0.25">
      <c r="A887" s="6">
        <v>885</v>
      </c>
      <c r="B887" s="7">
        <v>58.910083770751953</v>
      </c>
      <c r="C887" s="3">
        <f t="shared" si="9"/>
        <v>0.39110359477380441</v>
      </c>
    </row>
    <row r="888" spans="1:3" ht="13.2" x14ac:dyDescent="0.25">
      <c r="A888" s="6">
        <v>886</v>
      </c>
      <c r="B888" s="7">
        <v>59.095119476318359</v>
      </c>
      <c r="C888" s="3">
        <f t="shared" si="9"/>
        <v>0.40505315873087122</v>
      </c>
    </row>
    <row r="889" spans="1:3" ht="13.2" x14ac:dyDescent="0.25">
      <c r="A889" s="6">
        <v>887</v>
      </c>
      <c r="B889" s="7">
        <v>58.656871795654297</v>
      </c>
      <c r="C889" s="3">
        <f t="shared" si="9"/>
        <v>0.40157097884284632</v>
      </c>
    </row>
    <row r="890" spans="1:3" ht="13.2" x14ac:dyDescent="0.25">
      <c r="A890" s="6">
        <v>888</v>
      </c>
      <c r="B890" s="7">
        <v>58.160194396972656</v>
      </c>
      <c r="C890" s="3">
        <f t="shared" si="9"/>
        <v>0.38368462713132945</v>
      </c>
    </row>
    <row r="891" spans="1:3" ht="13.2" x14ac:dyDescent="0.25">
      <c r="A891" s="6">
        <v>889</v>
      </c>
      <c r="B891" s="7">
        <v>58.949031829833984</v>
      </c>
      <c r="C891" s="3">
        <f t="shared" si="9"/>
        <v>0.42229172241181551</v>
      </c>
    </row>
    <row r="892" spans="1:3" ht="13.2" x14ac:dyDescent="0.25">
      <c r="A892" s="6">
        <v>890</v>
      </c>
      <c r="B892" s="7">
        <v>58.773735046386719</v>
      </c>
      <c r="C892" s="3">
        <f t="shared" si="9"/>
        <v>0.45262445486701047</v>
      </c>
    </row>
    <row r="893" spans="1:3" ht="13.2" x14ac:dyDescent="0.25">
      <c r="A893" s="6">
        <v>891</v>
      </c>
      <c r="B893" s="7">
        <v>59.260677337646484</v>
      </c>
      <c r="C893" s="3">
        <f t="shared" si="9"/>
        <v>0.44999157803034323</v>
      </c>
    </row>
    <row r="894" spans="1:3" ht="13.2" x14ac:dyDescent="0.25">
      <c r="A894" s="6">
        <v>892</v>
      </c>
      <c r="B894" s="7">
        <v>59.202247619628906</v>
      </c>
      <c r="C894" s="3">
        <f t="shared" si="9"/>
        <v>0.42809138376568984</v>
      </c>
    </row>
    <row r="895" spans="1:3" ht="13.2" x14ac:dyDescent="0.25">
      <c r="A895" s="6">
        <v>893</v>
      </c>
      <c r="B895" s="7">
        <v>58.208889007568359</v>
      </c>
      <c r="C895" s="3">
        <f t="shared" ref="C895:C958" si="10">LN(B895/B643)</f>
        <v>0.40915268341325567</v>
      </c>
    </row>
    <row r="896" spans="1:3" ht="13.2" x14ac:dyDescent="0.25">
      <c r="A896" s="6">
        <v>894</v>
      </c>
      <c r="B896" s="7">
        <v>58.695827484130859</v>
      </c>
      <c r="C896" s="3">
        <f t="shared" si="10"/>
        <v>0.43194496418895778</v>
      </c>
    </row>
    <row r="897" spans="1:3" ht="13.2" x14ac:dyDescent="0.25">
      <c r="A897" s="6">
        <v>895</v>
      </c>
      <c r="B897" s="7">
        <v>58.910083770751953</v>
      </c>
      <c r="C897" s="3">
        <f t="shared" si="10"/>
        <v>0.4481900658795977</v>
      </c>
    </row>
    <row r="898" spans="1:3" ht="13.2" x14ac:dyDescent="0.25">
      <c r="A898" s="6">
        <v>896</v>
      </c>
      <c r="B898" s="7">
        <v>59.864486694335938</v>
      </c>
      <c r="C898" s="3">
        <f t="shared" si="10"/>
        <v>0.45627048992328223</v>
      </c>
    </row>
    <row r="899" spans="1:3" ht="13.2" x14ac:dyDescent="0.25">
      <c r="A899" s="6">
        <v>897</v>
      </c>
      <c r="B899" s="7">
        <v>60.283256530761719</v>
      </c>
      <c r="C899" s="3">
        <f t="shared" si="10"/>
        <v>0.46324143288056913</v>
      </c>
    </row>
    <row r="900" spans="1:3" ht="13.2" x14ac:dyDescent="0.25">
      <c r="A900" s="6">
        <v>898</v>
      </c>
      <c r="B900" s="7">
        <v>60.361164093017578</v>
      </c>
      <c r="C900" s="3">
        <f t="shared" si="10"/>
        <v>0.45992224147237892</v>
      </c>
    </row>
    <row r="901" spans="1:3" ht="13.2" x14ac:dyDescent="0.25">
      <c r="A901" s="6">
        <v>899</v>
      </c>
      <c r="B901" s="7">
        <v>59.864486694335938</v>
      </c>
      <c r="C901" s="3">
        <f t="shared" si="10"/>
        <v>0.45987125619895597</v>
      </c>
    </row>
    <row r="902" spans="1:3" ht="13.2" x14ac:dyDescent="0.25">
      <c r="A902" s="6">
        <v>900</v>
      </c>
      <c r="B902" s="7">
        <v>59.9910888671875</v>
      </c>
      <c r="C902" s="3">
        <f t="shared" si="10"/>
        <v>0.45326146239568987</v>
      </c>
    </row>
    <row r="903" spans="1:3" ht="13.2" x14ac:dyDescent="0.25">
      <c r="A903" s="6">
        <v>901</v>
      </c>
      <c r="B903" s="7">
        <v>60.312469482421875</v>
      </c>
      <c r="C903" s="3">
        <f t="shared" si="10"/>
        <v>0.45503465212960192</v>
      </c>
    </row>
    <row r="904" spans="1:3" ht="13.2" x14ac:dyDescent="0.25">
      <c r="A904" s="6">
        <v>902</v>
      </c>
      <c r="B904" s="7">
        <v>59.621013641357422</v>
      </c>
      <c r="C904" s="3">
        <f t="shared" si="10"/>
        <v>0.45837590273044304</v>
      </c>
    </row>
    <row r="905" spans="1:3" ht="13.2" x14ac:dyDescent="0.25">
      <c r="A905" s="6">
        <v>903</v>
      </c>
      <c r="B905" s="7">
        <v>60.565677642822266</v>
      </c>
      <c r="C905" s="3">
        <f t="shared" si="10"/>
        <v>0.50186118162489268</v>
      </c>
    </row>
    <row r="906" spans="1:3" ht="13.2" x14ac:dyDescent="0.25">
      <c r="A906" s="6">
        <v>904</v>
      </c>
      <c r="B906" s="7">
        <v>61.403217315673828</v>
      </c>
      <c r="C906" s="3">
        <f t="shared" si="10"/>
        <v>0.52199003489218188</v>
      </c>
    </row>
    <row r="907" spans="1:3" ht="13.2" x14ac:dyDescent="0.25">
      <c r="A907" s="6">
        <v>905</v>
      </c>
      <c r="B907" s="7">
        <v>61.3642578125</v>
      </c>
      <c r="C907" s="3">
        <f t="shared" si="10"/>
        <v>0.53291619392251288</v>
      </c>
    </row>
    <row r="908" spans="1:3" ht="13.2" x14ac:dyDescent="0.25">
      <c r="A908" s="6">
        <v>906</v>
      </c>
      <c r="B908" s="7">
        <v>62.698478698730469</v>
      </c>
      <c r="C908" s="3">
        <f t="shared" si="10"/>
        <v>0.56284417154390165</v>
      </c>
    </row>
    <row r="909" spans="1:3" ht="13.2" x14ac:dyDescent="0.25">
      <c r="A909" s="6">
        <v>907</v>
      </c>
      <c r="B909" s="7">
        <v>63.156204223632813</v>
      </c>
      <c r="C909" s="3">
        <f t="shared" si="10"/>
        <v>0.56251122004953558</v>
      </c>
    </row>
    <row r="910" spans="1:3" ht="13.2" x14ac:dyDescent="0.25">
      <c r="A910" s="6">
        <v>908</v>
      </c>
      <c r="B910" s="7">
        <v>62.776390075683594</v>
      </c>
      <c r="C910" s="3">
        <f t="shared" si="10"/>
        <v>0.55000505710819891</v>
      </c>
    </row>
    <row r="911" spans="1:3" ht="13.2" x14ac:dyDescent="0.25">
      <c r="A911" s="6">
        <v>909</v>
      </c>
      <c r="B911" s="7">
        <v>62.435531616210938</v>
      </c>
      <c r="C911" s="3">
        <f t="shared" si="10"/>
        <v>0.53439447314137767</v>
      </c>
    </row>
    <row r="912" spans="1:3" ht="13.2" x14ac:dyDescent="0.25">
      <c r="A912" s="6">
        <v>910</v>
      </c>
      <c r="B912" s="7">
        <v>62.318668365478516</v>
      </c>
      <c r="C912" s="3">
        <f t="shared" si="10"/>
        <v>0.54107488197873654</v>
      </c>
    </row>
    <row r="913" spans="1:3" ht="13.2" x14ac:dyDescent="0.25">
      <c r="A913" s="6">
        <v>911</v>
      </c>
      <c r="B913" s="7">
        <v>62.669261932373047</v>
      </c>
      <c r="C913" s="3">
        <f t="shared" si="10"/>
        <v>0.53999597744809136</v>
      </c>
    </row>
    <row r="914" spans="1:3" ht="13.2" x14ac:dyDescent="0.25">
      <c r="A914" s="6">
        <v>912</v>
      </c>
      <c r="B914" s="7">
        <v>61.714859008789063</v>
      </c>
      <c r="C914" s="3">
        <f t="shared" si="10"/>
        <v>0.54403633856292655</v>
      </c>
    </row>
    <row r="915" spans="1:3" ht="13.2" x14ac:dyDescent="0.25">
      <c r="A915" s="6">
        <v>913</v>
      </c>
      <c r="B915" s="7">
        <v>62.269969940185547</v>
      </c>
      <c r="C915" s="3">
        <f t="shared" si="10"/>
        <v>0.54136765420326749</v>
      </c>
    </row>
    <row r="916" spans="1:3" ht="13.2" x14ac:dyDescent="0.25">
      <c r="A916" s="6">
        <v>914</v>
      </c>
      <c r="B916" s="7">
        <v>60.8773193359375</v>
      </c>
      <c r="C916" s="3">
        <f t="shared" si="10"/>
        <v>0.5344588718170562</v>
      </c>
    </row>
    <row r="917" spans="1:3" ht="13.2" x14ac:dyDescent="0.25">
      <c r="A917" s="6">
        <v>915</v>
      </c>
      <c r="B917" s="7">
        <v>61.237659454345703</v>
      </c>
      <c r="C917" s="3">
        <f t="shared" si="10"/>
        <v>0.52680291182520456</v>
      </c>
    </row>
    <row r="918" spans="1:3" ht="13.2" x14ac:dyDescent="0.25">
      <c r="A918" s="6">
        <v>916</v>
      </c>
      <c r="B918" s="7">
        <v>60.984447479248047</v>
      </c>
      <c r="C918" s="3">
        <f t="shared" si="10"/>
        <v>0.48331450018651317</v>
      </c>
    </row>
    <row r="919" spans="1:3" ht="13.2" x14ac:dyDescent="0.25">
      <c r="A919" s="6">
        <v>917</v>
      </c>
      <c r="B919" s="7">
        <v>60.215084075927734</v>
      </c>
      <c r="C919" s="3">
        <f t="shared" si="10"/>
        <v>0.44808796829590358</v>
      </c>
    </row>
    <row r="920" spans="1:3" ht="13.2" x14ac:dyDescent="0.25">
      <c r="A920" s="6">
        <v>918</v>
      </c>
      <c r="B920" s="7">
        <v>59.815788269042969</v>
      </c>
      <c r="C920" s="3">
        <f t="shared" si="10"/>
        <v>0.42361977243838511</v>
      </c>
    </row>
    <row r="921" spans="1:3" ht="13.2" x14ac:dyDescent="0.25">
      <c r="A921" s="6">
        <v>919</v>
      </c>
      <c r="B921" s="7">
        <v>59.767093658447266</v>
      </c>
      <c r="C921" s="3">
        <f t="shared" si="10"/>
        <v>0.41069295451222992</v>
      </c>
    </row>
    <row r="922" spans="1:3" ht="13.2" x14ac:dyDescent="0.25">
      <c r="A922" s="6">
        <v>920</v>
      </c>
      <c r="B922" s="7">
        <v>60.273513793945313</v>
      </c>
      <c r="C922" s="3">
        <f t="shared" si="10"/>
        <v>0.40594986705453961</v>
      </c>
    </row>
    <row r="923" spans="1:3" ht="13.2" x14ac:dyDescent="0.25">
      <c r="A923" s="6">
        <v>921</v>
      </c>
      <c r="B923" s="7">
        <v>59.689186096191406</v>
      </c>
      <c r="C923" s="3">
        <f t="shared" si="10"/>
        <v>0.36941218142637761</v>
      </c>
    </row>
    <row r="924" spans="1:3" ht="13.2" x14ac:dyDescent="0.25">
      <c r="A924" s="6">
        <v>922</v>
      </c>
      <c r="B924" s="7">
        <v>59.698925018310547</v>
      </c>
      <c r="C924" s="3">
        <f t="shared" si="10"/>
        <v>0.36204933910527642</v>
      </c>
    </row>
    <row r="925" spans="1:3" ht="13.2" x14ac:dyDescent="0.25">
      <c r="A925" s="6">
        <v>923</v>
      </c>
      <c r="B925" s="7">
        <v>60.672805786132813</v>
      </c>
      <c r="C925" s="3">
        <f t="shared" si="10"/>
        <v>0.39978301513271053</v>
      </c>
    </row>
    <row r="926" spans="1:3" ht="13.2" x14ac:dyDescent="0.25">
      <c r="A926" s="6">
        <v>924</v>
      </c>
      <c r="B926" s="7">
        <v>62.455009460449219</v>
      </c>
      <c r="C926" s="3">
        <f t="shared" si="10"/>
        <v>0.42586518155065578</v>
      </c>
    </row>
    <row r="927" spans="1:3" ht="13.2" x14ac:dyDescent="0.25">
      <c r="A927" s="6">
        <v>925</v>
      </c>
      <c r="B927" s="7">
        <v>62.396575927734375</v>
      </c>
      <c r="C927" s="3">
        <f t="shared" si="10"/>
        <v>0.42995483364406328</v>
      </c>
    </row>
    <row r="928" spans="1:3" ht="13.2" x14ac:dyDescent="0.25">
      <c r="A928" s="6">
        <v>926</v>
      </c>
      <c r="B928" s="7">
        <v>62.708217620849609</v>
      </c>
      <c r="C928" s="3">
        <f t="shared" si="10"/>
        <v>0.42324931982351649</v>
      </c>
    </row>
    <row r="929" spans="1:3" ht="13.2" x14ac:dyDescent="0.25">
      <c r="A929" s="6">
        <v>927</v>
      </c>
      <c r="B929" s="7">
        <v>62.318668365478516</v>
      </c>
      <c r="C929" s="3">
        <f t="shared" si="10"/>
        <v>0.41393979904692979</v>
      </c>
    </row>
    <row r="930" spans="1:3" ht="13.2" x14ac:dyDescent="0.25">
      <c r="A930" s="6">
        <v>928</v>
      </c>
      <c r="B930" s="7">
        <v>63.302288055419922</v>
      </c>
      <c r="C930" s="3">
        <f t="shared" si="10"/>
        <v>0.40162634911755102</v>
      </c>
    </row>
    <row r="931" spans="1:3" ht="13.2" x14ac:dyDescent="0.25">
      <c r="A931" s="6">
        <v>929</v>
      </c>
      <c r="B931" s="7">
        <v>63.263332366943359</v>
      </c>
      <c r="C931" s="3">
        <f t="shared" si="10"/>
        <v>0.38958212354948041</v>
      </c>
    </row>
    <row r="932" spans="1:3" ht="13.2" x14ac:dyDescent="0.25">
      <c r="A932" s="6">
        <v>930</v>
      </c>
      <c r="B932" s="7">
        <v>65.026054382324219</v>
      </c>
      <c r="C932" s="3">
        <f t="shared" si="10"/>
        <v>0.40352005562064824</v>
      </c>
    </row>
    <row r="933" spans="1:3" ht="13.2" x14ac:dyDescent="0.25">
      <c r="A933" s="6">
        <v>931</v>
      </c>
      <c r="B933" s="7">
        <v>66.223930358886719</v>
      </c>
      <c r="C933" s="3">
        <f t="shared" si="10"/>
        <v>0.40885311646527084</v>
      </c>
    </row>
    <row r="934" spans="1:3" ht="13.2" x14ac:dyDescent="0.25">
      <c r="A934" s="6">
        <v>932</v>
      </c>
      <c r="B934" s="7">
        <v>65.629859924316406</v>
      </c>
      <c r="C934" s="3">
        <f t="shared" si="10"/>
        <v>0.40316762091089692</v>
      </c>
    </row>
    <row r="935" spans="1:3" ht="13.2" x14ac:dyDescent="0.25">
      <c r="A935" s="6">
        <v>933</v>
      </c>
      <c r="B935" s="7">
        <v>65.766204833984375</v>
      </c>
      <c r="C935" s="3">
        <f t="shared" si="10"/>
        <v>0.41708273852539413</v>
      </c>
    </row>
    <row r="936" spans="1:3" ht="13.2" x14ac:dyDescent="0.25">
      <c r="A936" s="6">
        <v>934</v>
      </c>
      <c r="B936" s="7">
        <v>66.516098022460938</v>
      </c>
      <c r="C936" s="3">
        <f t="shared" si="10"/>
        <v>0.41680294195159839</v>
      </c>
    </row>
    <row r="937" spans="1:3" ht="13.2" x14ac:dyDescent="0.25">
      <c r="A937" s="6">
        <v>935</v>
      </c>
      <c r="B937" s="7">
        <v>65.026054382324219</v>
      </c>
      <c r="C937" s="3">
        <f t="shared" si="10"/>
        <v>0.3977073204002804</v>
      </c>
    </row>
    <row r="938" spans="1:3" ht="13.2" x14ac:dyDescent="0.25">
      <c r="A938" s="6">
        <v>936</v>
      </c>
      <c r="B938" s="7">
        <v>65.337692260742188</v>
      </c>
      <c r="C938" s="3">
        <f t="shared" si="10"/>
        <v>0.40695662580477099</v>
      </c>
    </row>
    <row r="939" spans="1:3" ht="13.2" x14ac:dyDescent="0.25">
      <c r="A939" s="6">
        <v>937</v>
      </c>
      <c r="B939" s="7">
        <v>65.707778930664063</v>
      </c>
      <c r="C939" s="3">
        <f t="shared" si="10"/>
        <v>0.4123810546861385</v>
      </c>
    </row>
    <row r="940" spans="1:3" ht="13.2" x14ac:dyDescent="0.25">
      <c r="A940" s="6">
        <v>938</v>
      </c>
      <c r="B940" s="7">
        <v>64.354080200195313</v>
      </c>
      <c r="C940" s="3">
        <f t="shared" si="10"/>
        <v>0.39943007864187319</v>
      </c>
    </row>
    <row r="941" spans="1:3" ht="13.2" x14ac:dyDescent="0.25">
      <c r="A941" s="6">
        <v>939</v>
      </c>
      <c r="B941" s="7">
        <v>64.841018676757813</v>
      </c>
      <c r="C941" s="3">
        <f t="shared" si="10"/>
        <v>0.40471443468618734</v>
      </c>
    </row>
    <row r="942" spans="1:3" ht="13.2" x14ac:dyDescent="0.25">
      <c r="A942" s="6">
        <v>940</v>
      </c>
      <c r="B942" s="7">
        <v>63.935310363769531</v>
      </c>
      <c r="C942" s="3">
        <f t="shared" si="10"/>
        <v>0.3917740896306387</v>
      </c>
    </row>
    <row r="943" spans="1:3" ht="13.2" x14ac:dyDescent="0.25">
      <c r="A943" s="6">
        <v>941</v>
      </c>
      <c r="B943" s="7">
        <v>63.380195617675781</v>
      </c>
      <c r="C943" s="3">
        <f t="shared" si="10"/>
        <v>0.39484253457125812</v>
      </c>
    </row>
    <row r="944" spans="1:3" ht="13.2" x14ac:dyDescent="0.25">
      <c r="A944" s="6">
        <v>942</v>
      </c>
      <c r="B944" s="7">
        <v>63.350982666015625</v>
      </c>
      <c r="C944" s="3">
        <f t="shared" si="10"/>
        <v>0.39119386015288837</v>
      </c>
    </row>
    <row r="945" spans="1:3" ht="13.2" x14ac:dyDescent="0.25">
      <c r="A945" s="6">
        <v>943</v>
      </c>
      <c r="B945" s="7">
        <v>65.006576538085938</v>
      </c>
      <c r="C945" s="3">
        <f t="shared" si="10"/>
        <v>0.43349466937611625</v>
      </c>
    </row>
    <row r="946" spans="1:3" ht="13.2" x14ac:dyDescent="0.25">
      <c r="A946" s="6">
        <v>944</v>
      </c>
      <c r="B946" s="7">
        <v>65.698036193847656</v>
      </c>
      <c r="C946" s="3">
        <f t="shared" si="10"/>
        <v>0.44338226360467542</v>
      </c>
    </row>
    <row r="947" spans="1:3" ht="13.2" x14ac:dyDescent="0.25">
      <c r="A947" s="6">
        <v>945</v>
      </c>
      <c r="B947" s="7">
        <v>65.581169128417969</v>
      </c>
      <c r="C947" s="3">
        <f t="shared" si="10"/>
        <v>0.42193510852563565</v>
      </c>
    </row>
    <row r="948" spans="1:3" ht="13.2" x14ac:dyDescent="0.25">
      <c r="A948" s="6">
        <v>946</v>
      </c>
      <c r="B948" s="7">
        <v>66.126548767089844</v>
      </c>
      <c r="C948" s="3">
        <f t="shared" si="10"/>
        <v>0.43634961054180432</v>
      </c>
    </row>
    <row r="949" spans="1:3" ht="13.2" x14ac:dyDescent="0.25">
      <c r="A949" s="6">
        <v>947</v>
      </c>
      <c r="B949" s="7">
        <v>65.250053405761719</v>
      </c>
      <c r="C949" s="3">
        <f t="shared" si="10"/>
        <v>0.42597263174906302</v>
      </c>
    </row>
    <row r="950" spans="1:3" ht="13.2" x14ac:dyDescent="0.25">
      <c r="A950" s="6">
        <v>948</v>
      </c>
      <c r="B950" s="7">
        <v>63.555500030517578</v>
      </c>
      <c r="C950" s="3">
        <f t="shared" si="10"/>
        <v>0.42137415557639224</v>
      </c>
    </row>
    <row r="951" spans="1:3" ht="13.2" x14ac:dyDescent="0.25">
      <c r="A951" s="6">
        <v>949</v>
      </c>
      <c r="B951" s="7">
        <v>62.951690673828125</v>
      </c>
      <c r="C951" s="3">
        <f t="shared" si="10"/>
        <v>0.40600666055726981</v>
      </c>
    </row>
    <row r="952" spans="1:3" ht="13.2" x14ac:dyDescent="0.25">
      <c r="A952" s="6">
        <v>950</v>
      </c>
      <c r="B952" s="7">
        <v>63.760013580322266</v>
      </c>
      <c r="C952" s="3">
        <f t="shared" si="10"/>
        <v>0.39762968928206649</v>
      </c>
    </row>
    <row r="953" spans="1:3" ht="13.2" x14ac:dyDescent="0.25">
      <c r="A953" s="6">
        <v>951</v>
      </c>
      <c r="B953" s="7">
        <v>64.217735290527344</v>
      </c>
      <c r="C953" s="3">
        <f t="shared" si="10"/>
        <v>0.42290472729537215</v>
      </c>
    </row>
    <row r="954" spans="1:3" ht="13.2" x14ac:dyDescent="0.25">
      <c r="A954" s="6">
        <v>952</v>
      </c>
      <c r="B954" s="7">
        <v>63.088035583496094</v>
      </c>
      <c r="C954" s="3">
        <f t="shared" si="10"/>
        <v>0.42314129907703318</v>
      </c>
    </row>
    <row r="955" spans="1:3" ht="13.2" x14ac:dyDescent="0.25">
      <c r="A955" s="6">
        <v>953</v>
      </c>
      <c r="B955" s="7">
        <v>63.808700561523438</v>
      </c>
      <c r="C955" s="3">
        <f t="shared" si="10"/>
        <v>0.48105334852268389</v>
      </c>
    </row>
    <row r="956" spans="1:3" ht="13.2" x14ac:dyDescent="0.25">
      <c r="A956" s="6">
        <v>954</v>
      </c>
      <c r="B956" s="7">
        <v>64.938407897949219</v>
      </c>
      <c r="C956" s="3">
        <f t="shared" si="10"/>
        <v>0.48219528765015862</v>
      </c>
    </row>
    <row r="957" spans="1:3" ht="13.2" x14ac:dyDescent="0.25">
      <c r="A957" s="6">
        <v>955</v>
      </c>
      <c r="B957" s="7">
        <v>65.142921447753906</v>
      </c>
      <c r="C957" s="3">
        <f t="shared" si="10"/>
        <v>0.49265321015299274</v>
      </c>
    </row>
    <row r="958" spans="1:3" ht="13.2" x14ac:dyDescent="0.25">
      <c r="A958" s="6">
        <v>956</v>
      </c>
      <c r="B958" s="7">
        <v>65.922027587890625</v>
      </c>
      <c r="C958" s="3">
        <f t="shared" si="10"/>
        <v>0.50234259383369328</v>
      </c>
    </row>
    <row r="959" spans="1:3" ht="13.2" x14ac:dyDescent="0.25">
      <c r="A959" s="6">
        <v>957</v>
      </c>
      <c r="B959" s="7">
        <v>65.68829345703125</v>
      </c>
      <c r="C959" s="3">
        <f t="shared" ref="C959:C1022" si="11">LN(B959/B707)</f>
        <v>0.49343389707417978</v>
      </c>
    </row>
    <row r="960" spans="1:3" ht="13.2" x14ac:dyDescent="0.25">
      <c r="A960" s="6">
        <v>958</v>
      </c>
      <c r="B960" s="7">
        <v>65.941497802734375</v>
      </c>
      <c r="C960" s="3">
        <f t="shared" si="11"/>
        <v>0.52236233994064896</v>
      </c>
    </row>
    <row r="961" spans="1:3" ht="13.2" x14ac:dyDescent="0.25">
      <c r="A961" s="6">
        <v>959</v>
      </c>
      <c r="B961" s="7">
        <v>65.240310668945313</v>
      </c>
      <c r="C961" s="3">
        <f t="shared" si="11"/>
        <v>0.5057135513892842</v>
      </c>
    </row>
    <row r="962" spans="1:3" ht="13.2" x14ac:dyDescent="0.25">
      <c r="A962" s="6">
        <v>960</v>
      </c>
      <c r="B962" s="7">
        <v>65.912284851074219</v>
      </c>
      <c r="C962" s="3">
        <f t="shared" si="11"/>
        <v>0.51819108513203482</v>
      </c>
    </row>
    <row r="963" spans="1:3" ht="13.2" x14ac:dyDescent="0.25">
      <c r="A963" s="6">
        <v>961</v>
      </c>
      <c r="B963" s="7">
        <v>66.594001770019531</v>
      </c>
      <c r="C963" s="3">
        <f t="shared" si="11"/>
        <v>0.52501364936557648</v>
      </c>
    </row>
    <row r="964" spans="1:3" ht="13.2" x14ac:dyDescent="0.25">
      <c r="A964" s="6">
        <v>962</v>
      </c>
      <c r="B964" s="7">
        <v>68.161949157714844</v>
      </c>
      <c r="C964" s="3">
        <f t="shared" si="11"/>
        <v>0.54952249061775926</v>
      </c>
    </row>
    <row r="965" spans="1:3" ht="13.2" x14ac:dyDescent="0.25">
      <c r="A965" s="6">
        <v>963</v>
      </c>
      <c r="B965" s="7">
        <v>70.119453430175781</v>
      </c>
      <c r="C965" s="3">
        <f t="shared" si="11"/>
        <v>0.56114468299607878</v>
      </c>
    </row>
    <row r="966" spans="1:3" ht="13.2" x14ac:dyDescent="0.25">
      <c r="A966" s="6">
        <v>964</v>
      </c>
      <c r="B966" s="7">
        <v>72.485984802246094</v>
      </c>
      <c r="C966" s="3">
        <f t="shared" si="11"/>
        <v>0.62323214646357161</v>
      </c>
    </row>
    <row r="967" spans="1:3" ht="13.2" x14ac:dyDescent="0.25">
      <c r="A967" s="6">
        <v>965</v>
      </c>
      <c r="B967" s="7">
        <v>75.358932495117188</v>
      </c>
      <c r="C967" s="3">
        <f t="shared" si="11"/>
        <v>0.66210138112607209</v>
      </c>
    </row>
    <row r="968" spans="1:3" ht="13.2" x14ac:dyDescent="0.25">
      <c r="A968" s="6">
        <v>966</v>
      </c>
      <c r="B968" s="7">
        <v>76.527595520019531</v>
      </c>
      <c r="C968" s="3">
        <f t="shared" si="11"/>
        <v>0.68201061923585016</v>
      </c>
    </row>
    <row r="969" spans="1:3" ht="13.2" x14ac:dyDescent="0.25">
      <c r="A969" s="6">
        <v>967</v>
      </c>
      <c r="B969" s="7">
        <v>76.897666931152344</v>
      </c>
      <c r="C969" s="3">
        <f t="shared" si="11"/>
        <v>0.68306633758140434</v>
      </c>
    </row>
    <row r="970" spans="1:3" ht="13.2" x14ac:dyDescent="0.25">
      <c r="A970" s="6">
        <v>968</v>
      </c>
      <c r="B970" s="7">
        <v>77.21905517578125</v>
      </c>
      <c r="C970" s="3">
        <f t="shared" si="11"/>
        <v>0.69478804588167697</v>
      </c>
    </row>
    <row r="971" spans="1:3" ht="13.2" x14ac:dyDescent="0.25">
      <c r="A971" s="6">
        <v>969</v>
      </c>
      <c r="B971" s="7">
        <v>76.926887512207031</v>
      </c>
      <c r="C971" s="3">
        <f t="shared" si="11"/>
        <v>0.68344625847910379</v>
      </c>
    </row>
    <row r="972" spans="1:3" ht="13.2" x14ac:dyDescent="0.25">
      <c r="A972" s="6">
        <v>970</v>
      </c>
      <c r="B972" s="7">
        <v>80.247825622558594</v>
      </c>
      <c r="C972" s="3">
        <f t="shared" si="11"/>
        <v>0.72270602273211393</v>
      </c>
    </row>
    <row r="973" spans="1:3" ht="13.2" x14ac:dyDescent="0.25">
      <c r="A973" s="6">
        <v>971</v>
      </c>
      <c r="B973" s="7">
        <v>79.809577941894531</v>
      </c>
      <c r="C973" s="3">
        <f t="shared" si="11"/>
        <v>0.70678460077067107</v>
      </c>
    </row>
    <row r="974" spans="1:3" ht="13.2" x14ac:dyDescent="0.25">
      <c r="A974" s="6">
        <v>972</v>
      </c>
      <c r="B974" s="7">
        <v>80.53997802734375</v>
      </c>
      <c r="C974" s="3">
        <f t="shared" si="11"/>
        <v>0.7058023524600513</v>
      </c>
    </row>
    <row r="975" spans="1:3" ht="13.2" x14ac:dyDescent="0.25">
      <c r="A975" s="6">
        <v>973</v>
      </c>
      <c r="B975" s="7">
        <v>80.267303466796875</v>
      </c>
      <c r="C975" s="3">
        <f t="shared" si="11"/>
        <v>0.68324738362051196</v>
      </c>
    </row>
    <row r="976" spans="1:3" ht="13.2" x14ac:dyDescent="0.25">
      <c r="A976" s="6">
        <v>974</v>
      </c>
      <c r="B976" s="7">
        <v>79.264198303222656</v>
      </c>
      <c r="C976" s="3">
        <f t="shared" si="11"/>
        <v>0.637354851689513</v>
      </c>
    </row>
    <row r="977" spans="1:3" ht="13.2" x14ac:dyDescent="0.25">
      <c r="A977" s="6">
        <v>975</v>
      </c>
      <c r="B977" s="7">
        <v>76.936630249023438</v>
      </c>
      <c r="C977" s="3">
        <f t="shared" si="11"/>
        <v>0.60569293313014116</v>
      </c>
    </row>
    <row r="978" spans="1:3" ht="13.2" x14ac:dyDescent="0.25">
      <c r="A978" s="6">
        <v>976</v>
      </c>
      <c r="B978" s="7">
        <v>77.180091857910156</v>
      </c>
      <c r="C978" s="3">
        <f t="shared" si="11"/>
        <v>0.60445477535184566</v>
      </c>
    </row>
    <row r="979" spans="1:3" ht="13.2" x14ac:dyDescent="0.25">
      <c r="A979" s="6">
        <v>977</v>
      </c>
      <c r="B979" s="7">
        <v>76.956100463867188</v>
      </c>
      <c r="C979" s="3">
        <f t="shared" si="11"/>
        <v>0.59120936084938491</v>
      </c>
    </row>
    <row r="980" spans="1:3" ht="13.2" x14ac:dyDescent="0.25">
      <c r="A980" s="6">
        <v>978</v>
      </c>
      <c r="B980" s="7">
        <v>74.209754943847656</v>
      </c>
      <c r="C980" s="3">
        <f t="shared" si="11"/>
        <v>0.57822618764069522</v>
      </c>
    </row>
    <row r="981" spans="1:3" ht="13.2" x14ac:dyDescent="0.25">
      <c r="A981" s="6">
        <v>979</v>
      </c>
      <c r="B981" s="7">
        <v>73.674125671386719</v>
      </c>
      <c r="C981" s="3">
        <f t="shared" si="11"/>
        <v>0.55935145746211135</v>
      </c>
    </row>
    <row r="982" spans="1:3" ht="13.2" x14ac:dyDescent="0.25">
      <c r="A982" s="6">
        <v>980</v>
      </c>
      <c r="B982" s="7">
        <v>74.287666320800781</v>
      </c>
      <c r="C982" s="3">
        <f t="shared" si="11"/>
        <v>0.55729155020390819</v>
      </c>
    </row>
    <row r="983" spans="1:3" ht="13.2" x14ac:dyDescent="0.25">
      <c r="A983" s="6">
        <v>981</v>
      </c>
      <c r="B983" s="7">
        <v>71.804275512695313</v>
      </c>
      <c r="C983" s="3">
        <f t="shared" si="11"/>
        <v>0.52695956103665054</v>
      </c>
    </row>
    <row r="984" spans="1:3" ht="13.2" x14ac:dyDescent="0.25">
      <c r="A984" s="6">
        <v>982</v>
      </c>
      <c r="B984" s="7">
        <v>72.320426940917969</v>
      </c>
      <c r="C984" s="3">
        <f t="shared" si="11"/>
        <v>0.52634171200062518</v>
      </c>
    </row>
    <row r="985" spans="1:3" ht="13.2" x14ac:dyDescent="0.25">
      <c r="A985" s="6">
        <v>983</v>
      </c>
      <c r="B985" s="7">
        <v>72.865798950195313</v>
      </c>
      <c r="C985" s="3">
        <f t="shared" si="11"/>
        <v>0.53476668209602984</v>
      </c>
    </row>
    <row r="986" spans="1:3" ht="13.2" x14ac:dyDescent="0.25">
      <c r="A986" s="6">
        <v>984</v>
      </c>
      <c r="B986" s="7">
        <v>73.157966613769531</v>
      </c>
      <c r="C986" s="3">
        <f t="shared" si="11"/>
        <v>0.50269410804032688</v>
      </c>
    </row>
    <row r="987" spans="1:3" ht="13.2" x14ac:dyDescent="0.25">
      <c r="A987" s="6">
        <v>985</v>
      </c>
      <c r="B987" s="7">
        <v>72.038002014160156</v>
      </c>
      <c r="C987" s="3">
        <f t="shared" si="11"/>
        <v>0.4761057505980304</v>
      </c>
    </row>
    <row r="988" spans="1:3" ht="13.2" x14ac:dyDescent="0.25">
      <c r="A988" s="6">
        <v>986</v>
      </c>
      <c r="B988" s="7">
        <v>71.76531982421875</v>
      </c>
      <c r="C988" s="3">
        <f t="shared" si="11"/>
        <v>0.45569480754748304</v>
      </c>
    </row>
    <row r="989" spans="1:3" ht="13.2" x14ac:dyDescent="0.25">
      <c r="A989" s="6">
        <v>987</v>
      </c>
      <c r="B989" s="7">
        <v>72.310684204101563</v>
      </c>
      <c r="C989" s="3">
        <f t="shared" si="11"/>
        <v>0.46540808205328937</v>
      </c>
    </row>
    <row r="990" spans="1:3" ht="13.2" x14ac:dyDescent="0.25">
      <c r="A990" s="6">
        <v>988</v>
      </c>
      <c r="B990" s="7">
        <v>74.901214599609375</v>
      </c>
      <c r="C990" s="3">
        <f t="shared" si="11"/>
        <v>0.51269099948511943</v>
      </c>
    </row>
    <row r="991" spans="1:3" ht="13.2" x14ac:dyDescent="0.25">
      <c r="A991" s="6">
        <v>989</v>
      </c>
      <c r="B991" s="7">
        <v>72.320426940917969</v>
      </c>
      <c r="C991" s="3">
        <f t="shared" si="11"/>
        <v>0.47156698950357478</v>
      </c>
    </row>
    <row r="992" spans="1:3" ht="13.2" x14ac:dyDescent="0.25">
      <c r="A992" s="6">
        <v>990</v>
      </c>
      <c r="B992" s="7">
        <v>72.505462646484375</v>
      </c>
      <c r="C992" s="3">
        <f t="shared" si="11"/>
        <v>0.47974867185017067</v>
      </c>
    </row>
    <row r="993" spans="1:3" ht="13.2" x14ac:dyDescent="0.25">
      <c r="A993" s="6">
        <v>991</v>
      </c>
      <c r="B993" s="7">
        <v>71.54132080078125</v>
      </c>
      <c r="C993" s="3">
        <f t="shared" si="11"/>
        <v>0.47924842906898302</v>
      </c>
    </row>
    <row r="994" spans="1:3" ht="13.2" x14ac:dyDescent="0.25">
      <c r="A994" s="6">
        <v>992</v>
      </c>
      <c r="B994" s="7">
        <v>71.064125061035156</v>
      </c>
      <c r="C994" s="3">
        <f t="shared" si="11"/>
        <v>0.45901856820647441</v>
      </c>
    </row>
    <row r="995" spans="1:3" ht="13.2" x14ac:dyDescent="0.25">
      <c r="A995" s="6">
        <v>993</v>
      </c>
      <c r="B995" s="7">
        <v>69.827285766601563</v>
      </c>
      <c r="C995" s="3">
        <f t="shared" si="11"/>
        <v>0.39237119871458481</v>
      </c>
    </row>
    <row r="996" spans="1:3" ht="13.2" x14ac:dyDescent="0.25">
      <c r="A996" s="6">
        <v>994</v>
      </c>
      <c r="B996" s="7">
        <v>70.216835021972656</v>
      </c>
      <c r="C996" s="3">
        <f t="shared" si="11"/>
        <v>0.37992696504222878</v>
      </c>
    </row>
    <row r="997" spans="1:3" ht="13.2" x14ac:dyDescent="0.25">
      <c r="A997" s="6">
        <v>995</v>
      </c>
      <c r="B997" s="7">
        <v>70.927780151367188</v>
      </c>
      <c r="C997" s="3">
        <f t="shared" si="11"/>
        <v>0.37630496627380228</v>
      </c>
    </row>
    <row r="998" spans="1:3" ht="13.2" x14ac:dyDescent="0.25">
      <c r="A998" s="6">
        <v>996</v>
      </c>
      <c r="B998" s="7">
        <v>71.775054931640625</v>
      </c>
      <c r="C998" s="3">
        <f t="shared" si="11"/>
        <v>0.36543585094893871</v>
      </c>
    </row>
    <row r="999" spans="1:3" ht="13.2" x14ac:dyDescent="0.25">
      <c r="A999" s="6">
        <v>997</v>
      </c>
      <c r="B999" s="7">
        <v>71.015426635742188</v>
      </c>
      <c r="C999" s="3">
        <f t="shared" si="11"/>
        <v>0.34972480665303035</v>
      </c>
    </row>
    <row r="1000" spans="1:3" ht="13.2" x14ac:dyDescent="0.25">
      <c r="A1000" s="6">
        <v>998</v>
      </c>
      <c r="B1000" s="7">
        <v>71.599754333496094</v>
      </c>
      <c r="C1000" s="3">
        <f t="shared" si="11"/>
        <v>0.36201326094610392</v>
      </c>
    </row>
    <row r="1001" spans="1:3" ht="13.2" x14ac:dyDescent="0.25">
      <c r="A1001" s="6">
        <v>999</v>
      </c>
      <c r="B1001" s="7">
        <v>71.210205078125</v>
      </c>
      <c r="C1001" s="3">
        <f t="shared" si="11"/>
        <v>0.35071427729852978</v>
      </c>
    </row>
    <row r="1002" spans="1:3" ht="13.2" x14ac:dyDescent="0.25">
      <c r="A1002" s="6">
        <v>1000</v>
      </c>
      <c r="B1002" s="7">
        <v>70.210174560546875</v>
      </c>
      <c r="C1002" s="3">
        <f t="shared" si="11"/>
        <v>0.30804456421198806</v>
      </c>
    </row>
    <row r="1003" spans="1:3" ht="13.2" x14ac:dyDescent="0.25">
      <c r="A1003" s="6">
        <v>1001</v>
      </c>
      <c r="B1003" s="7">
        <v>70.596321105957031</v>
      </c>
      <c r="C1003" s="3">
        <f t="shared" si="11"/>
        <v>0.30675732426057239</v>
      </c>
    </row>
    <row r="1004" spans="1:3" ht="13.2" x14ac:dyDescent="0.25">
      <c r="A1004" s="6">
        <v>1002</v>
      </c>
      <c r="B1004" s="7">
        <v>69.764610290527344</v>
      </c>
      <c r="C1004" s="3">
        <f t="shared" si="11"/>
        <v>0.29135046330096664</v>
      </c>
    </row>
    <row r="1005" spans="1:3" ht="13.2" x14ac:dyDescent="0.25">
      <c r="A1005" s="6">
        <v>1003</v>
      </c>
      <c r="B1005" s="7">
        <v>69.754707336425781</v>
      </c>
      <c r="C1005" s="3">
        <f t="shared" si="11"/>
        <v>0.27416792679754115</v>
      </c>
    </row>
    <row r="1006" spans="1:3" ht="13.2" x14ac:dyDescent="0.25">
      <c r="A1006" s="6">
        <v>1004</v>
      </c>
      <c r="B1006" s="7">
        <v>69.962638854980469</v>
      </c>
      <c r="C1006" s="3">
        <f t="shared" si="11"/>
        <v>0.29194571721212265</v>
      </c>
    </row>
    <row r="1007" spans="1:3" ht="13.2" x14ac:dyDescent="0.25">
      <c r="A1007" s="6">
        <v>1005</v>
      </c>
      <c r="B1007" s="7">
        <v>69.5269775390625</v>
      </c>
      <c r="C1007" s="3">
        <f t="shared" si="11"/>
        <v>0.29224432934220856</v>
      </c>
    </row>
    <row r="1008" spans="1:3" ht="13.2" x14ac:dyDescent="0.25">
      <c r="A1008" s="6">
        <v>1006</v>
      </c>
      <c r="B1008" s="7">
        <v>69.3487548828125</v>
      </c>
      <c r="C1008" s="3">
        <f t="shared" si="11"/>
        <v>0.32131749941900434</v>
      </c>
    </row>
    <row r="1009" spans="1:3" ht="13.2" x14ac:dyDescent="0.25">
      <c r="A1009" s="6">
        <v>1007</v>
      </c>
      <c r="B1009" s="7">
        <v>68.566551208496094</v>
      </c>
      <c r="C1009" s="3">
        <f t="shared" si="11"/>
        <v>0.28397871710905265</v>
      </c>
    </row>
    <row r="1010" spans="1:3" ht="13.2" x14ac:dyDescent="0.25">
      <c r="A1010" s="6">
        <v>1008</v>
      </c>
      <c r="B1010" s="7">
        <v>69.130928039550781</v>
      </c>
      <c r="C1010" s="3">
        <f t="shared" si="11"/>
        <v>0.292176107424578</v>
      </c>
    </row>
    <row r="1011" spans="1:3" ht="13.2" x14ac:dyDescent="0.25">
      <c r="A1011" s="6">
        <v>1009</v>
      </c>
      <c r="B1011" s="7">
        <v>68.041786193847656</v>
      </c>
      <c r="C1011" s="3">
        <f t="shared" si="11"/>
        <v>0.29804006446626685</v>
      </c>
    </row>
    <row r="1012" spans="1:3" ht="13.2" x14ac:dyDescent="0.25">
      <c r="A1012" s="6">
        <v>1010</v>
      </c>
      <c r="B1012" s="7">
        <v>67.536819458007813</v>
      </c>
      <c r="C1012" s="3">
        <f t="shared" si="11"/>
        <v>0.29813964282810229</v>
      </c>
    </row>
    <row r="1013" spans="1:3" ht="13.2" x14ac:dyDescent="0.25">
      <c r="A1013" s="6">
        <v>1011</v>
      </c>
      <c r="B1013" s="7">
        <v>67.804153442382813</v>
      </c>
      <c r="C1013" s="3">
        <f t="shared" si="11"/>
        <v>0.32190841261547398</v>
      </c>
    </row>
    <row r="1014" spans="1:3" ht="13.2" x14ac:dyDescent="0.25">
      <c r="A1014" s="6">
        <v>1012</v>
      </c>
      <c r="B1014" s="7">
        <v>66.962539672851563</v>
      </c>
      <c r="C1014" s="3">
        <f t="shared" si="11"/>
        <v>0.28669003663253839</v>
      </c>
    </row>
    <row r="1015" spans="1:3" ht="13.2" x14ac:dyDescent="0.25">
      <c r="A1015" s="6">
        <v>1013</v>
      </c>
      <c r="B1015" s="7">
        <v>67.536819458007813</v>
      </c>
      <c r="C1015" s="3">
        <f t="shared" si="11"/>
        <v>0.30986537560671978</v>
      </c>
    </row>
    <row r="1016" spans="1:3" ht="13.2" x14ac:dyDescent="0.25">
      <c r="A1016" s="6">
        <v>1014</v>
      </c>
      <c r="B1016" s="7">
        <v>67.497207641601563</v>
      </c>
      <c r="C1016" s="3">
        <f t="shared" si="11"/>
        <v>0.31875932650628475</v>
      </c>
    </row>
    <row r="1017" spans="1:3" ht="13.2" x14ac:dyDescent="0.25">
      <c r="A1017" s="6">
        <v>1015</v>
      </c>
      <c r="B1017" s="7">
        <v>66.586288452148438</v>
      </c>
      <c r="C1017" s="3">
        <f t="shared" si="11"/>
        <v>0.28435405320100671</v>
      </c>
    </row>
    <row r="1018" spans="1:3" ht="13.2" x14ac:dyDescent="0.25">
      <c r="A1018" s="6">
        <v>1016</v>
      </c>
      <c r="B1018" s="7">
        <v>61.536624908447266</v>
      </c>
      <c r="C1018" s="3">
        <f t="shared" si="11"/>
        <v>0.20977303640064543</v>
      </c>
    </row>
    <row r="1019" spans="1:3" ht="13.2" x14ac:dyDescent="0.25">
      <c r="A1019" s="6">
        <v>1017</v>
      </c>
      <c r="B1019" s="7">
        <v>63.833728790283203</v>
      </c>
      <c r="C1019" s="3">
        <f t="shared" si="11"/>
        <v>0.25111796556604826</v>
      </c>
    </row>
    <row r="1020" spans="1:3" ht="13.2" x14ac:dyDescent="0.25">
      <c r="A1020" s="6">
        <v>1018</v>
      </c>
      <c r="B1020" s="7">
        <v>67.853660583496094</v>
      </c>
      <c r="C1020" s="3">
        <f t="shared" si="11"/>
        <v>0.31042614739082008</v>
      </c>
    </row>
    <row r="1021" spans="1:3" ht="13.2" x14ac:dyDescent="0.25">
      <c r="A1021" s="6">
        <v>1019</v>
      </c>
      <c r="B1021" s="7">
        <v>66.833824157714844</v>
      </c>
      <c r="C1021" s="3">
        <f t="shared" si="11"/>
        <v>0.29449932583708094</v>
      </c>
    </row>
    <row r="1022" spans="1:3" ht="13.2" x14ac:dyDescent="0.25">
      <c r="A1022" s="6">
        <v>1020</v>
      </c>
      <c r="B1022" s="7">
        <v>62.635669708251953</v>
      </c>
      <c r="C1022" s="3">
        <f t="shared" si="11"/>
        <v>0.22982050609482751</v>
      </c>
    </row>
    <row r="1023" spans="1:3" ht="13.2" x14ac:dyDescent="0.25">
      <c r="A1023" s="6">
        <v>1021</v>
      </c>
      <c r="B1023" s="7">
        <v>61.526721954345703</v>
      </c>
      <c r="C1023" s="3">
        <f t="shared" ref="C1023:C1086" si="12">LN(B1023/B771)</f>
        <v>0.1779122201009514</v>
      </c>
    </row>
    <row r="1024" spans="1:3" ht="13.2" x14ac:dyDescent="0.25">
      <c r="A1024" s="6">
        <v>1022</v>
      </c>
      <c r="B1024" s="7">
        <v>60.992050170898438</v>
      </c>
      <c r="C1024" s="3">
        <f t="shared" si="12"/>
        <v>0.12010590912723164</v>
      </c>
    </row>
    <row r="1025" spans="1:3" ht="13.2" x14ac:dyDescent="0.25">
      <c r="A1025" s="6">
        <v>1023</v>
      </c>
      <c r="B1025" s="7">
        <v>60.695011138916016</v>
      </c>
      <c r="C1025" s="3">
        <f t="shared" si="12"/>
        <v>8.0716306944863328E-2</v>
      </c>
    </row>
    <row r="1026" spans="1:3" ht="13.2" x14ac:dyDescent="0.25">
      <c r="A1026" s="6">
        <v>1024</v>
      </c>
      <c r="B1026" s="7">
        <v>60.506889343261719</v>
      </c>
      <c r="C1026" s="3">
        <f t="shared" si="12"/>
        <v>7.9875813448561456E-2</v>
      </c>
    </row>
    <row r="1027" spans="1:3" ht="13.2" x14ac:dyDescent="0.25">
      <c r="A1027" s="6">
        <v>1025</v>
      </c>
      <c r="B1027" s="7">
        <v>60.259357452392578</v>
      </c>
      <c r="C1027" s="3">
        <f t="shared" si="12"/>
        <v>6.3991225017483416E-2</v>
      </c>
    </row>
    <row r="1028" spans="1:3" ht="13.2" x14ac:dyDescent="0.25">
      <c r="A1028" s="6">
        <v>1026</v>
      </c>
      <c r="B1028" s="7">
        <v>59.338535308837891</v>
      </c>
      <c r="C1028" s="3">
        <f t="shared" si="12"/>
        <v>3.9331403517426956E-2</v>
      </c>
    </row>
    <row r="1029" spans="1:3" ht="13.2" x14ac:dyDescent="0.25">
      <c r="A1029" s="6">
        <v>1027</v>
      </c>
      <c r="B1029" s="7">
        <v>59.992019653320313</v>
      </c>
      <c r="C1029" s="3">
        <f t="shared" si="12"/>
        <v>5.5933264560685453E-2</v>
      </c>
    </row>
    <row r="1030" spans="1:3" ht="13.2" x14ac:dyDescent="0.25">
      <c r="A1030" s="6">
        <v>1028</v>
      </c>
      <c r="B1030" s="7">
        <v>59.219718933105469</v>
      </c>
      <c r="C1030" s="3">
        <f t="shared" si="12"/>
        <v>2.5279730596270335E-2</v>
      </c>
    </row>
    <row r="1031" spans="1:3" ht="13.2" x14ac:dyDescent="0.25">
      <c r="A1031" s="6">
        <v>1029</v>
      </c>
      <c r="B1031" s="7">
        <v>59.170211791992188</v>
      </c>
      <c r="C1031" s="3">
        <f t="shared" si="12"/>
        <v>1.520967703715913E-2</v>
      </c>
    </row>
    <row r="1032" spans="1:3" ht="13.2" x14ac:dyDescent="0.25">
      <c r="A1032" s="6">
        <v>1030</v>
      </c>
      <c r="B1032" s="7">
        <v>61.526721954345703</v>
      </c>
      <c r="C1032" s="3">
        <f t="shared" si="12"/>
        <v>5.3427868242500405E-2</v>
      </c>
    </row>
    <row r="1033" spans="1:3" ht="13.2" x14ac:dyDescent="0.25">
      <c r="A1033" s="6">
        <v>1031</v>
      </c>
      <c r="B1033" s="7">
        <v>62.279224395751953</v>
      </c>
      <c r="C1033" s="3">
        <f t="shared" si="12"/>
        <v>6.8594247292839625E-2</v>
      </c>
    </row>
    <row r="1034" spans="1:3" ht="13.2" x14ac:dyDescent="0.25">
      <c r="A1034" s="6">
        <v>1032</v>
      </c>
      <c r="B1034" s="7">
        <v>62.279224395751953</v>
      </c>
      <c r="C1034" s="3">
        <f t="shared" si="12"/>
        <v>9.4208290342403952E-2</v>
      </c>
    </row>
    <row r="1035" spans="1:3" ht="13.2" x14ac:dyDescent="0.25">
      <c r="A1035" s="6">
        <v>1033</v>
      </c>
      <c r="B1035" s="7">
        <v>61.873271942138672</v>
      </c>
      <c r="C1035" s="3">
        <f t="shared" si="12"/>
        <v>0.10081319798514651</v>
      </c>
    </row>
    <row r="1036" spans="1:3" ht="13.2" x14ac:dyDescent="0.25">
      <c r="A1036" s="6">
        <v>1034</v>
      </c>
      <c r="B1036" s="7">
        <v>63.200046539306641</v>
      </c>
      <c r="C1036" s="3">
        <f t="shared" si="12"/>
        <v>0.11942189732037617</v>
      </c>
    </row>
    <row r="1037" spans="1:3" ht="13.2" x14ac:dyDescent="0.25">
      <c r="A1037" s="6">
        <v>1035</v>
      </c>
      <c r="B1037" s="7">
        <v>62.972312927246094</v>
      </c>
      <c r="C1037" s="3">
        <f t="shared" si="12"/>
        <v>0.14131246160487318</v>
      </c>
    </row>
    <row r="1038" spans="1:3" ht="13.2" x14ac:dyDescent="0.25">
      <c r="A1038" s="6">
        <v>1036</v>
      </c>
      <c r="B1038" s="7">
        <v>64.101058959960938</v>
      </c>
      <c r="C1038" s="3">
        <f t="shared" si="12"/>
        <v>0.14915251172026783</v>
      </c>
    </row>
    <row r="1039" spans="1:3" ht="13.2" x14ac:dyDescent="0.25">
      <c r="A1039" s="6">
        <v>1037</v>
      </c>
      <c r="B1039" s="7">
        <v>62.784187316894531</v>
      </c>
      <c r="C1039" s="3">
        <f t="shared" si="12"/>
        <v>0.1452916552647171</v>
      </c>
    </row>
    <row r="1040" spans="1:3" ht="13.2" x14ac:dyDescent="0.25">
      <c r="A1040" s="6">
        <v>1038</v>
      </c>
      <c r="B1040" s="7">
        <v>63.546588897705078</v>
      </c>
      <c r="C1040" s="3">
        <f t="shared" si="12"/>
        <v>0.13835075847895312</v>
      </c>
    </row>
    <row r="1041" spans="1:3" ht="13.2" x14ac:dyDescent="0.25">
      <c r="A1041" s="6">
        <v>1039</v>
      </c>
      <c r="B1041" s="7">
        <v>62.338630676269531</v>
      </c>
      <c r="C1041" s="3">
        <f t="shared" si="12"/>
        <v>0.12498341850154995</v>
      </c>
    </row>
    <row r="1042" spans="1:3" ht="13.2" x14ac:dyDescent="0.25">
      <c r="A1042" s="6">
        <v>1040</v>
      </c>
      <c r="B1042" s="7">
        <v>61.407909393310547</v>
      </c>
      <c r="C1042" s="3">
        <f t="shared" si="12"/>
        <v>7.8402350816029351E-2</v>
      </c>
    </row>
    <row r="1043" spans="1:3" ht="13.2" x14ac:dyDescent="0.25">
      <c r="A1043" s="6">
        <v>1041</v>
      </c>
      <c r="B1043" s="7">
        <v>61.378204345703125</v>
      </c>
      <c r="C1043" s="3">
        <f t="shared" si="12"/>
        <v>8.7570392142854475E-2</v>
      </c>
    </row>
    <row r="1044" spans="1:3" ht="13.2" x14ac:dyDescent="0.25">
      <c r="A1044" s="6">
        <v>1042</v>
      </c>
      <c r="B1044" s="7">
        <v>60.774223327636719</v>
      </c>
      <c r="C1044" s="3">
        <f t="shared" si="12"/>
        <v>7.1293810863993085E-2</v>
      </c>
    </row>
    <row r="1045" spans="1:3" ht="13.2" x14ac:dyDescent="0.25">
      <c r="A1045" s="6">
        <v>1043</v>
      </c>
      <c r="B1045" s="7">
        <v>61.259387969970703</v>
      </c>
      <c r="C1045" s="3">
        <f t="shared" si="12"/>
        <v>6.7441093981868441E-2</v>
      </c>
    </row>
    <row r="1046" spans="1:3" ht="13.2" x14ac:dyDescent="0.25">
      <c r="A1046" s="6">
        <v>1044</v>
      </c>
      <c r="B1046" s="7">
        <v>61.516822814941406</v>
      </c>
      <c r="C1046" s="3">
        <f t="shared" si="12"/>
        <v>9.3991550074048122E-2</v>
      </c>
    </row>
    <row r="1047" spans="1:3" ht="13.2" x14ac:dyDescent="0.25">
      <c r="A1047" s="6">
        <v>1045</v>
      </c>
      <c r="B1047" s="7">
        <v>62.803993225097656</v>
      </c>
      <c r="C1047" s="3">
        <f t="shared" si="12"/>
        <v>0.10604150481630083</v>
      </c>
    </row>
    <row r="1048" spans="1:3" ht="13.2" x14ac:dyDescent="0.25">
      <c r="A1048" s="6">
        <v>1046</v>
      </c>
      <c r="B1048" s="7">
        <v>61.249488830566406</v>
      </c>
      <c r="C1048" s="3">
        <f t="shared" si="12"/>
        <v>6.6259587780685372E-2</v>
      </c>
    </row>
    <row r="1049" spans="1:3" ht="13.2" x14ac:dyDescent="0.25">
      <c r="A1049" s="6">
        <v>1047</v>
      </c>
      <c r="B1049" s="7">
        <v>60.912841796875</v>
      </c>
      <c r="C1049" s="3">
        <f t="shared" si="12"/>
        <v>6.4322244394940664E-2</v>
      </c>
    </row>
    <row r="1050" spans="1:3" ht="13.2" x14ac:dyDescent="0.25">
      <c r="A1050" s="6">
        <v>1048</v>
      </c>
      <c r="B1050" s="7">
        <v>60.982151031494141</v>
      </c>
      <c r="C1050" s="3">
        <f t="shared" si="12"/>
        <v>7.3505385086566552E-2</v>
      </c>
    </row>
    <row r="1051" spans="1:3" ht="13.2" x14ac:dyDescent="0.25">
      <c r="A1051" s="6">
        <v>1049</v>
      </c>
      <c r="B1051" s="7">
        <v>60.289058685302734</v>
      </c>
      <c r="C1051" s="3">
        <f t="shared" si="12"/>
        <v>6.4311778987715285E-2</v>
      </c>
    </row>
    <row r="1052" spans="1:3" ht="13.2" x14ac:dyDescent="0.25">
      <c r="A1052" s="6">
        <v>1050</v>
      </c>
      <c r="B1052" s="7">
        <v>61.506919860839844</v>
      </c>
      <c r="C1052" s="3">
        <f t="shared" si="12"/>
        <v>0.10537519397880438</v>
      </c>
    </row>
    <row r="1053" spans="1:3" ht="13.2" x14ac:dyDescent="0.25">
      <c r="A1053" s="6">
        <v>1051</v>
      </c>
      <c r="B1053" s="7">
        <v>61.249488830566406</v>
      </c>
      <c r="C1053" s="3">
        <f t="shared" si="12"/>
        <v>0.11606965125905927</v>
      </c>
    </row>
    <row r="1054" spans="1:3" ht="13.2" x14ac:dyDescent="0.25">
      <c r="A1054" s="6">
        <v>1052</v>
      </c>
      <c r="B1054" s="7">
        <v>60.833629608154297</v>
      </c>
      <c r="C1054" s="3">
        <f t="shared" si="12"/>
        <v>0.10979269595257482</v>
      </c>
    </row>
    <row r="1055" spans="1:3" ht="13.2" x14ac:dyDescent="0.25">
      <c r="A1055" s="6">
        <v>1053</v>
      </c>
      <c r="B1055" s="7">
        <v>57.6256103515625</v>
      </c>
      <c r="C1055" s="3">
        <f t="shared" si="12"/>
        <v>5.0271344127479071E-2</v>
      </c>
    </row>
    <row r="1056" spans="1:3" ht="13.2" x14ac:dyDescent="0.25">
      <c r="A1056" s="6">
        <v>1054</v>
      </c>
      <c r="B1056" s="7">
        <v>54.853244781494141</v>
      </c>
      <c r="C1056" s="3">
        <f t="shared" si="12"/>
        <v>-1.3676877298249653E-2</v>
      </c>
    </row>
    <row r="1057" spans="1:3" ht="13.2" x14ac:dyDescent="0.25">
      <c r="A1057" s="6">
        <v>1055</v>
      </c>
      <c r="B1057" s="7">
        <v>54.576004028320313</v>
      </c>
      <c r="C1057" s="3">
        <f t="shared" si="12"/>
        <v>-2.9716895330990811E-2</v>
      </c>
    </row>
    <row r="1058" spans="1:3" ht="13.2" x14ac:dyDescent="0.25">
      <c r="A1058" s="6">
        <v>1056</v>
      </c>
      <c r="B1058" s="7">
        <v>54.061134338378906</v>
      </c>
      <c r="C1058" s="3">
        <f t="shared" si="12"/>
        <v>-5.3299747350406858E-2</v>
      </c>
    </row>
    <row r="1059" spans="1:3" ht="13.2" x14ac:dyDescent="0.25">
      <c r="A1059" s="6">
        <v>1057</v>
      </c>
      <c r="B1059" s="7">
        <v>54.684917449951172</v>
      </c>
      <c r="C1059" s="3">
        <f t="shared" si="12"/>
        <v>-4.8975094817304367E-2</v>
      </c>
    </row>
    <row r="1060" spans="1:3" ht="13.2" x14ac:dyDescent="0.25">
      <c r="A1060" s="6">
        <v>1058</v>
      </c>
      <c r="B1060" s="7">
        <v>55.467124938964844</v>
      </c>
      <c r="C1060" s="3">
        <f t="shared" si="12"/>
        <v>-2.300267585896407E-2</v>
      </c>
    </row>
    <row r="1061" spans="1:3" ht="13.2" x14ac:dyDescent="0.25">
      <c r="A1061" s="6">
        <v>1059</v>
      </c>
      <c r="B1061" s="7">
        <v>54.813636779785156</v>
      </c>
      <c r="C1061" s="3">
        <f t="shared" si="12"/>
        <v>-2.6064766096755381E-2</v>
      </c>
    </row>
    <row r="1062" spans="1:3" ht="13.2" x14ac:dyDescent="0.25">
      <c r="A1062" s="6">
        <v>1060</v>
      </c>
      <c r="B1062" s="7">
        <v>54.684917449951172</v>
      </c>
      <c r="C1062" s="3">
        <f t="shared" si="12"/>
        <v>-8.3084864130129783E-3</v>
      </c>
    </row>
    <row r="1063" spans="1:3" ht="13.2" x14ac:dyDescent="0.25">
      <c r="A1063" s="6">
        <v>1061</v>
      </c>
      <c r="B1063" s="7">
        <v>53.863113403320313</v>
      </c>
      <c r="C1063" s="3">
        <f t="shared" si="12"/>
        <v>-3.5039769783140877E-2</v>
      </c>
    </row>
    <row r="1064" spans="1:3" ht="13.2" x14ac:dyDescent="0.25">
      <c r="A1064" s="6">
        <v>1062</v>
      </c>
      <c r="B1064" s="7">
        <v>54.467090606689453</v>
      </c>
      <c r="C1064" s="3">
        <f t="shared" si="12"/>
        <v>-4.359570873184862E-2</v>
      </c>
    </row>
    <row r="1065" spans="1:3" ht="13.2" x14ac:dyDescent="0.25">
      <c r="A1065" s="6">
        <v>1063</v>
      </c>
      <c r="B1065" s="7">
        <v>54.476993560791016</v>
      </c>
      <c r="C1065" s="3">
        <f t="shared" si="12"/>
        <v>-5.1087322074612654E-2</v>
      </c>
    </row>
    <row r="1066" spans="1:3" ht="13.2" x14ac:dyDescent="0.25">
      <c r="A1066" s="6">
        <v>1064</v>
      </c>
      <c r="B1066" s="7">
        <v>54.486892700195313</v>
      </c>
      <c r="C1066" s="3">
        <f t="shared" si="12"/>
        <v>-4.4600753745173576E-2</v>
      </c>
    </row>
    <row r="1067" spans="1:3" ht="13.2" x14ac:dyDescent="0.25">
      <c r="A1067" s="6">
        <v>1065</v>
      </c>
      <c r="B1067" s="7">
        <v>54.457191467285156</v>
      </c>
      <c r="C1067" s="3">
        <f t="shared" si="12"/>
        <v>-4.6171137092136903E-2</v>
      </c>
    </row>
    <row r="1068" spans="1:3" ht="13.2" x14ac:dyDescent="0.25">
      <c r="A1068" s="6">
        <v>1066</v>
      </c>
      <c r="B1068" s="7">
        <v>54.457191467285156</v>
      </c>
      <c r="C1068" s="3">
        <f t="shared" si="12"/>
        <v>-8.5516613102673972E-2</v>
      </c>
    </row>
    <row r="1069" spans="1:3" ht="13.2" x14ac:dyDescent="0.25">
      <c r="A1069" s="6">
        <v>1067</v>
      </c>
      <c r="B1069" s="7">
        <v>55.120574951171875</v>
      </c>
      <c r="C1069" s="3">
        <f t="shared" si="12"/>
        <v>-0.10285092060322414</v>
      </c>
    </row>
    <row r="1070" spans="1:3" ht="13.2" x14ac:dyDescent="0.25">
      <c r="A1070" s="6">
        <v>1068</v>
      </c>
      <c r="B1070" s="7">
        <v>55.566135406494141</v>
      </c>
      <c r="C1070" s="3">
        <f t="shared" si="12"/>
        <v>-0.10226455806917731</v>
      </c>
    </row>
    <row r="1071" spans="1:3" ht="13.2" x14ac:dyDescent="0.25">
      <c r="A1071" s="6">
        <v>1069</v>
      </c>
      <c r="B1071" s="7">
        <v>55.635444641113281</v>
      </c>
      <c r="C1071" s="3">
        <f t="shared" si="12"/>
        <v>-0.14436844602323218</v>
      </c>
    </row>
    <row r="1072" spans="1:3" ht="13.2" x14ac:dyDescent="0.25">
      <c r="A1072" s="6">
        <v>1070</v>
      </c>
      <c r="B1072" s="7">
        <v>55.803768157958984</v>
      </c>
      <c r="C1072" s="3">
        <f t="shared" si="12"/>
        <v>-0.11789277642656397</v>
      </c>
    </row>
    <row r="1073" spans="1:3" ht="13.2" x14ac:dyDescent="0.25">
      <c r="A1073" s="6">
        <v>1071</v>
      </c>
      <c r="B1073" s="7">
        <v>56.69488525390625</v>
      </c>
      <c r="C1073" s="3">
        <f t="shared" si="12"/>
        <v>-5.3260088558352757E-2</v>
      </c>
    </row>
    <row r="1074" spans="1:3" ht="13.2" x14ac:dyDescent="0.25">
      <c r="A1074" s="6">
        <v>1072</v>
      </c>
      <c r="B1074" s="7">
        <v>57.417682647705078</v>
      </c>
      <c r="C1074" s="3">
        <f t="shared" si="12"/>
        <v>-2.5819530860673426E-3</v>
      </c>
    </row>
    <row r="1075" spans="1:3" ht="13.2" x14ac:dyDescent="0.25">
      <c r="A1075" s="6">
        <v>1073</v>
      </c>
      <c r="B1075" s="7">
        <v>55.853275299072266</v>
      </c>
      <c r="C1075" s="3">
        <f t="shared" si="12"/>
        <v>-2.4437574971065405E-2</v>
      </c>
    </row>
    <row r="1076" spans="1:3" ht="13.2" x14ac:dyDescent="0.25">
      <c r="A1076" s="6">
        <v>1074</v>
      </c>
      <c r="B1076" s="7">
        <v>55.516628265380859</v>
      </c>
      <c r="C1076" s="3">
        <f t="shared" si="12"/>
        <v>-5.6349590331308153E-2</v>
      </c>
    </row>
    <row r="1077" spans="1:3" ht="13.2" x14ac:dyDescent="0.25">
      <c r="A1077" s="6">
        <v>1075</v>
      </c>
      <c r="B1077" s="7">
        <v>55.952285766601563</v>
      </c>
      <c r="C1077" s="3">
        <f t="shared" si="12"/>
        <v>-5.448417363910886E-2</v>
      </c>
    </row>
    <row r="1078" spans="1:3" ht="13.2" x14ac:dyDescent="0.25">
      <c r="A1078" s="6">
        <v>1076</v>
      </c>
      <c r="B1078" s="7">
        <v>54.833438873291016</v>
      </c>
      <c r="C1078" s="3">
        <f t="shared" si="12"/>
        <v>-6.3745200336353017E-2</v>
      </c>
    </row>
    <row r="1079" spans="1:3" ht="13.2" x14ac:dyDescent="0.25">
      <c r="A1079" s="6">
        <v>1077</v>
      </c>
      <c r="B1079" s="7">
        <v>54.734424591064453</v>
      </c>
      <c r="C1079" s="3">
        <f t="shared" si="12"/>
        <v>-6.3550869654590447E-2</v>
      </c>
    </row>
    <row r="1080" spans="1:3" ht="13.2" x14ac:dyDescent="0.25">
      <c r="A1080" s="6">
        <v>1078</v>
      </c>
      <c r="B1080" s="7">
        <v>56.090908050537109</v>
      </c>
      <c r="C1080" s="3">
        <f t="shared" si="12"/>
        <v>-2.2571305644211958E-2</v>
      </c>
    </row>
    <row r="1081" spans="1:3" ht="13.2" x14ac:dyDescent="0.25">
      <c r="A1081" s="6">
        <v>1079</v>
      </c>
      <c r="B1081" s="7">
        <v>55.358207702636719</v>
      </c>
      <c r="C1081" s="3">
        <f t="shared" si="12"/>
        <v>-5.4053816501420243E-2</v>
      </c>
    </row>
    <row r="1082" spans="1:3" ht="13.2" x14ac:dyDescent="0.25">
      <c r="A1082" s="6">
        <v>1080</v>
      </c>
      <c r="B1082" s="7">
        <v>53.566070556640625</v>
      </c>
      <c r="C1082" s="3">
        <f t="shared" si="12"/>
        <v>-9.6583117276540162E-2</v>
      </c>
    </row>
    <row r="1083" spans="1:3" ht="13.2" x14ac:dyDescent="0.25">
      <c r="A1083" s="6">
        <v>1081</v>
      </c>
      <c r="B1083" s="7">
        <v>55.209686279296875</v>
      </c>
      <c r="C1083" s="3">
        <f t="shared" si="12"/>
        <v>-6.04003396245981E-2</v>
      </c>
    </row>
    <row r="1084" spans="1:3" ht="13.2" x14ac:dyDescent="0.25">
      <c r="A1084" s="6">
        <v>1082</v>
      </c>
      <c r="B1084" s="7">
        <v>53.85321044921875</v>
      </c>
      <c r="C1084" s="3">
        <f t="shared" si="12"/>
        <v>-7.9948656040384744E-2</v>
      </c>
    </row>
    <row r="1085" spans="1:3" ht="13.2" x14ac:dyDescent="0.25">
      <c r="A1085" s="6">
        <v>1083</v>
      </c>
      <c r="B1085" s="7">
        <v>53.189823150634766</v>
      </c>
      <c r="C1085" s="3">
        <f t="shared" si="12"/>
        <v>-9.4678120066073373E-2</v>
      </c>
    </row>
    <row r="1086" spans="1:3" ht="13.2" x14ac:dyDescent="0.25">
      <c r="A1086" s="6">
        <v>1084</v>
      </c>
      <c r="B1086" s="7">
        <v>52.397716522216797</v>
      </c>
      <c r="C1086" s="3">
        <f t="shared" si="12"/>
        <v>-0.11400327150797457</v>
      </c>
    </row>
    <row r="1087" spans="1:3" ht="13.2" x14ac:dyDescent="0.25">
      <c r="A1087" s="6">
        <v>1085</v>
      </c>
      <c r="B1087" s="7">
        <v>51.447193145751953</v>
      </c>
      <c r="C1087" s="3">
        <f t="shared" ref="C1087:C1150" si="13">LN(B1087/B835)</f>
        <v>-0.13081670930585113</v>
      </c>
    </row>
    <row r="1088" spans="1:3" ht="13.2" x14ac:dyDescent="0.25">
      <c r="A1088" s="6">
        <v>1086</v>
      </c>
      <c r="B1088" s="7">
        <v>52.684856414794922</v>
      </c>
      <c r="C1088" s="3">
        <f t="shared" si="13"/>
        <v>-0.11102266062453547</v>
      </c>
    </row>
    <row r="1089" spans="1:3" ht="13.2" x14ac:dyDescent="0.25">
      <c r="A1089" s="6">
        <v>1087</v>
      </c>
      <c r="B1089" s="7">
        <v>50.83331298828125</v>
      </c>
      <c r="C1089" s="3">
        <f t="shared" si="13"/>
        <v>-0.14497751432078809</v>
      </c>
    </row>
    <row r="1090" spans="1:3" ht="13.2" x14ac:dyDescent="0.25">
      <c r="A1090" s="6">
        <v>1088</v>
      </c>
      <c r="B1090" s="7">
        <v>50.971927642822266</v>
      </c>
      <c r="C1090" s="3">
        <f t="shared" si="13"/>
        <v>-0.15001341595320439</v>
      </c>
    </row>
    <row r="1091" spans="1:3" ht="13.2" x14ac:dyDescent="0.25">
      <c r="A1091" s="6">
        <v>1089</v>
      </c>
      <c r="B1091" s="7">
        <v>52.090778350830078</v>
      </c>
      <c r="C1091" s="3">
        <f t="shared" si="13"/>
        <v>-0.11805245140395391</v>
      </c>
    </row>
    <row r="1092" spans="1:3" ht="13.2" x14ac:dyDescent="0.25">
      <c r="A1092" s="6">
        <v>1090</v>
      </c>
      <c r="B1092" s="7">
        <v>52.506629943847656</v>
      </c>
      <c r="C1092" s="3">
        <f t="shared" si="13"/>
        <v>-0.10693930570403869</v>
      </c>
    </row>
    <row r="1093" spans="1:3" ht="13.2" x14ac:dyDescent="0.25">
      <c r="A1093" s="6">
        <v>1091</v>
      </c>
      <c r="B1093" s="7">
        <v>52.001667022705078</v>
      </c>
      <c r="C1093" s="3">
        <f t="shared" si="13"/>
        <v>-0.12324752757439648</v>
      </c>
    </row>
    <row r="1094" spans="1:3" ht="13.2" x14ac:dyDescent="0.25">
      <c r="A1094" s="6">
        <v>1092</v>
      </c>
      <c r="B1094" s="7">
        <v>52.397716522216797</v>
      </c>
      <c r="C1094" s="3">
        <f t="shared" si="13"/>
        <v>-0.10667965350938712</v>
      </c>
    </row>
    <row r="1095" spans="1:3" ht="13.2" x14ac:dyDescent="0.25">
      <c r="A1095" s="6">
        <v>1093</v>
      </c>
      <c r="B1095" s="7">
        <v>52.724460601806641</v>
      </c>
      <c r="C1095" s="3">
        <f t="shared" si="13"/>
        <v>-0.11142854923910621</v>
      </c>
    </row>
    <row r="1096" spans="1:3" ht="13.2" x14ac:dyDescent="0.25">
      <c r="A1096" s="6">
        <v>1094</v>
      </c>
      <c r="B1096" s="7">
        <v>51.724430084228516</v>
      </c>
      <c r="C1096" s="3">
        <f t="shared" si="13"/>
        <v>-0.14972575244329603</v>
      </c>
    </row>
    <row r="1097" spans="1:3" ht="13.2" x14ac:dyDescent="0.25">
      <c r="A1097" s="6">
        <v>1095</v>
      </c>
      <c r="B1097" s="7">
        <v>51.803638458251953</v>
      </c>
      <c r="C1097" s="3">
        <f t="shared" si="13"/>
        <v>-0.15658951680304253</v>
      </c>
    </row>
    <row r="1098" spans="1:3" ht="13.2" x14ac:dyDescent="0.25">
      <c r="A1098" s="6">
        <v>1096</v>
      </c>
      <c r="B1098" s="7">
        <v>52.595741271972656</v>
      </c>
      <c r="C1098" s="3">
        <f t="shared" si="13"/>
        <v>-0.13835599917853222</v>
      </c>
    </row>
    <row r="1099" spans="1:3" ht="13.2" x14ac:dyDescent="0.25">
      <c r="A1099" s="6">
        <v>1097</v>
      </c>
      <c r="B1099" s="7">
        <v>52.853179931640625</v>
      </c>
      <c r="C1099" s="3">
        <f t="shared" si="13"/>
        <v>-0.16583642819444649</v>
      </c>
    </row>
    <row r="1100" spans="1:3" ht="13.2" x14ac:dyDescent="0.25">
      <c r="A1100" s="6">
        <v>1098</v>
      </c>
      <c r="B1100" s="7">
        <v>52.338310241699219</v>
      </c>
      <c r="C1100" s="3">
        <f t="shared" si="13"/>
        <v>-0.17843159121850638</v>
      </c>
    </row>
    <row r="1101" spans="1:3" ht="13.2" x14ac:dyDescent="0.25">
      <c r="A1101" s="6">
        <v>1099</v>
      </c>
      <c r="B1101" s="7">
        <v>53.793804168701172</v>
      </c>
      <c r="C1101" s="3">
        <f t="shared" si="13"/>
        <v>-0.1378397356563319</v>
      </c>
    </row>
    <row r="1102" spans="1:3" ht="13.2" x14ac:dyDescent="0.25">
      <c r="A1102" s="6">
        <v>1100</v>
      </c>
      <c r="B1102" s="7">
        <v>53.665084838867188</v>
      </c>
      <c r="C1102" s="3">
        <f t="shared" si="13"/>
        <v>-0.13928866212714069</v>
      </c>
    </row>
    <row r="1103" spans="1:3" ht="13.2" x14ac:dyDescent="0.25">
      <c r="A1103" s="6">
        <v>1101</v>
      </c>
      <c r="B1103" s="7">
        <v>53.061103820800781</v>
      </c>
      <c r="C1103" s="3">
        <f t="shared" si="13"/>
        <v>-0.15186929148526801</v>
      </c>
    </row>
    <row r="1104" spans="1:3" ht="13.2" x14ac:dyDescent="0.25">
      <c r="A1104" s="6">
        <v>1102</v>
      </c>
      <c r="B1104" s="7">
        <v>51.882850646972656</v>
      </c>
      <c r="C1104" s="3">
        <f t="shared" si="13"/>
        <v>-0.17715930964844484</v>
      </c>
    </row>
    <row r="1105" spans="1:3" ht="13.2" x14ac:dyDescent="0.25">
      <c r="A1105" s="6">
        <v>1103</v>
      </c>
      <c r="B1105" s="7">
        <v>53.031402587890625</v>
      </c>
      <c r="C1105" s="3">
        <f t="shared" si="13"/>
        <v>-0.14562596606344211</v>
      </c>
    </row>
    <row r="1106" spans="1:3" ht="13.2" x14ac:dyDescent="0.25">
      <c r="A1106" s="6">
        <v>1104</v>
      </c>
      <c r="B1106" s="7">
        <v>53.467060089111328</v>
      </c>
      <c r="C1106" s="3">
        <f t="shared" si="13"/>
        <v>-0.14330120785391537</v>
      </c>
    </row>
    <row r="1107" spans="1:3" ht="13.2" x14ac:dyDescent="0.25">
      <c r="A1107" s="6">
        <v>1105</v>
      </c>
      <c r="B1107" s="7">
        <v>53.962123870849609</v>
      </c>
      <c r="C1107" s="3">
        <f t="shared" si="13"/>
        <v>-0.14741076080319745</v>
      </c>
    </row>
    <row r="1108" spans="1:3" ht="13.2" x14ac:dyDescent="0.25">
      <c r="A1108" s="6">
        <v>1106</v>
      </c>
      <c r="B1108" s="7">
        <v>52.674953460693359</v>
      </c>
      <c r="C1108" s="3">
        <f t="shared" si="13"/>
        <v>-0.16185035311826748</v>
      </c>
    </row>
    <row r="1109" spans="1:3" ht="13.2" x14ac:dyDescent="0.25">
      <c r="A1109" s="6">
        <v>1107</v>
      </c>
      <c r="B1109" s="7">
        <v>53.130413055419922</v>
      </c>
      <c r="C1109" s="3">
        <f t="shared" si="13"/>
        <v>-0.15826052734644927</v>
      </c>
    </row>
    <row r="1110" spans="1:3" ht="13.2" x14ac:dyDescent="0.25">
      <c r="A1110" s="6">
        <v>1108</v>
      </c>
      <c r="B1110" s="7">
        <v>52.813571929931641</v>
      </c>
      <c r="C1110" s="3">
        <f t="shared" si="13"/>
        <v>-0.1548093093182504</v>
      </c>
    </row>
    <row r="1111" spans="1:3" ht="13.2" x14ac:dyDescent="0.25">
      <c r="A1111" s="6">
        <v>1109</v>
      </c>
      <c r="B1111" s="7">
        <v>52.516532897949219</v>
      </c>
      <c r="C1111" s="3">
        <f t="shared" si="13"/>
        <v>-0.18525377898365328</v>
      </c>
    </row>
    <row r="1112" spans="1:3" ht="13.2" x14ac:dyDescent="0.25">
      <c r="A1112" s="6">
        <v>1110</v>
      </c>
      <c r="B1112" s="7">
        <v>54.615612030029297</v>
      </c>
      <c r="C1112" s="3">
        <f t="shared" si="13"/>
        <v>-0.12912438383537378</v>
      </c>
    </row>
    <row r="1113" spans="1:3" ht="13.2" x14ac:dyDescent="0.25">
      <c r="A1113" s="6">
        <v>1111</v>
      </c>
      <c r="B1113" s="7">
        <v>53.843311309814453</v>
      </c>
      <c r="C1113" s="3">
        <f t="shared" si="13"/>
        <v>-0.12134173390229577</v>
      </c>
    </row>
    <row r="1114" spans="1:3" ht="13.2" x14ac:dyDescent="0.25">
      <c r="A1114" s="6">
        <v>1112</v>
      </c>
      <c r="B1114" s="7">
        <v>53.833404541015625</v>
      </c>
      <c r="C1114" s="3">
        <f t="shared" si="13"/>
        <v>-9.8513867555281492E-2</v>
      </c>
    </row>
    <row r="1115" spans="1:3" ht="13.2" x14ac:dyDescent="0.25">
      <c r="A1115" s="6">
        <v>1113</v>
      </c>
      <c r="B1115" s="7">
        <v>54.556201934814453</v>
      </c>
      <c r="C1115" s="3">
        <f t="shared" si="13"/>
        <v>-0.10014598715122422</v>
      </c>
    </row>
    <row r="1116" spans="1:3" ht="13.2" x14ac:dyDescent="0.25">
      <c r="A1116" s="6">
        <v>1114</v>
      </c>
      <c r="B1116" s="7">
        <v>54.368076324462891</v>
      </c>
      <c r="C1116" s="3">
        <f t="shared" si="13"/>
        <v>-0.10795120775553084</v>
      </c>
    </row>
    <row r="1117" spans="1:3" ht="13.2" x14ac:dyDescent="0.25">
      <c r="A1117" s="6">
        <v>1115</v>
      </c>
      <c r="B1117" s="7">
        <v>53.189823150634766</v>
      </c>
      <c r="C1117" s="3">
        <f t="shared" si="13"/>
        <v>-0.11886682473008202</v>
      </c>
    </row>
    <row r="1118" spans="1:3" ht="13.2" x14ac:dyDescent="0.25">
      <c r="A1118" s="6">
        <v>1116</v>
      </c>
      <c r="B1118" s="7">
        <v>50.318443298339844</v>
      </c>
      <c r="C1118" s="3">
        <f t="shared" si="13"/>
        <v>-0.17663578812437752</v>
      </c>
    </row>
    <row r="1119" spans="1:3" ht="13.2" x14ac:dyDescent="0.25">
      <c r="A1119" s="6">
        <v>1117</v>
      </c>
      <c r="B1119" s="7">
        <v>50.853115081787109</v>
      </c>
      <c r="C1119" s="3">
        <f t="shared" si="13"/>
        <v>-0.13442716520217712</v>
      </c>
    </row>
    <row r="1120" spans="1:3" ht="13.2" x14ac:dyDescent="0.25">
      <c r="A1120" s="6">
        <v>1118</v>
      </c>
      <c r="B1120" s="7">
        <v>49.763969421386719</v>
      </c>
      <c r="C1120" s="3">
        <f t="shared" si="13"/>
        <v>-0.14800874409666573</v>
      </c>
    </row>
    <row r="1121" spans="1:3" ht="13.2" x14ac:dyDescent="0.25">
      <c r="A1121" s="6">
        <v>1119</v>
      </c>
      <c r="B1121" s="7">
        <v>50.130317687988281</v>
      </c>
      <c r="C1121" s="3">
        <f t="shared" si="13"/>
        <v>-0.13678460446568283</v>
      </c>
    </row>
    <row r="1122" spans="1:3" ht="13.2" x14ac:dyDescent="0.25">
      <c r="A1122" s="6">
        <v>1120</v>
      </c>
      <c r="B1122" s="7">
        <v>48.892654418945313</v>
      </c>
      <c r="C1122" s="3">
        <f t="shared" si="13"/>
        <v>-0.20781039363856746</v>
      </c>
    </row>
    <row r="1123" spans="1:3" ht="13.2" x14ac:dyDescent="0.25">
      <c r="A1123" s="6">
        <v>1121</v>
      </c>
      <c r="B1123" s="7">
        <v>48.338180541992188</v>
      </c>
      <c r="C1123" s="3">
        <f t="shared" si="13"/>
        <v>-0.23319529378077528</v>
      </c>
    </row>
    <row r="1124" spans="1:3" ht="13.2" x14ac:dyDescent="0.25">
      <c r="A1124" s="6">
        <v>1122</v>
      </c>
      <c r="B1124" s="7">
        <v>47.833217620849609</v>
      </c>
      <c r="C1124" s="3">
        <f t="shared" si="13"/>
        <v>-0.23246429811404856</v>
      </c>
    </row>
    <row r="1125" spans="1:3" ht="13.2" x14ac:dyDescent="0.25">
      <c r="A1125" s="6">
        <v>1123</v>
      </c>
      <c r="B1125" s="7">
        <v>48.674827575683594</v>
      </c>
      <c r="C1125" s="3">
        <f t="shared" si="13"/>
        <v>-0.21065610192906506</v>
      </c>
    </row>
    <row r="1126" spans="1:3" ht="13.2" x14ac:dyDescent="0.25">
      <c r="A1126" s="6">
        <v>1124</v>
      </c>
      <c r="B1126" s="7">
        <v>49.952095031738281</v>
      </c>
      <c r="C1126" s="3">
        <f t="shared" si="13"/>
        <v>-0.15414411223400859</v>
      </c>
    </row>
    <row r="1127" spans="1:3" ht="13.2" x14ac:dyDescent="0.25">
      <c r="A1127" s="6">
        <v>1125</v>
      </c>
      <c r="B1127" s="7">
        <v>48.872852325439453</v>
      </c>
      <c r="C1127" s="3">
        <f t="shared" si="13"/>
        <v>-0.18165215410542773</v>
      </c>
    </row>
    <row r="1128" spans="1:3" ht="13.2" x14ac:dyDescent="0.25">
      <c r="A1128" s="6">
        <v>1126</v>
      </c>
      <c r="B1128" s="7">
        <v>49.783771514892578</v>
      </c>
      <c r="C1128" s="3">
        <f t="shared" si="13"/>
        <v>-0.20388752688921077</v>
      </c>
    </row>
    <row r="1129" spans="1:3" ht="13.2" x14ac:dyDescent="0.25">
      <c r="A1129" s="6">
        <v>1127</v>
      </c>
      <c r="B1129" s="7">
        <v>49.645153045654297</v>
      </c>
      <c r="C1129" s="3">
        <f t="shared" si="13"/>
        <v>-0.19947058448294794</v>
      </c>
    </row>
    <row r="1130" spans="1:3" ht="13.2" x14ac:dyDescent="0.25">
      <c r="A1130" s="6">
        <v>1128</v>
      </c>
      <c r="B1130" s="7">
        <v>49.011470794677734</v>
      </c>
      <c r="C1130" s="3">
        <f t="shared" si="13"/>
        <v>-0.1998663244171377</v>
      </c>
    </row>
    <row r="1131" spans="1:3" ht="13.2" x14ac:dyDescent="0.25">
      <c r="A1131" s="6">
        <v>1129</v>
      </c>
      <c r="B1131" s="7">
        <v>48.159957885742188</v>
      </c>
      <c r="C1131" s="3">
        <f t="shared" si="13"/>
        <v>-0.2067605322199822</v>
      </c>
    </row>
    <row r="1132" spans="1:3" ht="13.2" x14ac:dyDescent="0.25">
      <c r="A1132" s="6">
        <v>1130</v>
      </c>
      <c r="B1132" s="7">
        <v>47.357955932617188</v>
      </c>
      <c r="C1132" s="3">
        <f t="shared" si="13"/>
        <v>-0.22912917616619918</v>
      </c>
    </row>
    <row r="1133" spans="1:3" ht="13.2" x14ac:dyDescent="0.25">
      <c r="A1133" s="6">
        <v>1131</v>
      </c>
      <c r="B1133" s="7">
        <v>47.496570587158203</v>
      </c>
      <c r="C1133" s="3">
        <f t="shared" si="13"/>
        <v>-0.22375053402324049</v>
      </c>
    </row>
    <row r="1134" spans="1:3" ht="13.2" x14ac:dyDescent="0.25">
      <c r="A1134" s="6">
        <v>1132</v>
      </c>
      <c r="B1134" s="7">
        <v>47.120319366455078</v>
      </c>
      <c r="C1134" s="3">
        <f t="shared" si="13"/>
        <v>-0.23285055897488027</v>
      </c>
    </row>
    <row r="1135" spans="1:3" ht="13.2" x14ac:dyDescent="0.25">
      <c r="A1135" s="6">
        <v>1133</v>
      </c>
      <c r="B1135" s="7">
        <v>47.625286102294922</v>
      </c>
      <c r="C1135" s="3">
        <f t="shared" si="13"/>
        <v>-0.22350016477786885</v>
      </c>
    </row>
    <row r="1136" spans="1:3" ht="13.2" x14ac:dyDescent="0.25">
      <c r="A1136" s="6">
        <v>1134</v>
      </c>
      <c r="B1136" s="7">
        <v>47.100517272949219</v>
      </c>
      <c r="C1136" s="3">
        <f t="shared" si="13"/>
        <v>-0.246447254714664</v>
      </c>
    </row>
    <row r="1137" spans="1:3" ht="13.2" x14ac:dyDescent="0.25">
      <c r="A1137" s="6">
        <v>1135</v>
      </c>
      <c r="B1137" s="7">
        <v>46.852985382080078</v>
      </c>
      <c r="C1137" s="3">
        <f t="shared" si="13"/>
        <v>-0.22452402479729805</v>
      </c>
    </row>
    <row r="1138" spans="1:3" ht="13.2" x14ac:dyDescent="0.25">
      <c r="A1138" s="6">
        <v>1136</v>
      </c>
      <c r="B1138" s="7">
        <v>46.862888336181641</v>
      </c>
      <c r="C1138" s="3">
        <f t="shared" si="13"/>
        <v>-0.22680035246948704</v>
      </c>
    </row>
    <row r="1139" spans="1:3" ht="13.2" x14ac:dyDescent="0.25">
      <c r="A1139" s="6">
        <v>1137</v>
      </c>
      <c r="B1139" s="7">
        <v>46.546043395996094</v>
      </c>
      <c r="C1139" s="3">
        <f t="shared" si="13"/>
        <v>-0.23557027429804339</v>
      </c>
    </row>
    <row r="1140" spans="1:3" ht="13.2" x14ac:dyDescent="0.25">
      <c r="A1140" s="6">
        <v>1138</v>
      </c>
      <c r="B1140" s="7">
        <v>45.120258331298828</v>
      </c>
      <c r="C1140" s="3">
        <f t="shared" si="13"/>
        <v>-0.26981700762798216</v>
      </c>
    </row>
    <row r="1141" spans="1:3" ht="13.2" x14ac:dyDescent="0.25">
      <c r="A1141" s="6">
        <v>1139</v>
      </c>
      <c r="B1141" s="7">
        <v>45.605422973632813</v>
      </c>
      <c r="C1141" s="3">
        <f t="shared" si="13"/>
        <v>-0.25167810009267044</v>
      </c>
    </row>
    <row r="1142" spans="1:3" ht="13.2" x14ac:dyDescent="0.25">
      <c r="A1142" s="6">
        <v>1140</v>
      </c>
      <c r="B1142" s="7">
        <v>44.585586547851563</v>
      </c>
      <c r="C1142" s="3">
        <f t="shared" si="13"/>
        <v>-0.26579054044906741</v>
      </c>
    </row>
    <row r="1143" spans="1:3" ht="13.2" x14ac:dyDescent="0.25">
      <c r="A1143" s="6">
        <v>1141</v>
      </c>
      <c r="B1143" s="7">
        <v>44.575687408447266</v>
      </c>
      <c r="C1143" s="3">
        <f t="shared" si="13"/>
        <v>-0.27948461824636395</v>
      </c>
    </row>
    <row r="1144" spans="1:3" ht="13.2" x14ac:dyDescent="0.25">
      <c r="A1144" s="6">
        <v>1142</v>
      </c>
      <c r="B1144" s="7">
        <v>44.545982360839844</v>
      </c>
      <c r="C1144" s="3">
        <f t="shared" si="13"/>
        <v>-0.27717310507456705</v>
      </c>
    </row>
    <row r="1145" spans="1:3" ht="13.2" x14ac:dyDescent="0.25">
      <c r="A1145" s="6">
        <v>1143</v>
      </c>
      <c r="B1145" s="7">
        <v>43.922199249267578</v>
      </c>
      <c r="C1145" s="3">
        <f t="shared" si="13"/>
        <v>-0.29952610208089081</v>
      </c>
    </row>
    <row r="1146" spans="1:3" ht="13.2" x14ac:dyDescent="0.25">
      <c r="A1146" s="6">
        <v>1144</v>
      </c>
      <c r="B1146" s="7">
        <v>45.417293548583984</v>
      </c>
      <c r="C1146" s="3">
        <f t="shared" si="13"/>
        <v>-0.26506656003244844</v>
      </c>
    </row>
    <row r="1147" spans="1:3" ht="13.2" x14ac:dyDescent="0.25">
      <c r="A1147" s="6">
        <v>1145</v>
      </c>
      <c r="B1147" s="7">
        <v>44.644992828369141</v>
      </c>
      <c r="C1147" s="3">
        <f t="shared" si="13"/>
        <v>-0.2652959168314914</v>
      </c>
    </row>
    <row r="1148" spans="1:3" ht="13.2" x14ac:dyDescent="0.25">
      <c r="A1148" s="6">
        <v>1146</v>
      </c>
      <c r="B1148" s="7">
        <v>45.298480987548828</v>
      </c>
      <c r="C1148" s="3">
        <f t="shared" si="13"/>
        <v>-0.25909514262246053</v>
      </c>
    </row>
    <row r="1149" spans="1:3" ht="13.2" x14ac:dyDescent="0.25">
      <c r="A1149" s="6">
        <v>1147</v>
      </c>
      <c r="B1149" s="7">
        <v>45.714332580566406</v>
      </c>
      <c r="C1149" s="3">
        <f t="shared" si="13"/>
        <v>-0.25360040560718639</v>
      </c>
    </row>
    <row r="1150" spans="1:3" ht="13.2" x14ac:dyDescent="0.25">
      <c r="A1150" s="6">
        <v>1148</v>
      </c>
      <c r="B1150" s="7">
        <v>46.130191802978516</v>
      </c>
      <c r="C1150" s="3">
        <f t="shared" si="13"/>
        <v>-0.26061579730475126</v>
      </c>
    </row>
    <row r="1151" spans="1:3" ht="13.2" x14ac:dyDescent="0.25">
      <c r="A1151" s="6">
        <v>1149</v>
      </c>
      <c r="B1151" s="7">
        <v>46.635154724121094</v>
      </c>
      <c r="C1151" s="3">
        <f t="shared" ref="C1151:C1214" si="14">LN(B1151/B899)</f>
        <v>-0.2566997457610159</v>
      </c>
    </row>
    <row r="1152" spans="1:3" ht="13.2" x14ac:dyDescent="0.25">
      <c r="A1152" s="6">
        <v>1150</v>
      </c>
      <c r="B1152" s="7">
        <v>45.367790222167969</v>
      </c>
      <c r="C1152" s="3">
        <f t="shared" si="14"/>
        <v>-0.28554353276416472</v>
      </c>
    </row>
    <row r="1153" spans="1:3" ht="13.2" x14ac:dyDescent="0.25">
      <c r="A1153" s="6">
        <v>1151</v>
      </c>
      <c r="B1153" s="7">
        <v>44.130126953125</v>
      </c>
      <c r="C1153" s="3">
        <f t="shared" si="14"/>
        <v>-0.30494075266929443</v>
      </c>
    </row>
    <row r="1154" spans="1:3" ht="13.2" x14ac:dyDescent="0.25">
      <c r="A1154" s="6">
        <v>1152</v>
      </c>
      <c r="B1154" s="7">
        <v>43.833087921142578</v>
      </c>
      <c r="C1154" s="3">
        <f t="shared" si="14"/>
        <v>-0.3138070681350385</v>
      </c>
    </row>
    <row r="1155" spans="1:3" ht="13.2" x14ac:dyDescent="0.25">
      <c r="A1155" s="6">
        <v>1153</v>
      </c>
      <c r="B1155" s="7">
        <v>44.684600830078125</v>
      </c>
      <c r="C1155" s="3">
        <f t="shared" si="14"/>
        <v>-0.29990993128821092</v>
      </c>
    </row>
    <row r="1156" spans="1:3" ht="13.2" x14ac:dyDescent="0.25">
      <c r="A1156" s="6">
        <v>1154</v>
      </c>
      <c r="B1156" s="7">
        <v>43.743976593017578</v>
      </c>
      <c r="C1156" s="3">
        <f t="shared" si="14"/>
        <v>-0.30965416435418452</v>
      </c>
    </row>
    <row r="1157" spans="1:3" ht="13.2" x14ac:dyDescent="0.25">
      <c r="A1157" s="6">
        <v>1155</v>
      </c>
      <c r="B1157" s="7">
        <v>42.823154449462891</v>
      </c>
      <c r="C1157" s="3">
        <f t="shared" si="14"/>
        <v>-0.34664940897875657</v>
      </c>
    </row>
    <row r="1158" spans="1:3" ht="13.2" x14ac:dyDescent="0.25">
      <c r="A1158" s="6">
        <v>1156</v>
      </c>
      <c r="B1158" s="7">
        <v>44.852920532226563</v>
      </c>
      <c r="C1158" s="3">
        <f t="shared" si="14"/>
        <v>-0.31407352889824591</v>
      </c>
    </row>
    <row r="1159" spans="1:3" ht="13.2" x14ac:dyDescent="0.25">
      <c r="A1159" s="6">
        <v>1157</v>
      </c>
      <c r="B1159" s="7">
        <v>44.347957611083984</v>
      </c>
      <c r="C1159" s="3">
        <f t="shared" si="14"/>
        <v>-0.32476088925279484</v>
      </c>
    </row>
    <row r="1160" spans="1:3" ht="13.2" x14ac:dyDescent="0.25">
      <c r="A1160" s="6">
        <v>1158</v>
      </c>
      <c r="B1160" s="7">
        <v>43.080585479736328</v>
      </c>
      <c r="C1160" s="3">
        <f t="shared" si="14"/>
        <v>-0.37526474144741195</v>
      </c>
    </row>
    <row r="1161" spans="1:3" ht="13.2" x14ac:dyDescent="0.25">
      <c r="A1161" s="6">
        <v>1159</v>
      </c>
      <c r="B1161" s="7">
        <v>43.050884246826172</v>
      </c>
      <c r="C1161" s="3">
        <f t="shared" si="14"/>
        <v>-0.38322831913351679</v>
      </c>
    </row>
    <row r="1162" spans="1:3" ht="13.2" x14ac:dyDescent="0.25">
      <c r="A1162" s="6">
        <v>1160</v>
      </c>
      <c r="B1162" s="7">
        <v>42.486507415771484</v>
      </c>
      <c r="C1162" s="3">
        <f t="shared" si="14"/>
        <v>-0.39039249562158818</v>
      </c>
    </row>
    <row r="1163" spans="1:3" ht="13.2" x14ac:dyDescent="0.25">
      <c r="A1163" s="6">
        <v>1161</v>
      </c>
      <c r="B1163" s="7">
        <v>42.684535980224609</v>
      </c>
      <c r="C1163" s="3">
        <f t="shared" si="14"/>
        <v>-0.38029783063479661</v>
      </c>
    </row>
    <row r="1164" spans="1:3" ht="13.2" x14ac:dyDescent="0.25">
      <c r="A1164" s="6">
        <v>1162</v>
      </c>
      <c r="B1164" s="7">
        <v>43.159797668457031</v>
      </c>
      <c r="C1164" s="3">
        <f t="shared" si="14"/>
        <v>-0.36735158120517836</v>
      </c>
    </row>
    <row r="1165" spans="1:3" ht="13.2" x14ac:dyDescent="0.25">
      <c r="A1165" s="6">
        <v>1163</v>
      </c>
      <c r="B1165" s="7">
        <v>45.447002410888672</v>
      </c>
      <c r="C1165" s="3">
        <f t="shared" si="14"/>
        <v>-0.32132422222612306</v>
      </c>
    </row>
    <row r="1166" spans="1:3" ht="13.2" x14ac:dyDescent="0.25">
      <c r="A1166" s="6">
        <v>1164</v>
      </c>
      <c r="B1166" s="7">
        <v>45.575714111328125</v>
      </c>
      <c r="C1166" s="3">
        <f t="shared" si="14"/>
        <v>-0.30314973927138344</v>
      </c>
    </row>
    <row r="1167" spans="1:3" ht="13.2" x14ac:dyDescent="0.25">
      <c r="A1167" s="6">
        <v>1165</v>
      </c>
      <c r="B1167" s="7">
        <v>45.031143188476563</v>
      </c>
      <c r="C1167" s="3">
        <f t="shared" si="14"/>
        <v>-0.32412496489599868</v>
      </c>
    </row>
    <row r="1168" spans="1:3" ht="13.2" x14ac:dyDescent="0.25">
      <c r="A1168" s="6">
        <v>1166</v>
      </c>
      <c r="B1168" s="7">
        <v>46.348018646240234</v>
      </c>
      <c r="C1168" s="3">
        <f t="shared" si="14"/>
        <v>-0.27268213720707624</v>
      </c>
    </row>
    <row r="1169" spans="1:3" ht="13.2" x14ac:dyDescent="0.25">
      <c r="A1169" s="6">
        <v>1167</v>
      </c>
      <c r="B1169" s="7">
        <v>43.476638793945313</v>
      </c>
      <c r="C1169" s="3">
        <f t="shared" si="14"/>
        <v>-0.3425385962111826</v>
      </c>
    </row>
    <row r="1170" spans="1:3" ht="13.2" x14ac:dyDescent="0.25">
      <c r="A1170" s="6">
        <v>1168</v>
      </c>
      <c r="B1170" s="7">
        <v>43.565750122070313</v>
      </c>
      <c r="C1170" s="3">
        <f t="shared" si="14"/>
        <v>-0.33634757831724948</v>
      </c>
    </row>
    <row r="1171" spans="1:3" ht="13.2" x14ac:dyDescent="0.25">
      <c r="A1171" s="6">
        <v>1169</v>
      </c>
      <c r="B1171" s="7">
        <v>43.605358123779297</v>
      </c>
      <c r="C1171" s="3">
        <f t="shared" si="14"/>
        <v>-0.3227428514221326</v>
      </c>
    </row>
    <row r="1172" spans="1:3" ht="13.2" x14ac:dyDescent="0.25">
      <c r="A1172" s="6">
        <v>1170</v>
      </c>
      <c r="B1172" s="7">
        <v>41.407264709472656</v>
      </c>
      <c r="C1172" s="3">
        <f t="shared" si="14"/>
        <v>-0.36781330247561045</v>
      </c>
    </row>
    <row r="1173" spans="1:3" ht="13.2" x14ac:dyDescent="0.25">
      <c r="A1173" s="6">
        <v>1171</v>
      </c>
      <c r="B1173" s="7">
        <v>40.506248474121094</v>
      </c>
      <c r="C1173" s="3">
        <f t="shared" si="14"/>
        <v>-0.38899899070689425</v>
      </c>
    </row>
    <row r="1174" spans="1:3" ht="13.2" x14ac:dyDescent="0.25">
      <c r="A1174" s="6">
        <v>1172</v>
      </c>
      <c r="B1174" s="7">
        <v>39.347797393798828</v>
      </c>
      <c r="C1174" s="3">
        <f t="shared" si="14"/>
        <v>-0.42645276812185318</v>
      </c>
    </row>
    <row r="1175" spans="1:3" ht="13.2" x14ac:dyDescent="0.25">
      <c r="A1175" s="6">
        <v>1173</v>
      </c>
      <c r="B1175" s="7">
        <v>40.318122863769531</v>
      </c>
      <c r="C1175" s="3">
        <f t="shared" si="14"/>
        <v>-0.39234979985270968</v>
      </c>
    </row>
    <row r="1176" spans="1:3" ht="13.2" x14ac:dyDescent="0.25">
      <c r="A1176" s="6">
        <v>1174</v>
      </c>
      <c r="B1176" s="7">
        <v>40.951808929443359</v>
      </c>
      <c r="C1176" s="3">
        <f t="shared" si="14"/>
        <v>-0.37691803041836874</v>
      </c>
    </row>
    <row r="1177" spans="1:3" ht="13.2" x14ac:dyDescent="0.25">
      <c r="A1177" s="6">
        <v>1175</v>
      </c>
      <c r="B1177" s="7">
        <v>40.486446380615234</v>
      </c>
      <c r="C1177" s="3">
        <f t="shared" si="14"/>
        <v>-0.40452832673231121</v>
      </c>
    </row>
    <row r="1178" spans="1:3" ht="13.2" x14ac:dyDescent="0.25">
      <c r="A1178" s="6">
        <v>1176</v>
      </c>
      <c r="B1178" s="7">
        <v>40.229011535644531</v>
      </c>
      <c r="C1178" s="3">
        <f t="shared" si="14"/>
        <v>-0.4398580335637623</v>
      </c>
    </row>
    <row r="1179" spans="1:3" ht="13.2" x14ac:dyDescent="0.25">
      <c r="A1179" s="6">
        <v>1177</v>
      </c>
      <c r="B1179" s="7">
        <v>41.337959289550781</v>
      </c>
      <c r="C1179" s="3">
        <f t="shared" si="14"/>
        <v>-0.41172921194670631</v>
      </c>
    </row>
    <row r="1180" spans="1:3" ht="13.2" x14ac:dyDescent="0.25">
      <c r="A1180" s="6">
        <v>1178</v>
      </c>
      <c r="B1180" s="7">
        <v>41.833023071289063</v>
      </c>
      <c r="C1180" s="3">
        <f t="shared" si="14"/>
        <v>-0.40480644833076479</v>
      </c>
    </row>
    <row r="1181" spans="1:3" ht="13.2" x14ac:dyDescent="0.25">
      <c r="A1181" s="6">
        <v>1179</v>
      </c>
      <c r="B1181" s="7">
        <v>43.169696807861328</v>
      </c>
      <c r="C1181" s="3">
        <f t="shared" si="14"/>
        <v>-0.36712224731395765</v>
      </c>
    </row>
    <row r="1182" spans="1:3" ht="13.2" x14ac:dyDescent="0.25">
      <c r="A1182" s="6">
        <v>1180</v>
      </c>
      <c r="B1182" s="7">
        <v>44.21923828125</v>
      </c>
      <c r="C1182" s="3">
        <f t="shared" si="14"/>
        <v>-0.35876152509256504</v>
      </c>
    </row>
    <row r="1183" spans="1:3" ht="13.2" x14ac:dyDescent="0.25">
      <c r="A1183" s="6">
        <v>1181</v>
      </c>
      <c r="B1183" s="7">
        <v>44.110321044921875</v>
      </c>
      <c r="C1183" s="3">
        <f t="shared" si="14"/>
        <v>-0.36061210143488631</v>
      </c>
    </row>
    <row r="1184" spans="1:3" ht="13.2" x14ac:dyDescent="0.25">
      <c r="A1184" s="6">
        <v>1182</v>
      </c>
      <c r="B1184" s="7">
        <v>43.842987060546875</v>
      </c>
      <c r="C1184" s="3">
        <f t="shared" si="14"/>
        <v>-0.39417325040941242</v>
      </c>
    </row>
    <row r="1185" spans="1:3" ht="13.2" x14ac:dyDescent="0.25">
      <c r="A1185" s="6">
        <v>1183</v>
      </c>
      <c r="B1185" s="7">
        <v>44.367759704589844</v>
      </c>
      <c r="C1185" s="3">
        <f t="shared" si="14"/>
        <v>-0.40052881050993266</v>
      </c>
    </row>
    <row r="1186" spans="1:3" ht="13.2" x14ac:dyDescent="0.25">
      <c r="A1186" s="6">
        <v>1184</v>
      </c>
      <c r="B1186" s="7">
        <v>43.763778686523438</v>
      </c>
      <c r="C1186" s="3">
        <f t="shared" si="14"/>
        <v>-0.40522426953312268</v>
      </c>
    </row>
    <row r="1187" spans="1:3" ht="13.2" x14ac:dyDescent="0.25">
      <c r="A1187" s="6">
        <v>1185</v>
      </c>
      <c r="B1187" s="7">
        <v>45.308380126953125</v>
      </c>
      <c r="C1187" s="3">
        <f t="shared" si="14"/>
        <v>-0.37261409489954717</v>
      </c>
    </row>
    <row r="1188" spans="1:3" ht="13.2" x14ac:dyDescent="0.25">
      <c r="A1188" s="6">
        <v>1186</v>
      </c>
      <c r="B1188" s="7">
        <v>45.486602783203125</v>
      </c>
      <c r="C1188" s="3">
        <f t="shared" si="14"/>
        <v>-0.38002615561752723</v>
      </c>
    </row>
    <row r="1189" spans="1:3" ht="13.2" x14ac:dyDescent="0.25">
      <c r="A1189" s="6">
        <v>1187</v>
      </c>
      <c r="B1189" s="7">
        <v>47.2391357421875</v>
      </c>
      <c r="C1189" s="3">
        <f t="shared" si="14"/>
        <v>-0.31956533011402599</v>
      </c>
    </row>
    <row r="1190" spans="1:3" ht="13.2" x14ac:dyDescent="0.25">
      <c r="A1190" s="6">
        <v>1188</v>
      </c>
      <c r="B1190" s="7">
        <v>48.34808349609375</v>
      </c>
      <c r="C1190" s="3">
        <f t="shared" si="14"/>
        <v>-0.30114250363645073</v>
      </c>
    </row>
    <row r="1191" spans="1:3" ht="13.2" x14ac:dyDescent="0.25">
      <c r="A1191" s="6">
        <v>1189</v>
      </c>
      <c r="B1191" s="7">
        <v>49.377819061279297</v>
      </c>
      <c r="C1191" s="3">
        <f t="shared" si="14"/>
        <v>-0.28571600274947001</v>
      </c>
    </row>
    <row r="1192" spans="1:3" ht="13.2" x14ac:dyDescent="0.25">
      <c r="A1192" s="6">
        <v>1190</v>
      </c>
      <c r="B1192" s="7">
        <v>49.219398498535156</v>
      </c>
      <c r="C1192" s="3">
        <f t="shared" si="14"/>
        <v>-0.26811251419001775</v>
      </c>
    </row>
    <row r="1193" spans="1:3" ht="13.2" x14ac:dyDescent="0.25">
      <c r="A1193" s="6">
        <v>1191</v>
      </c>
      <c r="B1193" s="7">
        <v>49.100582122802734</v>
      </c>
      <c r="C1193" s="3">
        <f t="shared" si="14"/>
        <v>-0.27806751677472885</v>
      </c>
    </row>
    <row r="1194" spans="1:3" ht="13.2" x14ac:dyDescent="0.25">
      <c r="A1194" s="6">
        <v>1192</v>
      </c>
      <c r="B1194" s="7">
        <v>48.97186279296875</v>
      </c>
      <c r="C1194" s="3">
        <f t="shared" si="14"/>
        <v>-0.26662589215220933</v>
      </c>
    </row>
    <row r="1195" spans="1:3" ht="13.2" x14ac:dyDescent="0.25">
      <c r="A1195" s="6">
        <v>1193</v>
      </c>
      <c r="B1195" s="7">
        <v>50.981834411621094</v>
      </c>
      <c r="C1195" s="3">
        <f t="shared" si="14"/>
        <v>-0.21768205941706623</v>
      </c>
    </row>
    <row r="1196" spans="1:3" ht="13.2" x14ac:dyDescent="0.25">
      <c r="A1196" s="6">
        <v>1194</v>
      </c>
      <c r="B1196" s="7">
        <v>50.328346252441406</v>
      </c>
      <c r="C1196" s="3">
        <f t="shared" si="14"/>
        <v>-0.230121956183374</v>
      </c>
    </row>
    <row r="1197" spans="1:3" ht="13.2" x14ac:dyDescent="0.25">
      <c r="A1197" s="6">
        <v>1195</v>
      </c>
      <c r="B1197" s="7">
        <v>50.516468048095703</v>
      </c>
      <c r="C1197" s="3">
        <f t="shared" si="14"/>
        <v>-0.25218905920198353</v>
      </c>
    </row>
    <row r="1198" spans="1:3" ht="13.2" x14ac:dyDescent="0.25">
      <c r="A1198" s="6">
        <v>1196</v>
      </c>
      <c r="B1198" s="7">
        <v>50.645187377929688</v>
      </c>
      <c r="C1198" s="3">
        <f t="shared" si="14"/>
        <v>-0.26022482557654009</v>
      </c>
    </row>
    <row r="1199" spans="1:3" ht="13.2" x14ac:dyDescent="0.25">
      <c r="A1199" s="6">
        <v>1197</v>
      </c>
      <c r="B1199" s="7">
        <v>49.664955139160156</v>
      </c>
      <c r="C1199" s="3">
        <f t="shared" si="14"/>
        <v>-0.27798904237413985</v>
      </c>
    </row>
    <row r="1200" spans="1:3" ht="13.2" x14ac:dyDescent="0.25">
      <c r="A1200" s="6">
        <v>1198</v>
      </c>
      <c r="B1200" s="7">
        <v>49.199592590332031</v>
      </c>
      <c r="C1200" s="3">
        <f t="shared" si="14"/>
        <v>-0.29568496893305013</v>
      </c>
    </row>
    <row r="1201" spans="1:3" ht="13.2" x14ac:dyDescent="0.25">
      <c r="A1201" s="6">
        <v>1199</v>
      </c>
      <c r="B1201" s="7">
        <v>48.97186279296875</v>
      </c>
      <c r="C1201" s="3">
        <f t="shared" si="14"/>
        <v>-0.28698096021832237</v>
      </c>
    </row>
    <row r="1202" spans="1:3" ht="13.2" x14ac:dyDescent="0.25">
      <c r="A1202" s="6">
        <v>1200</v>
      </c>
      <c r="B1202" s="7">
        <v>46.664863586425781</v>
      </c>
      <c r="C1202" s="3">
        <f t="shared" si="14"/>
        <v>-0.30892204463647804</v>
      </c>
    </row>
    <row r="1203" spans="1:3" ht="13.2" x14ac:dyDescent="0.25">
      <c r="A1203" s="6">
        <v>1201</v>
      </c>
      <c r="B1203" s="7">
        <v>45.447002410888672</v>
      </c>
      <c r="C1203" s="3">
        <f t="shared" si="14"/>
        <v>-0.3258207526449638</v>
      </c>
    </row>
    <row r="1204" spans="1:3" ht="13.2" x14ac:dyDescent="0.25">
      <c r="A1204" s="6">
        <v>1202</v>
      </c>
      <c r="B1204" s="7">
        <v>44.536079406738281</v>
      </c>
      <c r="C1204" s="3">
        <f t="shared" si="14"/>
        <v>-0.35882661361489709</v>
      </c>
    </row>
    <row r="1205" spans="1:3" ht="13.2" x14ac:dyDescent="0.25">
      <c r="A1205" s="6">
        <v>1203</v>
      </c>
      <c r="B1205" s="7">
        <v>44.615291595458984</v>
      </c>
      <c r="C1205" s="3">
        <f t="shared" si="14"/>
        <v>-0.36420276202961549</v>
      </c>
    </row>
    <row r="1206" spans="1:3" ht="13.2" x14ac:dyDescent="0.25">
      <c r="A1206" s="6">
        <v>1204</v>
      </c>
      <c r="B1206" s="7">
        <v>44.248939514160156</v>
      </c>
      <c r="C1206" s="3">
        <f t="shared" si="14"/>
        <v>-0.35469973577959651</v>
      </c>
    </row>
    <row r="1207" spans="1:3" ht="13.2" x14ac:dyDescent="0.25">
      <c r="A1207" s="6">
        <v>1205</v>
      </c>
      <c r="B1207" s="7">
        <v>42.734043121337891</v>
      </c>
      <c r="C1207" s="3">
        <f t="shared" si="14"/>
        <v>-0.40089368810632481</v>
      </c>
    </row>
    <row r="1208" spans="1:3" ht="13.2" x14ac:dyDescent="0.25">
      <c r="A1208" s="6">
        <v>1206</v>
      </c>
      <c r="B1208" s="7">
        <v>41.892433166503906</v>
      </c>
      <c r="C1208" s="3">
        <f t="shared" si="14"/>
        <v>-0.43833403193143927</v>
      </c>
    </row>
    <row r="1209" spans="1:3" ht="13.2" x14ac:dyDescent="0.25">
      <c r="A1209" s="6">
        <v>1207</v>
      </c>
      <c r="B1209" s="7">
        <v>42.0904541015625</v>
      </c>
      <c r="C1209" s="3">
        <f t="shared" si="14"/>
        <v>-0.4367626760478206</v>
      </c>
    </row>
    <row r="1210" spans="1:3" ht="13.2" x14ac:dyDescent="0.25">
      <c r="A1210" s="6">
        <v>1208</v>
      </c>
      <c r="B1210" s="7">
        <v>41.605293273925781</v>
      </c>
      <c r="C1210" s="3">
        <f t="shared" si="14"/>
        <v>-0.46024524210533879</v>
      </c>
    </row>
    <row r="1211" spans="1:3" ht="13.2" x14ac:dyDescent="0.25">
      <c r="A1211" s="6">
        <v>1209</v>
      </c>
      <c r="B1211" s="7">
        <v>40.298320770263672</v>
      </c>
      <c r="C1211" s="3">
        <f t="shared" si="14"/>
        <v>-0.48861092798113753</v>
      </c>
    </row>
    <row r="1212" spans="1:3" ht="13.2" x14ac:dyDescent="0.25">
      <c r="A1212" s="6">
        <v>1210</v>
      </c>
      <c r="B1212" s="7">
        <v>39.664638519287109</v>
      </c>
      <c r="C1212" s="3">
        <f t="shared" si="14"/>
        <v>-0.50830787864572213</v>
      </c>
    </row>
    <row r="1213" spans="1:3" ht="13.2" x14ac:dyDescent="0.25">
      <c r="A1213" s="6">
        <v>1211</v>
      </c>
      <c r="B1213" s="7">
        <v>40.35772705078125</v>
      </c>
      <c r="C1213" s="3">
        <f t="shared" si="14"/>
        <v>-0.48029466266017257</v>
      </c>
    </row>
    <row r="1214" spans="1:3" ht="13.2" x14ac:dyDescent="0.25">
      <c r="A1214" s="6">
        <v>1212</v>
      </c>
      <c r="B1214" s="7">
        <v>40.615161895751953</v>
      </c>
      <c r="C1214" s="3">
        <f t="shared" si="14"/>
        <v>-0.48418339808919725</v>
      </c>
    </row>
    <row r="1215" spans="1:3" ht="13.2" x14ac:dyDescent="0.25">
      <c r="A1215" s="6">
        <v>1213</v>
      </c>
      <c r="B1215" s="7">
        <v>40.991413116455078</v>
      </c>
      <c r="C1215" s="3">
        <f t="shared" ref="C1215:C1260" si="15">LN(B1215/B963)</f>
        <v>-0.48525190139169644</v>
      </c>
    </row>
    <row r="1216" spans="1:3" ht="13.2" x14ac:dyDescent="0.25">
      <c r="A1216" s="6">
        <v>1214</v>
      </c>
      <c r="B1216" s="7">
        <v>41.496379852294922</v>
      </c>
      <c r="C1216" s="3">
        <f t="shared" si="15"/>
        <v>-0.4962802879527814</v>
      </c>
    </row>
    <row r="1217" spans="1:3" ht="13.2" x14ac:dyDescent="0.25">
      <c r="A1217" s="6">
        <v>1215</v>
      </c>
      <c r="B1217" s="7">
        <v>42.199371337890625</v>
      </c>
      <c r="C1217" s="3">
        <f t="shared" si="15"/>
        <v>-0.50779494152016624</v>
      </c>
    </row>
    <row r="1218" spans="1:3" ht="13.2" x14ac:dyDescent="0.25">
      <c r="A1218" s="6">
        <v>1216</v>
      </c>
      <c r="B1218" s="7">
        <v>43.050884246826172</v>
      </c>
      <c r="C1218" s="3">
        <f t="shared" si="15"/>
        <v>-0.52101045944202196</v>
      </c>
    </row>
    <row r="1219" spans="1:3" ht="13.2" x14ac:dyDescent="0.25">
      <c r="A1219" s="6">
        <v>1217</v>
      </c>
      <c r="B1219" s="7">
        <v>42.476608276367188</v>
      </c>
      <c r="C1219" s="3">
        <f t="shared" si="15"/>
        <v>-0.57330893385225423</v>
      </c>
    </row>
    <row r="1220" spans="1:3" ht="13.2" x14ac:dyDescent="0.25">
      <c r="A1220" s="6">
        <v>1218</v>
      </c>
      <c r="B1220" s="7">
        <v>42.704338073730469</v>
      </c>
      <c r="C1220" s="3">
        <f t="shared" si="15"/>
        <v>-0.58335089223168946</v>
      </c>
    </row>
    <row r="1221" spans="1:3" ht="13.2" x14ac:dyDescent="0.25">
      <c r="A1221" s="6">
        <v>1219</v>
      </c>
      <c r="B1221" s="7">
        <v>42.615226745605469</v>
      </c>
      <c r="C1221" s="3">
        <f t="shared" si="15"/>
        <v>-0.59026391230126118</v>
      </c>
    </row>
    <row r="1222" spans="1:3" ht="13.2" x14ac:dyDescent="0.25">
      <c r="A1222" s="6">
        <v>1220</v>
      </c>
      <c r="B1222" s="7">
        <v>42.476608276367188</v>
      </c>
      <c r="C1222" s="3">
        <f t="shared" si="15"/>
        <v>-0.59769272436434051</v>
      </c>
    </row>
    <row r="1223" spans="1:3" ht="13.2" x14ac:dyDescent="0.25">
      <c r="A1223" s="6">
        <v>1221</v>
      </c>
      <c r="B1223" s="7">
        <v>43.239006042480469</v>
      </c>
      <c r="C1223" s="3">
        <f t="shared" si="15"/>
        <v>-0.57611245243720344</v>
      </c>
    </row>
    <row r="1224" spans="1:3" ht="13.2" x14ac:dyDescent="0.25">
      <c r="A1224" s="6">
        <v>1222</v>
      </c>
      <c r="B1224" s="7">
        <v>43.100387573242188</v>
      </c>
      <c r="C1224" s="3">
        <f t="shared" si="15"/>
        <v>-0.62158767710916629</v>
      </c>
    </row>
    <row r="1225" spans="1:3" ht="13.2" x14ac:dyDescent="0.25">
      <c r="A1225" s="6">
        <v>1223</v>
      </c>
      <c r="B1225" s="7">
        <v>43.179599761962891</v>
      </c>
      <c r="C1225" s="3">
        <f t="shared" si="15"/>
        <v>-0.61427536560484286</v>
      </c>
    </row>
    <row r="1226" spans="1:3" ht="13.2" x14ac:dyDescent="0.25">
      <c r="A1226" s="6">
        <v>1224</v>
      </c>
      <c r="B1226" s="7">
        <v>43.219207763671875</v>
      </c>
      <c r="C1226" s="3">
        <f t="shared" si="15"/>
        <v>-0.6224686620134765</v>
      </c>
    </row>
    <row r="1227" spans="1:3" ht="13.2" x14ac:dyDescent="0.25">
      <c r="A1227" s="6">
        <v>1225</v>
      </c>
      <c r="B1227" s="7">
        <v>44.248939514160156</v>
      </c>
      <c r="C1227" s="3">
        <f t="shared" si="15"/>
        <v>-0.59553095290646196</v>
      </c>
    </row>
    <row r="1228" spans="1:3" ht="13.2" x14ac:dyDescent="0.25">
      <c r="A1228" s="6">
        <v>1226</v>
      </c>
      <c r="B1228" s="7">
        <v>45.367790222167969</v>
      </c>
      <c r="C1228" s="3">
        <f t="shared" si="15"/>
        <v>-0.55798416832593101</v>
      </c>
    </row>
    <row r="1229" spans="1:3" ht="13.2" x14ac:dyDescent="0.25">
      <c r="A1229" s="6">
        <v>1227</v>
      </c>
      <c r="B1229" s="7">
        <v>43.575653076171875</v>
      </c>
      <c r="C1229" s="3">
        <f t="shared" si="15"/>
        <v>-0.56848352053894802</v>
      </c>
    </row>
    <row r="1230" spans="1:3" ht="13.2" x14ac:dyDescent="0.25">
      <c r="A1230" s="6">
        <v>1228</v>
      </c>
      <c r="B1230" s="7">
        <v>41.803321838378906</v>
      </c>
      <c r="C1230" s="3">
        <f t="shared" si="15"/>
        <v>-0.61316574009557401</v>
      </c>
    </row>
    <row r="1231" spans="1:3" ht="13.2" x14ac:dyDescent="0.25">
      <c r="A1231" s="6">
        <v>1229</v>
      </c>
      <c r="B1231" s="7">
        <v>41.803321838378906</v>
      </c>
      <c r="C1231" s="3">
        <f t="shared" si="15"/>
        <v>-0.61025932923457649</v>
      </c>
    </row>
    <row r="1232" spans="1:3" ht="13.2" x14ac:dyDescent="0.25">
      <c r="A1232" s="6">
        <v>1230</v>
      </c>
      <c r="B1232" s="7">
        <v>44.258842468261719</v>
      </c>
      <c r="C1232" s="3">
        <f t="shared" si="15"/>
        <v>-0.51684042849621692</v>
      </c>
    </row>
    <row r="1233" spans="1:3" ht="13.2" x14ac:dyDescent="0.25">
      <c r="A1233" s="6">
        <v>1231</v>
      </c>
      <c r="B1233" s="7">
        <v>41.169635772705078</v>
      </c>
      <c r="C1233" s="3">
        <f t="shared" si="15"/>
        <v>-0.5819506723491652</v>
      </c>
    </row>
    <row r="1234" spans="1:3" ht="13.2" x14ac:dyDescent="0.25">
      <c r="A1234" s="6">
        <v>1232</v>
      </c>
      <c r="B1234" s="7">
        <v>40.922103881835938</v>
      </c>
      <c r="C1234" s="3">
        <f t="shared" si="15"/>
        <v>-0.59627458529644539</v>
      </c>
    </row>
    <row r="1235" spans="1:3" ht="13.2" x14ac:dyDescent="0.25">
      <c r="A1235" s="6">
        <v>1233</v>
      </c>
      <c r="B1235" s="7">
        <v>41.031017303466797</v>
      </c>
      <c r="C1235" s="3">
        <f t="shared" si="15"/>
        <v>-0.55961572152751882</v>
      </c>
    </row>
    <row r="1236" spans="1:3" ht="13.2" x14ac:dyDescent="0.25">
      <c r="A1236" s="6">
        <v>1234</v>
      </c>
      <c r="B1236" s="7">
        <v>40.634963989257813</v>
      </c>
      <c r="C1236" s="3">
        <f t="shared" si="15"/>
        <v>-0.57647774155905418</v>
      </c>
    </row>
    <row r="1237" spans="1:3" ht="13.2" x14ac:dyDescent="0.25">
      <c r="A1237" s="6">
        <v>1235</v>
      </c>
      <c r="B1237" s="7">
        <v>41.031017303466797</v>
      </c>
      <c r="C1237" s="3">
        <f t="shared" si="15"/>
        <v>-0.57429107844179017</v>
      </c>
    </row>
    <row r="1238" spans="1:3" ht="13.2" x14ac:dyDescent="0.25">
      <c r="A1238" s="6">
        <v>1236</v>
      </c>
      <c r="B1238" s="7">
        <v>42.130062103271484</v>
      </c>
      <c r="C1238" s="3">
        <f t="shared" si="15"/>
        <v>-0.55185947937167867</v>
      </c>
    </row>
    <row r="1239" spans="1:3" ht="13.2" x14ac:dyDescent="0.25">
      <c r="A1239" s="6">
        <v>1237</v>
      </c>
      <c r="B1239" s="7">
        <v>40.674571990966797</v>
      </c>
      <c r="C1239" s="3">
        <f t="shared" si="15"/>
        <v>-0.57159065513408802</v>
      </c>
    </row>
    <row r="1240" spans="1:3" ht="13.2" x14ac:dyDescent="0.25">
      <c r="A1240" s="6">
        <v>1238</v>
      </c>
      <c r="B1240" s="7">
        <v>42.040950775146484</v>
      </c>
      <c r="C1240" s="3">
        <f t="shared" si="15"/>
        <v>-0.53475718684464413</v>
      </c>
    </row>
    <row r="1241" spans="1:3" ht="13.2" x14ac:dyDescent="0.25">
      <c r="A1241" s="6">
        <v>1239</v>
      </c>
      <c r="B1241" s="7">
        <v>43.159797668457031</v>
      </c>
      <c r="C1241" s="3">
        <f t="shared" si="15"/>
        <v>-0.51606244179953531</v>
      </c>
    </row>
    <row r="1242" spans="1:3" ht="13.2" x14ac:dyDescent="0.25">
      <c r="A1242" s="6">
        <v>1240</v>
      </c>
      <c r="B1242" s="7">
        <v>45.140060424804688</v>
      </c>
      <c r="C1242" s="3">
        <f t="shared" si="15"/>
        <v>-0.50639999667749036</v>
      </c>
    </row>
    <row r="1243" spans="1:3" ht="13.2" x14ac:dyDescent="0.25">
      <c r="A1243" s="6">
        <v>1241</v>
      </c>
      <c r="B1243" s="7">
        <v>45.714332580566406</v>
      </c>
      <c r="C1243" s="3">
        <f t="shared" si="15"/>
        <v>-0.45869474762587842</v>
      </c>
    </row>
    <row r="1244" spans="1:3" ht="13.2" x14ac:dyDescent="0.25">
      <c r="A1244" s="6">
        <v>1242</v>
      </c>
      <c r="B1244" s="7">
        <v>43.377628326416016</v>
      </c>
      <c r="C1244" s="3">
        <f t="shared" si="15"/>
        <v>-0.51371807401736858</v>
      </c>
    </row>
    <row r="1245" spans="1:3" ht="13.2" x14ac:dyDescent="0.25">
      <c r="A1245" s="6">
        <v>1243</v>
      </c>
      <c r="B1245" s="7">
        <v>43.536048889160156</v>
      </c>
      <c r="C1245" s="3">
        <f t="shared" si="15"/>
        <v>-0.49668589107036865</v>
      </c>
    </row>
    <row r="1246" spans="1:3" ht="13.2" x14ac:dyDescent="0.25">
      <c r="A1246" s="6">
        <v>1244</v>
      </c>
      <c r="B1246" s="7">
        <v>42.684535980224609</v>
      </c>
      <c r="C1246" s="3">
        <f t="shared" si="15"/>
        <v>-0.50974593969180992</v>
      </c>
    </row>
    <row r="1247" spans="1:3" ht="13.2" x14ac:dyDescent="0.25">
      <c r="A1247" s="6">
        <v>1245</v>
      </c>
      <c r="B1247" s="7">
        <v>43.526145935058594</v>
      </c>
      <c r="C1247" s="3">
        <f t="shared" si="15"/>
        <v>-0.47266303343195337</v>
      </c>
    </row>
    <row r="1248" spans="1:3" ht="13.2" x14ac:dyDescent="0.25">
      <c r="A1248" s="6">
        <v>1246</v>
      </c>
      <c r="B1248" s="7">
        <v>44.744007110595703</v>
      </c>
      <c r="C1248" s="3">
        <f t="shared" si="15"/>
        <v>-0.45063058097195496</v>
      </c>
    </row>
    <row r="1249" spans="1:3" ht="13.2" x14ac:dyDescent="0.25">
      <c r="A1249" s="6">
        <v>1247</v>
      </c>
      <c r="B1249" s="7">
        <v>44.536079406738281</v>
      </c>
      <c r="C1249" s="3">
        <f t="shared" si="15"/>
        <v>-0.46536254453672521</v>
      </c>
    </row>
    <row r="1250" spans="1:3" ht="13.2" x14ac:dyDescent="0.25">
      <c r="A1250" s="6">
        <v>1248</v>
      </c>
      <c r="B1250" s="7">
        <v>43.773677825927734</v>
      </c>
      <c r="C1250" s="3">
        <f t="shared" si="15"/>
        <v>-0.49450431748447993</v>
      </c>
    </row>
    <row r="1251" spans="1:3" ht="13.2" x14ac:dyDescent="0.25">
      <c r="A1251" s="6">
        <v>1249</v>
      </c>
      <c r="B1251" s="7">
        <v>45.981670379638672</v>
      </c>
      <c r="C1251" s="3">
        <f t="shared" si="15"/>
        <v>-0.4346542829289608</v>
      </c>
    </row>
    <row r="1252" spans="1:3" ht="13.2" x14ac:dyDescent="0.25">
      <c r="A1252" s="6">
        <v>1250</v>
      </c>
      <c r="B1252" s="7">
        <v>45.654930114746094</v>
      </c>
      <c r="C1252" s="3">
        <f t="shared" si="15"/>
        <v>-0.44998004352224685</v>
      </c>
    </row>
    <row r="1253" spans="1:3" ht="13.2" x14ac:dyDescent="0.25">
      <c r="A1253" s="6">
        <v>1251</v>
      </c>
      <c r="B1253" s="7">
        <v>45.654930114746094</v>
      </c>
      <c r="C1253" s="3">
        <f t="shared" si="15"/>
        <v>-0.44452453855410612</v>
      </c>
    </row>
    <row r="1254" spans="1:3" ht="13.2" x14ac:dyDescent="0.25">
      <c r="A1254" s="6">
        <v>1252</v>
      </c>
      <c r="B1254" s="7">
        <v>46.050979614257813</v>
      </c>
      <c r="C1254" s="3">
        <f t="shared" si="15"/>
        <v>-0.42174420197484797</v>
      </c>
    </row>
    <row r="1255" spans="1:3" ht="13.2" x14ac:dyDescent="0.25">
      <c r="A1255" s="6">
        <v>1253</v>
      </c>
      <c r="B1255" s="7">
        <v>47.249038696289063</v>
      </c>
      <c r="C1255" s="3">
        <f t="shared" si="15"/>
        <v>-0.40154572547999268</v>
      </c>
    </row>
    <row r="1256" spans="1:3" ht="13.2" x14ac:dyDescent="0.25">
      <c r="A1256" s="6">
        <v>1254</v>
      </c>
      <c r="B1256" s="7">
        <v>48.070846557617188</v>
      </c>
      <c r="C1256" s="3">
        <f t="shared" si="15"/>
        <v>-0.37245097261207155</v>
      </c>
    </row>
    <row r="1257" spans="1:3" ht="13.2" x14ac:dyDescent="0.25">
      <c r="A1257" s="6">
        <v>1255</v>
      </c>
      <c r="B1257" s="7">
        <v>47.645088195800781</v>
      </c>
      <c r="C1257" s="3">
        <f t="shared" si="15"/>
        <v>-0.38120536321708837</v>
      </c>
    </row>
    <row r="1258" spans="1:3" ht="13.2" x14ac:dyDescent="0.25">
      <c r="A1258" s="6">
        <v>1256</v>
      </c>
      <c r="B1258" s="7">
        <v>46.862888336181641</v>
      </c>
      <c r="C1258" s="3">
        <f t="shared" si="15"/>
        <v>-0.40073530017862707</v>
      </c>
    </row>
    <row r="1259" spans="1:3" ht="13.2" x14ac:dyDescent="0.25"/>
    <row r="1260" spans="1:3" ht="13.2" x14ac:dyDescent="0.25"/>
    <row r="1261" spans="1:3" ht="13.2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AG57"/>
  <sheetViews>
    <sheetView tabSelected="1" topLeftCell="W1" zoomScaleNormal="100" workbookViewId="0">
      <selection activeCell="AE4" sqref="AE4"/>
    </sheetView>
  </sheetViews>
  <sheetFormatPr baseColWidth="10" defaultColWidth="12.6640625" defaultRowHeight="15.75" customHeight="1" x14ac:dyDescent="0.25"/>
  <cols>
    <col min="2" max="4" width="18.33203125" bestFit="1" customWidth="1"/>
    <col min="5" max="6" width="19" bestFit="1" customWidth="1"/>
    <col min="7" max="7" width="14" bestFit="1" customWidth="1"/>
    <col min="8" max="8" width="19" bestFit="1" customWidth="1"/>
    <col min="9" max="9" width="14" bestFit="1" customWidth="1"/>
    <col min="10" max="10" width="14.44140625" customWidth="1"/>
    <col min="11" max="11" width="16.21875" customWidth="1"/>
    <col min="12" max="12" width="21.88671875" customWidth="1"/>
    <col min="14" max="14" width="20.109375" bestFit="1" customWidth="1"/>
    <col min="17" max="17" width="14.6640625" customWidth="1"/>
    <col min="18" max="18" width="14.21875" bestFit="1" customWidth="1"/>
    <col min="19" max="19" width="14.109375" customWidth="1"/>
    <col min="20" max="20" width="14.88671875" bestFit="1" customWidth="1"/>
    <col min="21" max="21" width="14" bestFit="1" customWidth="1"/>
    <col min="22" max="23" width="13.21875" bestFit="1" customWidth="1"/>
    <col min="24" max="24" width="14" bestFit="1" customWidth="1"/>
    <col min="25" max="25" width="13.77734375" bestFit="1" customWidth="1"/>
    <col min="26" max="26" width="15.88671875" customWidth="1"/>
    <col min="28" max="28" width="13.21875" bestFit="1" customWidth="1"/>
    <col min="29" max="29" width="14.109375" bestFit="1" customWidth="1"/>
    <col min="31" max="31" width="20.33203125" bestFit="1" customWidth="1"/>
  </cols>
  <sheetData>
    <row r="2" spans="1:31" ht="15.75" customHeight="1" x14ac:dyDescent="0.25">
      <c r="B2" s="65" t="s">
        <v>12</v>
      </c>
      <c r="C2" s="66"/>
      <c r="D2" s="66"/>
      <c r="E2" s="66"/>
      <c r="F2" s="66"/>
      <c r="K2" s="13" t="s">
        <v>13</v>
      </c>
      <c r="O2" s="14" t="s">
        <v>14</v>
      </c>
      <c r="Q2" s="15" t="s">
        <v>15</v>
      </c>
      <c r="R2" s="15" t="s">
        <v>16</v>
      </c>
      <c r="S2" s="15" t="s">
        <v>17</v>
      </c>
      <c r="T2" s="15" t="s">
        <v>18</v>
      </c>
      <c r="U2" s="15" t="s">
        <v>19</v>
      </c>
      <c r="V2" s="15" t="s">
        <v>3</v>
      </c>
      <c r="W2" s="15" t="s">
        <v>4</v>
      </c>
      <c r="X2" s="15" t="s">
        <v>2</v>
      </c>
      <c r="Z2" s="14" t="s">
        <v>20</v>
      </c>
      <c r="AB2" s="14" t="s">
        <v>21</v>
      </c>
      <c r="AC2" s="14" t="s">
        <v>63</v>
      </c>
      <c r="AD2" s="16"/>
      <c r="AE2" s="14" t="s">
        <v>70</v>
      </c>
    </row>
    <row r="3" spans="1:31" ht="13.2" x14ac:dyDescent="0.25">
      <c r="A3" s="17"/>
      <c r="B3" s="17" t="s">
        <v>23</v>
      </c>
      <c r="C3" s="17" t="s">
        <v>24</v>
      </c>
      <c r="D3" s="17" t="s">
        <v>25</v>
      </c>
      <c r="E3" s="17" t="s">
        <v>26</v>
      </c>
      <c r="F3" s="17" t="s">
        <v>27</v>
      </c>
      <c r="G3" s="18"/>
      <c r="J3" s="3" t="s">
        <v>28</v>
      </c>
      <c r="K3" s="5">
        <f>BIMBO!F1</f>
        <v>0.12041975809020136</v>
      </c>
      <c r="O3" s="3">
        <v>1</v>
      </c>
      <c r="P3" s="19" t="s">
        <v>29</v>
      </c>
      <c r="Q3" s="20">
        <f t="array" ref="Q3:U3">TRANSPOSE(K13:K17)</f>
        <v>2.5682596237802779E-2</v>
      </c>
      <c r="R3" s="20">
        <v>3.0833676838053183E-2</v>
      </c>
      <c r="S3" s="20">
        <v>0.22470552267234428</v>
      </c>
      <c r="T3" s="20">
        <v>0.80657313108726914</v>
      </c>
      <c r="U3" s="20">
        <v>-8.7794926835469411E-2</v>
      </c>
      <c r="V3" s="20" cm="1">
        <f t="array" ref="V3">MMULT(MMULT(TRANSPOSE(K13:K17),B4:F8),K13:K17)</f>
        <v>5.1926474636018079E-3</v>
      </c>
      <c r="W3" s="20">
        <f t="shared" ref="W3:W21" si="0">SQRT(V3)</f>
        <v>7.2060026808222932E-2</v>
      </c>
      <c r="X3" s="20">
        <f>SUMPRODUCT(K3:K7,K13:K17)</f>
        <v>0.17617949523593401</v>
      </c>
      <c r="Y3" s="21">
        <f>X3</f>
        <v>0.17617949523593401</v>
      </c>
      <c r="Z3" s="3">
        <f>(X22-X3)/19</f>
        <v>9.8970354050326322E-4</v>
      </c>
      <c r="AA3" s="64" t="s">
        <v>61</v>
      </c>
      <c r="AB3" s="22">
        <v>0</v>
      </c>
      <c r="AC3" s="23">
        <f>K25</f>
        <v>8.8999999999999996E-2</v>
      </c>
      <c r="AE3" s="71">
        <f>(AC4-AC3)/AB4</f>
        <v>1.3136614915117997</v>
      </c>
    </row>
    <row r="4" spans="1:31" ht="13.2" x14ac:dyDescent="0.25">
      <c r="A4" s="17" t="s">
        <v>23</v>
      </c>
      <c r="B4" s="24">
        <f>_xlfn.VAR.S(BIMBO!C:C)</f>
        <v>8.6213363020440831E-2</v>
      </c>
      <c r="C4" s="25">
        <f>B5</f>
        <v>3.4064563391434287E-2</v>
      </c>
      <c r="D4" s="26">
        <f>B6</f>
        <v>-2.121120214634788E-2</v>
      </c>
      <c r="E4" s="27">
        <f>B7</f>
        <v>1.2239955085721968E-2</v>
      </c>
      <c r="F4" s="28">
        <f>B8</f>
        <v>3.6198172445730536E-2</v>
      </c>
      <c r="G4" s="18">
        <v>1</v>
      </c>
      <c r="J4" s="3" t="s">
        <v>24</v>
      </c>
      <c r="K4" s="5">
        <f>GrupoCarso!F1</f>
        <v>0.23729508299679938</v>
      </c>
      <c r="O4" s="3">
        <v>2</v>
      </c>
      <c r="Q4" s="20">
        <f>P27</f>
        <v>1.8530798644136759E-2</v>
      </c>
      <c r="R4" s="20">
        <f t="shared" ref="R4:U4" si="1">Q27</f>
        <v>3.5625912816414917E-2</v>
      </c>
      <c r="S4" s="20">
        <f t="shared" si="1"/>
        <v>0.218585310055045</v>
      </c>
      <c r="T4" s="20">
        <f t="shared" si="1"/>
        <v>0.81445636314965064</v>
      </c>
      <c r="U4" s="20">
        <f t="shared" si="1"/>
        <v>-8.7198384665247139E-2</v>
      </c>
      <c r="V4" s="20" cm="1">
        <f t="array" ref="V4">MMULT(MMULT(Q4:U4, $B$4:$F$8), TRANSPOSE(Q4:U4))</f>
        <v>5.1962937979446915E-3</v>
      </c>
      <c r="W4" s="20">
        <f t="shared" si="0"/>
        <v>7.2085323041134325E-2</v>
      </c>
      <c r="X4" s="20" cm="1">
        <f t="array" ref="X4">SUMPRODUCT($K$3:$K$7, TRANSPOSE(Q4:U4))</f>
        <v>0.17716919877643728</v>
      </c>
      <c r="Y4" s="21">
        <f t="shared" ref="Y4:Y22" si="2">Y3+$Z$3</f>
        <v>0.17716919877643728</v>
      </c>
      <c r="AA4" s="64" t="s">
        <v>62</v>
      </c>
      <c r="AB4" s="29">
        <f>W22</f>
        <v>8.0678213672478682E-2</v>
      </c>
      <c r="AC4" s="29">
        <f>X22</f>
        <v>0.19498386250549601</v>
      </c>
    </row>
    <row r="5" spans="1:31" ht="13.2" x14ac:dyDescent="0.25">
      <c r="A5" s="17" t="s">
        <v>24</v>
      </c>
      <c r="B5" s="25">
        <f>COVAR(BIMBO!C:C,GrupoCarso!C:C)</f>
        <v>3.4064563391434287E-2</v>
      </c>
      <c r="C5" s="24">
        <f>_xlfn.VAR.S(GrupoCarso!C:C)</f>
        <v>7.2253923278078891E-2</v>
      </c>
      <c r="D5" s="30">
        <f>C6</f>
        <v>-4.1566038708396312E-4</v>
      </c>
      <c r="E5" s="31">
        <f>C7</f>
        <v>1.0088729008863023E-2</v>
      </c>
      <c r="F5" s="32">
        <f>C8</f>
        <v>6.7816784637555097E-2</v>
      </c>
      <c r="G5" s="18">
        <v>1</v>
      </c>
      <c r="J5" s="3" t="s">
        <v>25</v>
      </c>
      <c r="K5" s="10">
        <f>GrupoMexico!F1</f>
        <v>0.14147763891713691</v>
      </c>
      <c r="O5" s="3">
        <v>3</v>
      </c>
      <c r="Q5" s="20">
        <f t="shared" ref="Q5:U5" si="3">P28</f>
        <v>1.1379001050470183E-2</v>
      </c>
      <c r="R5" s="20">
        <f t="shared" si="3"/>
        <v>4.0418148794777231E-2</v>
      </c>
      <c r="S5" s="20">
        <f t="shared" si="3"/>
        <v>0.21246509743774622</v>
      </c>
      <c r="T5" s="20">
        <f t="shared" si="3"/>
        <v>0.82233959521203159</v>
      </c>
      <c r="U5" s="20">
        <f t="shared" si="3"/>
        <v>-8.6601842495025547E-2</v>
      </c>
      <c r="V5" s="20" cm="1">
        <f t="array" ref="V5">MMULT(MMULT(Q5:U5, $B$4:$F$8), TRANSPOSE(Q5:U5))</f>
        <v>5.2072328009733328E-3</v>
      </c>
      <c r="W5" s="20">
        <f t="shared" si="0"/>
        <v>7.2161158534029463E-2</v>
      </c>
      <c r="X5" s="20" cm="1">
        <f t="array" ref="X5">SUMPRODUCT($K$3:$K$7, TRANSPOSE(Q5:U5))</f>
        <v>0.17815890231694045</v>
      </c>
      <c r="Y5" s="21">
        <f>Y4+$Z$3</f>
        <v>0.17815890231694054</v>
      </c>
      <c r="AA5" s="63"/>
      <c r="AB5" s="33"/>
    </row>
    <row r="6" spans="1:31" ht="13.2" x14ac:dyDescent="0.25">
      <c r="A6" s="17" t="s">
        <v>25</v>
      </c>
      <c r="B6" s="26">
        <f>COVAR(GrupoMexico!C:C,BIMBO!C:C)</f>
        <v>-2.121120214634788E-2</v>
      </c>
      <c r="C6" s="30">
        <f>COVAR(GrupoMexico!C:C,GrupoCarso!C:C)</f>
        <v>-4.1566038708396312E-4</v>
      </c>
      <c r="D6" s="24">
        <f>_xlfn.VAR.S(GrupoMexico!C:C)</f>
        <v>4.4911725334296167E-2</v>
      </c>
      <c r="E6" s="34">
        <f>D7</f>
        <v>-2.4086594712951119E-3</v>
      </c>
      <c r="F6" s="35">
        <f>D8</f>
        <v>2.7324245810641853E-2</v>
      </c>
      <c r="G6" s="18">
        <v>1</v>
      </c>
      <c r="J6" s="3" t="s">
        <v>26</v>
      </c>
      <c r="K6" s="10">
        <f>FEMSA!F1</f>
        <v>0.18632398526645294</v>
      </c>
      <c r="O6" s="3">
        <v>4</v>
      </c>
      <c r="Q6" s="20">
        <f t="shared" ref="Q6:U6" si="4">P29</f>
        <v>4.2272034568038297E-3</v>
      </c>
      <c r="R6" s="20">
        <f t="shared" si="4"/>
        <v>4.5210384773139656E-2</v>
      </c>
      <c r="S6" s="20">
        <f t="shared" si="4"/>
        <v>0.20634488482044766</v>
      </c>
      <c r="T6" s="20">
        <f t="shared" si="4"/>
        <v>0.83022282727441277</v>
      </c>
      <c r="U6" s="20">
        <f t="shared" si="4"/>
        <v>-8.6005300324803968E-2</v>
      </c>
      <c r="V6" s="20" cm="1">
        <f t="array" ref="V6">MMULT(MMULT(Q6:U6, $B$4:$F$8), TRANSPOSE(Q6:U6))</f>
        <v>5.2254644726877422E-3</v>
      </c>
      <c r="W6" s="20">
        <f t="shared" si="0"/>
        <v>7.2287374227369347E-2</v>
      </c>
      <c r="X6" s="20" cm="1">
        <f t="array" ref="X6">SUMPRODUCT($K$3:$K$7, TRANSPOSE(Q6:U6))</f>
        <v>0.17914860585744374</v>
      </c>
      <c r="Y6" s="21">
        <f t="shared" si="2"/>
        <v>0.1791486058574438</v>
      </c>
      <c r="AB6" s="14" t="s">
        <v>21</v>
      </c>
      <c r="AC6" s="14" t="s">
        <v>22</v>
      </c>
    </row>
    <row r="7" spans="1:31" ht="13.2" x14ac:dyDescent="0.25">
      <c r="A7" s="17" t="s">
        <v>26</v>
      </c>
      <c r="B7" s="27">
        <f>COVAR(FEMSA!C:C,BIMBO!C:C)</f>
        <v>1.2239955085721968E-2</v>
      </c>
      <c r="C7" s="31">
        <f>COVAR(FEMSA!C:C,GrupoCarso!C:C)</f>
        <v>1.0088729008863023E-2</v>
      </c>
      <c r="D7" s="34">
        <f>COVAR(FEMSA!C:C,GrupoMexico!C:C)</f>
        <v>-2.4086594712951119E-3</v>
      </c>
      <c r="E7" s="24">
        <f>_xlfn.VAR.S(FEMSA!C:C)</f>
        <v>7.223628359835684E-3</v>
      </c>
      <c r="F7" s="36">
        <f>E8</f>
        <v>8.1772883154333162E-3</v>
      </c>
      <c r="G7" s="18">
        <v>1</v>
      </c>
      <c r="J7" s="3" t="s">
        <v>27</v>
      </c>
      <c r="K7" s="10">
        <f>ASUR!F1</f>
        <v>0.18571236715572184</v>
      </c>
      <c r="O7" s="3">
        <v>5</v>
      </c>
      <c r="Q7" s="20">
        <f t="shared" ref="Q7:U7" si="5">P30</f>
        <v>-2.9245941368625239E-3</v>
      </c>
      <c r="R7" s="20">
        <f t="shared" si="5"/>
        <v>5.000262075150208E-2</v>
      </c>
      <c r="S7" s="20">
        <f t="shared" si="5"/>
        <v>0.20022467220314888</v>
      </c>
      <c r="T7" s="20">
        <f t="shared" si="5"/>
        <v>0.83810605933679394</v>
      </c>
      <c r="U7" s="20">
        <f t="shared" si="5"/>
        <v>-8.540875815458239E-2</v>
      </c>
      <c r="V7" s="20" cm="1">
        <f t="array" ref="V7">MMULT(MMULT(Q7:U7, $B$4:$F$8), TRANSPOSE(Q7:U7))</f>
        <v>5.2509888130879163E-3</v>
      </c>
      <c r="W7" s="20">
        <f t="shared" si="0"/>
        <v>7.2463706868251751E-2</v>
      </c>
      <c r="X7" s="20" cm="1">
        <f t="array" ref="X7">SUMPRODUCT($K$3:$K$7, TRANSPOSE(Q7:U7))</f>
        <v>0.18013830939794703</v>
      </c>
      <c r="Y7" s="21">
        <f t="shared" si="2"/>
        <v>0.18013830939794706</v>
      </c>
      <c r="AB7" s="29">
        <v>1.7959390023753356E-2</v>
      </c>
      <c r="AC7" s="29">
        <f>X22</f>
        <v>0.19498386250549601</v>
      </c>
    </row>
    <row r="8" spans="1:31" ht="13.2" x14ac:dyDescent="0.25">
      <c r="A8" s="17" t="s">
        <v>27</v>
      </c>
      <c r="B8" s="28">
        <f>COVAR(ASUR!C:C,BIMBO!C:C)</f>
        <v>3.6198172445730536E-2</v>
      </c>
      <c r="C8" s="32">
        <f>COVAR(ASUR!C:C,GrupoCarso!C:C)</f>
        <v>6.7816784637555097E-2</v>
      </c>
      <c r="D8" s="35">
        <f>COVAR(ASUR!C:C,GrupoMexico!C:C)</f>
        <v>2.7324245810641853E-2</v>
      </c>
      <c r="E8" s="36">
        <f>COVAR(ASUR!C:C,FEMSA!C:C)</f>
        <v>8.1772883154333162E-3</v>
      </c>
      <c r="F8" s="24">
        <f>_xlfn.VAR.S(ASUR!C:C)</f>
        <v>0.12032069235919751</v>
      </c>
      <c r="G8" s="18">
        <v>1</v>
      </c>
      <c r="O8" s="3">
        <v>6</v>
      </c>
      <c r="Q8" s="20">
        <f t="shared" ref="Q8:U8" si="6">P31</f>
        <v>-1.0076391730528877E-2</v>
      </c>
      <c r="R8" s="20">
        <f t="shared" si="6"/>
        <v>5.4794856729864505E-2</v>
      </c>
      <c r="S8" s="20">
        <f t="shared" si="6"/>
        <v>0.19410445958585032</v>
      </c>
      <c r="T8" s="20">
        <f t="shared" si="6"/>
        <v>0.84598929139917489</v>
      </c>
      <c r="U8" s="20">
        <f t="shared" si="6"/>
        <v>-8.4812215984360811E-2</v>
      </c>
      <c r="V8" s="20" cm="1">
        <f t="array" ref="V8">MMULT(MMULT(Q8:U8, $B$4:$F$8), TRANSPOSE(Q8:U8))</f>
        <v>5.2838058221738515E-3</v>
      </c>
      <c r="W8" s="20">
        <f t="shared" si="0"/>
        <v>7.2689791732910139E-2</v>
      </c>
      <c r="X8" s="20" cm="1">
        <f t="array" ref="X8">SUMPRODUCT($K$3:$K$7, TRANSPOSE(Q8:U8))</f>
        <v>0.18112801293845029</v>
      </c>
      <c r="Y8" s="21">
        <f t="shared" si="2"/>
        <v>0.18112801293845032</v>
      </c>
      <c r="AB8" s="37">
        <v>0.02</v>
      </c>
      <c r="AC8" s="29">
        <f>K26*(AB8-AB7)+AC7</f>
        <v>0.19498433922442707</v>
      </c>
    </row>
    <row r="9" spans="1:31" ht="13.2" x14ac:dyDescent="0.25">
      <c r="A9" s="18"/>
      <c r="B9" s="18">
        <v>1</v>
      </c>
      <c r="C9" s="18">
        <v>1</v>
      </c>
      <c r="D9" s="18">
        <v>1</v>
      </c>
      <c r="E9" s="18">
        <v>1</v>
      </c>
      <c r="F9" s="18">
        <v>1</v>
      </c>
      <c r="G9" s="18">
        <v>0</v>
      </c>
      <c r="O9" s="3">
        <v>7</v>
      </c>
      <c r="Q9" s="20">
        <f t="shared" ref="Q9:U9" si="7">P32</f>
        <v>-1.7228189324195453E-2</v>
      </c>
      <c r="R9" s="20">
        <f t="shared" si="7"/>
        <v>5.958709270822693E-2</v>
      </c>
      <c r="S9" s="20">
        <f t="shared" si="7"/>
        <v>0.18798424696855154</v>
      </c>
      <c r="T9" s="20">
        <f t="shared" si="7"/>
        <v>0.85387252346155607</v>
      </c>
      <c r="U9" s="20">
        <f t="shared" si="7"/>
        <v>-8.4215673814139233E-2</v>
      </c>
      <c r="V9" s="20" cm="1">
        <f t="array" ref="V9">MMULT(MMULT(Q9:U9, $B$4:$F$8), TRANSPOSE(Q9:U9))</f>
        <v>5.3239154999455487E-3</v>
      </c>
      <c r="W9" s="20">
        <f t="shared" si="0"/>
        <v>7.2965166346315891E-2</v>
      </c>
      <c r="X9" s="20" cm="1">
        <f t="array" ref="X9">SUMPRODUCT($K$3:$K$7, TRANSPOSE(Q9:U9))</f>
        <v>0.18211771647895353</v>
      </c>
      <c r="Y9" s="21">
        <f t="shared" si="2"/>
        <v>0.18211771647895358</v>
      </c>
    </row>
    <row r="10" spans="1:31" ht="13.2" x14ac:dyDescent="0.25">
      <c r="O10" s="3">
        <v>8</v>
      </c>
      <c r="Q10" s="20">
        <f t="shared" ref="Q10:U10" si="8">P33</f>
        <v>-2.4379986917861807E-2</v>
      </c>
      <c r="R10" s="20">
        <f t="shared" si="8"/>
        <v>6.4379328686589354E-2</v>
      </c>
      <c r="S10" s="20">
        <f t="shared" si="8"/>
        <v>0.18186403435125298</v>
      </c>
      <c r="T10" s="20">
        <f t="shared" si="8"/>
        <v>0.86175575552393702</v>
      </c>
      <c r="U10" s="20">
        <f t="shared" si="8"/>
        <v>-8.3619131643917655E-2</v>
      </c>
      <c r="V10" s="20" cm="1">
        <f t="array" ref="V10">MMULT(MMULT(Q10:U10, $B$4:$F$8), TRANSPOSE(Q10:U10))</f>
        <v>5.3713178464030115E-3</v>
      </c>
      <c r="W10" s="20">
        <f t="shared" si="0"/>
        <v>7.3289275111731125E-2</v>
      </c>
      <c r="X10" s="20" cm="1">
        <f t="array" ref="X10">SUMPRODUCT($K$3:$K$7, TRANSPOSE(Q10:U10))</f>
        <v>0.18310742001945676</v>
      </c>
      <c r="Y10" s="21">
        <f t="shared" si="2"/>
        <v>0.18310742001945685</v>
      </c>
    </row>
    <row r="11" spans="1:31" ht="13.2" x14ac:dyDescent="0.25">
      <c r="O11" s="3">
        <v>9</v>
      </c>
      <c r="Q11" s="20">
        <f t="shared" ref="Q11:U11" si="9">P34</f>
        <v>-3.153178451152816E-2</v>
      </c>
      <c r="R11" s="20">
        <f t="shared" si="9"/>
        <v>6.9171564664951779E-2</v>
      </c>
      <c r="S11" s="20">
        <f t="shared" si="9"/>
        <v>0.1757438217339542</v>
      </c>
      <c r="T11" s="20">
        <f t="shared" si="9"/>
        <v>0.86963898758631819</v>
      </c>
      <c r="U11" s="20">
        <f t="shared" si="9"/>
        <v>-8.3022589473696062E-2</v>
      </c>
      <c r="V11" s="20" cm="1">
        <f t="array" ref="V11">MMULT(MMULT(Q11:U11, $B$4:$F$8), TRANSPOSE(Q11:U11))</f>
        <v>5.4260128615462389E-3</v>
      </c>
      <c r="W11" s="20">
        <f t="shared" si="0"/>
        <v>7.3661474744578931E-2</v>
      </c>
      <c r="X11" s="20" cm="1">
        <f t="array" ref="X11">SUMPRODUCT($K$3:$K$7, TRANSPOSE(Q11:U11))</f>
        <v>0.18409712355996008</v>
      </c>
      <c r="Y11" s="21">
        <f t="shared" si="2"/>
        <v>0.18409712355996011</v>
      </c>
    </row>
    <row r="12" spans="1:31" ht="13.2" x14ac:dyDescent="0.25">
      <c r="B12" s="67" t="s">
        <v>30</v>
      </c>
      <c r="C12" s="66"/>
      <c r="D12" s="66"/>
      <c r="E12" s="66"/>
      <c r="F12" s="66"/>
      <c r="G12" s="66"/>
      <c r="I12" s="38" t="s">
        <v>31</v>
      </c>
      <c r="K12" s="39" t="s">
        <v>32</v>
      </c>
      <c r="O12" s="3">
        <v>10</v>
      </c>
      <c r="Q12" s="20">
        <f t="shared" ref="Q12:U12" si="10">P35</f>
        <v>-3.8683582105194514E-2</v>
      </c>
      <c r="R12" s="20">
        <f t="shared" si="10"/>
        <v>7.3963800643314204E-2</v>
      </c>
      <c r="S12" s="20">
        <f t="shared" si="10"/>
        <v>0.16962360911665564</v>
      </c>
      <c r="T12" s="20">
        <f t="shared" si="10"/>
        <v>0.87752221964869936</v>
      </c>
      <c r="U12" s="20">
        <f t="shared" si="10"/>
        <v>-8.2426047303474484E-2</v>
      </c>
      <c r="V12" s="20" cm="1">
        <f t="array" ref="V12">MMULT(MMULT(Q12:U12, $B$4:$F$8), TRANSPOSE(Q12:U12))</f>
        <v>5.4880005453752309E-3</v>
      </c>
      <c r="W12" s="20">
        <f t="shared" si="0"/>
        <v>7.4081040390745256E-2</v>
      </c>
      <c r="X12" s="20" cm="1">
        <f t="array" ref="X12">SUMPRODUCT($K$3:$K$7, TRANSPOSE(Q12:U12))</f>
        <v>0.18508682710046337</v>
      </c>
      <c r="Y12" s="21">
        <f t="shared" si="2"/>
        <v>0.18508682710046337</v>
      </c>
    </row>
    <row r="13" spans="1:31" ht="13.2" x14ac:dyDescent="0.25">
      <c r="B13" s="40">
        <f t="array" ref="B13:G18">MINVERSE(B4:G9)</f>
        <v>21.687609388153383</v>
      </c>
      <c r="C13" s="40">
        <v>1.8340653628676584</v>
      </c>
      <c r="D13" s="40">
        <v>13.620368174890885</v>
      </c>
      <c r="E13" s="40">
        <v>-28.193144508741035</v>
      </c>
      <c r="F13" s="40">
        <v>-8.9488984171709021</v>
      </c>
      <c r="G13" s="40">
        <v>2.5682596237802779E-2</v>
      </c>
      <c r="I13" s="3">
        <v>0</v>
      </c>
      <c r="K13" s="3">
        <f t="array" ref="K13:K18">MMULT(B13:G18,I13:I18)</f>
        <v>2.5682596237802779E-2</v>
      </c>
      <c r="O13" s="3">
        <v>11</v>
      </c>
      <c r="Q13" s="20">
        <f t="shared" ref="Q13:U13" si="11">P36</f>
        <v>-4.583537969886109E-2</v>
      </c>
      <c r="R13" s="20">
        <f t="shared" si="11"/>
        <v>7.8756036621676628E-2</v>
      </c>
      <c r="S13" s="20">
        <f t="shared" si="11"/>
        <v>0.16350339649935686</v>
      </c>
      <c r="T13" s="20">
        <f t="shared" si="11"/>
        <v>0.88540545171108032</v>
      </c>
      <c r="U13" s="20">
        <f t="shared" si="11"/>
        <v>-8.1829505133252906E-2</v>
      </c>
      <c r="V13" s="20" cm="1">
        <f t="array" ref="V13">MMULT(MMULT(Q13:U13, $B$4:$F$8), TRANSPOSE(Q13:U13))</f>
        <v>5.5572808978899806E-3</v>
      </c>
      <c r="W13" s="20">
        <f t="shared" si="0"/>
        <v>7.4547172299759171E-2</v>
      </c>
      <c r="X13" s="20" cm="1">
        <f t="array" ref="X13">SUMPRODUCT($K$3:$K$7, TRANSPOSE(Q13:U13))</f>
        <v>0.18607653064096658</v>
      </c>
      <c r="Y13" s="21">
        <f t="shared" si="2"/>
        <v>0.18607653064096663</v>
      </c>
    </row>
    <row r="14" spans="1:31" ht="13.2" x14ac:dyDescent="0.25">
      <c r="B14" s="40">
        <v>1.8340653628676484</v>
      </c>
      <c r="C14" s="40">
        <v>39.501336632277756</v>
      </c>
      <c r="D14" s="40">
        <v>13.524715552051957</v>
      </c>
      <c r="E14" s="40">
        <v>-30.810350131403673</v>
      </c>
      <c r="F14" s="40">
        <v>-24.049767415793692</v>
      </c>
      <c r="G14" s="40">
        <v>3.0833676838053183E-2</v>
      </c>
      <c r="I14" s="3">
        <v>0</v>
      </c>
      <c r="K14" s="3">
        <v>3.0833676838053183E-2</v>
      </c>
      <c r="O14" s="3">
        <v>12</v>
      </c>
      <c r="Q14" s="20">
        <f t="shared" ref="Q14:U14" si="12">P37</f>
        <v>-5.2987177292527443E-2</v>
      </c>
      <c r="R14" s="20">
        <f t="shared" si="12"/>
        <v>8.3548272600039053E-2</v>
      </c>
      <c r="S14" s="20">
        <f t="shared" si="12"/>
        <v>0.1573831838820583</v>
      </c>
      <c r="T14" s="20">
        <f t="shared" si="12"/>
        <v>0.89328868377346149</v>
      </c>
      <c r="U14" s="20">
        <f t="shared" si="12"/>
        <v>-8.1232962963031327E-2</v>
      </c>
      <c r="V14" s="20" cm="1">
        <f t="array" ref="V14">MMULT(MMULT(Q14:U14, $B$4:$F$8), TRANSPOSE(Q14:U14))</f>
        <v>5.6338539190904993E-3</v>
      </c>
      <c r="W14" s="20">
        <f t="shared" si="0"/>
        <v>7.5059002918307541E-2</v>
      </c>
      <c r="X14" s="20" cm="1">
        <f t="array" ref="X14">SUMPRODUCT($K$3:$K$7, TRANSPOSE(Q14:U14))</f>
        <v>0.18706623418146989</v>
      </c>
      <c r="Y14" s="21">
        <f t="shared" si="2"/>
        <v>0.18706623418146989</v>
      </c>
    </row>
    <row r="15" spans="1:31" ht="13.2" x14ac:dyDescent="0.25">
      <c r="B15" s="40">
        <v>13.620368174890885</v>
      </c>
      <c r="C15" s="40">
        <v>13.524715552051973</v>
      </c>
      <c r="D15" s="40">
        <v>32.645223619077861</v>
      </c>
      <c r="E15" s="40">
        <v>-41.616931649327817</v>
      </c>
      <c r="F15" s="40">
        <v>-18.173375696692915</v>
      </c>
      <c r="G15" s="40">
        <v>0.22470552267234428</v>
      </c>
      <c r="I15" s="3">
        <v>0</v>
      </c>
      <c r="K15" s="3">
        <v>0.22470552267234428</v>
      </c>
      <c r="O15" s="3">
        <v>13</v>
      </c>
      <c r="Q15" s="20">
        <f t="shared" ref="Q15:U15" si="13">P38</f>
        <v>-6.0138974886193797E-2</v>
      </c>
      <c r="R15" s="20">
        <f t="shared" si="13"/>
        <v>8.8340508578401478E-2</v>
      </c>
      <c r="S15" s="20">
        <f t="shared" si="13"/>
        <v>0.15126297126475952</v>
      </c>
      <c r="T15" s="20">
        <f t="shared" si="13"/>
        <v>0.90117191583584244</v>
      </c>
      <c r="U15" s="20">
        <f t="shared" si="13"/>
        <v>-8.0636420792809749E-2</v>
      </c>
      <c r="V15" s="20" cm="1">
        <f t="array" ref="V15">MMULT(MMULT(Q15:U15, $B$4:$F$8), TRANSPOSE(Q15:U15))</f>
        <v>5.7177196089767792E-3</v>
      </c>
      <c r="W15" s="20">
        <f t="shared" si="0"/>
        <v>7.5615604269071199E-2</v>
      </c>
      <c r="X15" s="20" cm="1">
        <f t="array" ref="X15">SUMPRODUCT($K$3:$K$7, TRANSPOSE(Q15:U15))</f>
        <v>0.1880559377219731</v>
      </c>
      <c r="Y15" s="21">
        <f t="shared" si="2"/>
        <v>0.18805593772197315</v>
      </c>
    </row>
    <row r="16" spans="1:31" ht="13.2" x14ac:dyDescent="0.25">
      <c r="B16" s="40">
        <v>-28.193144508741021</v>
      </c>
      <c r="C16" s="40">
        <v>-30.810350131403688</v>
      </c>
      <c r="D16" s="40">
        <v>-41.616931649327796</v>
      </c>
      <c r="E16" s="40">
        <v>77.277322773949592</v>
      </c>
      <c r="F16" s="40">
        <v>23.343103515522937</v>
      </c>
      <c r="G16" s="40">
        <v>0.80657313108726914</v>
      </c>
      <c r="I16" s="3">
        <v>0</v>
      </c>
      <c r="K16" s="3">
        <v>0.80657313108726914</v>
      </c>
      <c r="O16" s="3">
        <v>14</v>
      </c>
      <c r="Q16" s="20">
        <f t="shared" ref="Q16:U16" si="14">P39</f>
        <v>-6.729077247986015E-2</v>
      </c>
      <c r="R16" s="20">
        <f t="shared" si="14"/>
        <v>9.3132744556763902E-2</v>
      </c>
      <c r="S16" s="20">
        <f t="shared" si="14"/>
        <v>0.14514275864746096</v>
      </c>
      <c r="T16" s="20">
        <f t="shared" si="14"/>
        <v>0.90905514789822361</v>
      </c>
      <c r="U16" s="20">
        <f t="shared" si="14"/>
        <v>-8.003987862258817E-2</v>
      </c>
      <c r="V16" s="20" cm="1">
        <f t="array" ref="V16">MMULT(MMULT(Q16:U16, $B$4:$F$8), TRANSPOSE(Q16:U16))</f>
        <v>5.8088779675488245E-3</v>
      </c>
      <c r="W16" s="20">
        <f t="shared" si="0"/>
        <v>7.621599548355204E-2</v>
      </c>
      <c r="X16" s="20" cm="1">
        <f t="array" ref="X16">SUMPRODUCT($K$3:$K$7, TRANSPOSE(Q16:U16))</f>
        <v>0.18904564126247642</v>
      </c>
      <c r="Y16" s="21">
        <f t="shared" si="2"/>
        <v>0.18904564126247642</v>
      </c>
    </row>
    <row r="17" spans="2:25" ht="13.2" x14ac:dyDescent="0.25">
      <c r="B17" s="40">
        <v>-8.9488984171708967</v>
      </c>
      <c r="C17" s="40">
        <v>-24.049767415793699</v>
      </c>
      <c r="D17" s="40">
        <v>-18.173375696692908</v>
      </c>
      <c r="E17" s="40">
        <v>23.343103515522934</v>
      </c>
      <c r="F17" s="40">
        <v>27.828938014134575</v>
      </c>
      <c r="G17" s="40">
        <v>-8.7794926835469411E-2</v>
      </c>
      <c r="I17" s="3">
        <v>0</v>
      </c>
      <c r="K17" s="3">
        <v>-8.7794926835469411E-2</v>
      </c>
      <c r="O17" s="3">
        <v>15</v>
      </c>
      <c r="Q17" s="20">
        <f t="shared" ref="Q17:U17" si="15">P40</f>
        <v>-7.4442570073526726E-2</v>
      </c>
      <c r="R17" s="20">
        <f t="shared" si="15"/>
        <v>9.7924980535126327E-2</v>
      </c>
      <c r="S17" s="20">
        <f t="shared" si="15"/>
        <v>0.13902254603016218</v>
      </c>
      <c r="T17" s="20">
        <f t="shared" si="15"/>
        <v>0.91693837996060479</v>
      </c>
      <c r="U17" s="20">
        <f t="shared" si="15"/>
        <v>-7.9443336452366578E-2</v>
      </c>
      <c r="V17" s="20" cm="1">
        <f t="array" ref="V17">MMULT(MMULT(Q17:U17, $B$4:$F$8), TRANSPOSE(Q17:U17))</f>
        <v>5.9073289948066328E-3</v>
      </c>
      <c r="W17" s="20">
        <f t="shared" si="0"/>
        <v>7.6859150364850068E-2</v>
      </c>
      <c r="X17" s="20" cm="1">
        <f t="array" ref="X17">SUMPRODUCT($K$3:$K$7, TRANSPOSE(Q17:U17))</f>
        <v>0.19003534480297968</v>
      </c>
      <c r="Y17" s="21">
        <f t="shared" si="2"/>
        <v>0.19003534480297968</v>
      </c>
    </row>
    <row r="18" spans="2:25" ht="13.2" x14ac:dyDescent="0.25">
      <c r="B18" s="40">
        <v>2.5682596237802766E-2</v>
      </c>
      <c r="C18" s="40">
        <v>3.0833676838053128E-2</v>
      </c>
      <c r="D18" s="40">
        <v>0.22470552267234425</v>
      </c>
      <c r="E18" s="40">
        <v>0.80657313108726925</v>
      </c>
      <c r="F18" s="40">
        <v>-8.7794926835469217E-2</v>
      </c>
      <c r="G18" s="40">
        <v>-5.1926474636018096E-3</v>
      </c>
      <c r="I18" s="3">
        <v>1</v>
      </c>
      <c r="K18" s="3">
        <v>-5.1926474636018096E-3</v>
      </c>
      <c r="O18" s="3">
        <v>16</v>
      </c>
      <c r="Q18" s="20">
        <f t="shared" ref="Q18:U18" si="16">P41</f>
        <v>-8.159436766719308E-2</v>
      </c>
      <c r="R18" s="20">
        <f t="shared" si="16"/>
        <v>0.10271721651348875</v>
      </c>
      <c r="S18" s="20">
        <f t="shared" si="16"/>
        <v>0.13290233341286362</v>
      </c>
      <c r="T18" s="20">
        <f t="shared" si="16"/>
        <v>0.92482161202298574</v>
      </c>
      <c r="U18" s="20">
        <f t="shared" si="16"/>
        <v>-7.8846794282145E-2</v>
      </c>
      <c r="V18" s="20" cm="1">
        <f t="array" ref="V18">MMULT(MMULT(Q18:U18, $B$4:$F$8), TRANSPOSE(Q18:U18))</f>
        <v>6.0130726907502022E-3</v>
      </c>
      <c r="W18" s="20">
        <f t="shared" si="0"/>
        <v>7.7544004866593019E-2</v>
      </c>
      <c r="X18" s="20" cm="1">
        <f t="array" ref="X18">SUMPRODUCT($K$3:$K$7, TRANSPOSE(Q18:U18))</f>
        <v>0.19102504834348291</v>
      </c>
      <c r="Y18" s="21">
        <f t="shared" si="2"/>
        <v>0.19102504834348294</v>
      </c>
    </row>
    <row r="19" spans="2:25" ht="13.2" x14ac:dyDescent="0.25">
      <c r="O19" s="3">
        <v>17</v>
      </c>
      <c r="Q19" s="20">
        <f t="shared" ref="Q19:U19" si="17">P42</f>
        <v>-8.8746165260859433E-2</v>
      </c>
      <c r="R19" s="20">
        <f t="shared" si="17"/>
        <v>0.10750945249185118</v>
      </c>
      <c r="S19" s="20">
        <f t="shared" si="17"/>
        <v>0.12678212079556483</v>
      </c>
      <c r="T19" s="20">
        <f t="shared" si="17"/>
        <v>0.93270484408536691</v>
      </c>
      <c r="U19" s="20">
        <f t="shared" si="17"/>
        <v>-7.8250252111923421E-2</v>
      </c>
      <c r="V19" s="20" cm="1">
        <f t="array" ref="V19">MMULT(MMULT(Q19:U19, $B$4:$F$8), TRANSPOSE(Q19:U19))</f>
        <v>6.1261090553795371E-3</v>
      </c>
      <c r="W19" s="20">
        <f t="shared" si="0"/>
        <v>7.8269464386691301E-2</v>
      </c>
      <c r="X19" s="20" cm="1">
        <f t="array" ref="X19">SUMPRODUCT($K$3:$K$7, TRANSPOSE(Q19:U19))</f>
        <v>0.19201475188398617</v>
      </c>
      <c r="Y19" s="21">
        <f t="shared" si="2"/>
        <v>0.1920147518839862</v>
      </c>
    </row>
    <row r="20" spans="2:25" ht="13.2" x14ac:dyDescent="0.25">
      <c r="O20" s="3">
        <v>18</v>
      </c>
      <c r="Q20" s="20">
        <f t="shared" ref="Q20:U20" si="18">P43</f>
        <v>-9.5897962854525787E-2</v>
      </c>
      <c r="R20" s="20">
        <f t="shared" si="18"/>
        <v>0.11230168847021349</v>
      </c>
      <c r="S20" s="20">
        <f t="shared" si="18"/>
        <v>0.12066190817826628</v>
      </c>
      <c r="T20" s="20">
        <f t="shared" si="18"/>
        <v>0.94058807614774786</v>
      </c>
      <c r="U20" s="20">
        <f t="shared" si="18"/>
        <v>-7.7653709941701843E-2</v>
      </c>
      <c r="V20" s="20" cm="1">
        <f t="array" ref="V20">MMULT(MMULT(Q20:U20, $B$4:$F$8), TRANSPOSE(Q20:U20))</f>
        <v>6.2464380886946324E-3</v>
      </c>
      <c r="W20" s="20">
        <f t="shared" si="0"/>
        <v>7.9034410788558621E-2</v>
      </c>
      <c r="X20" s="20" cm="1">
        <f t="array" ref="X20">SUMPRODUCT($K$3:$K$7, TRANSPOSE(Q20:U20))</f>
        <v>0.19300445542448941</v>
      </c>
      <c r="Y20" s="21">
        <f t="shared" si="2"/>
        <v>0.19300445542448946</v>
      </c>
    </row>
    <row r="21" spans="2:25" ht="13.2" x14ac:dyDescent="0.25">
      <c r="B21" s="41"/>
      <c r="C21" s="41"/>
      <c r="D21" s="41"/>
      <c r="E21" s="41"/>
      <c r="F21" s="41"/>
      <c r="G21" s="41"/>
      <c r="H21" s="41"/>
      <c r="O21" s="3">
        <v>19</v>
      </c>
      <c r="P21" s="3"/>
      <c r="Q21" s="20">
        <f t="shared" ref="Q21:U21" si="19">P44</f>
        <v>-0.10304976044819236</v>
      </c>
      <c r="R21" s="20">
        <f t="shared" si="19"/>
        <v>0.11709392444857591</v>
      </c>
      <c r="S21" s="20">
        <f t="shared" si="19"/>
        <v>0.11454169556096749</v>
      </c>
      <c r="T21" s="20">
        <f t="shared" si="19"/>
        <v>0.94847130821012904</v>
      </c>
      <c r="U21" s="20">
        <f t="shared" si="19"/>
        <v>-7.7057167771480264E-2</v>
      </c>
      <c r="V21" s="20" cm="1">
        <f t="array" ref="V21">MMULT(MMULT(Q21:U21, $B$4:$F$8), TRANSPOSE(Q21:U21))</f>
        <v>6.374059790695494E-3</v>
      </c>
      <c r="W21" s="20">
        <f t="shared" si="0"/>
        <v>7.9837709077199184E-2</v>
      </c>
      <c r="X21" s="20" cm="1">
        <f t="array" ref="X21">SUMPRODUCT($K$3:$K$7, TRANSPOSE(Q21:U21))</f>
        <v>0.19399415896499267</v>
      </c>
      <c r="Y21" s="21">
        <f t="shared" si="2"/>
        <v>0.19399415896499272</v>
      </c>
    </row>
    <row r="22" spans="2:25" ht="13.2" x14ac:dyDescent="0.25">
      <c r="B22" s="68" t="s">
        <v>33</v>
      </c>
      <c r="C22" s="66"/>
      <c r="D22" s="66"/>
      <c r="E22" s="66"/>
      <c r="F22" s="66"/>
      <c r="G22" s="66"/>
      <c r="H22" s="66"/>
      <c r="O22" s="3">
        <v>20</v>
      </c>
      <c r="P22" s="19" t="s">
        <v>34</v>
      </c>
      <c r="Q22" s="20">
        <f t="array" ref="Q22:U22">TRANSPOSE(L32:L36)</f>
        <v>-0.1102015580418591</v>
      </c>
      <c r="R22" s="20">
        <v>0.12188616042693899</v>
      </c>
      <c r="S22" s="20">
        <v>0.10842148294366938</v>
      </c>
      <c r="T22" s="20">
        <v>0.95635454027250988</v>
      </c>
      <c r="U22" s="20">
        <v>-7.6460625601259172E-2</v>
      </c>
      <c r="V22" s="20" cm="1">
        <f t="array" ref="V22">MMULT(MMULT(TRANSPOSE(L32:L36),B4:F8),L32:L36)</f>
        <v>6.5089741613821254E-3</v>
      </c>
      <c r="W22" s="20">
        <f>SQRT(V22)</f>
        <v>8.0678213672478682E-2</v>
      </c>
      <c r="X22" s="20" cm="1">
        <f t="array" ref="X22">SUMPRODUCT($K$3:$K$7, TRANSPOSE(Q22:U22))</f>
        <v>0.19498386250549601</v>
      </c>
      <c r="Y22" s="21">
        <f t="shared" si="2"/>
        <v>0.19498386250549599</v>
      </c>
    </row>
    <row r="23" spans="2:25" ht="13.2" x14ac:dyDescent="0.25">
      <c r="B23" s="24">
        <f>_xlfn.VAR.S(BIMBO!C:C)</f>
        <v>8.6213363020440831E-2</v>
      </c>
      <c r="C23" s="25">
        <f>B24</f>
        <v>3.4064563391434287E-2</v>
      </c>
      <c r="D23" s="26">
        <f>B25</f>
        <v>-2.121120214634788E-2</v>
      </c>
      <c r="E23" s="27">
        <f>B26</f>
        <v>1.2239955085721968E-2</v>
      </c>
      <c r="F23" s="28">
        <f>B27</f>
        <v>3.6198172445730536E-2</v>
      </c>
      <c r="G23" s="18">
        <v>1</v>
      </c>
      <c r="H23" s="42">
        <f t="array" ref="H23:H27">TRANSPOSE(B29:F29)</f>
        <v>0.12041975809020136</v>
      </c>
      <c r="J23" s="43" t="s">
        <v>35</v>
      </c>
      <c r="K23" s="44">
        <f>0.102</f>
        <v>0.10199999999999999</v>
      </c>
    </row>
    <row r="24" spans="2:25" ht="13.2" x14ac:dyDescent="0.25">
      <c r="B24" s="25">
        <f>COVAR(BIMBO!C:C,GrupoCarso!C:C)</f>
        <v>3.4064563391434287E-2</v>
      </c>
      <c r="C24" s="24">
        <f>_xlfn.VAR.S(GrupoCarso!C:C)</f>
        <v>7.2253923278078891E-2</v>
      </c>
      <c r="D24" s="30">
        <f>C25</f>
        <v>-4.1566038708396312E-4</v>
      </c>
      <c r="E24" s="31">
        <f>C26</f>
        <v>1.0088729008863023E-2</v>
      </c>
      <c r="F24" s="32">
        <f>C27</f>
        <v>6.7816784637555097E-2</v>
      </c>
      <c r="G24" s="18">
        <v>1</v>
      </c>
      <c r="H24" s="42">
        <v>0.23729508299679938</v>
      </c>
      <c r="J24" s="18" t="s">
        <v>36</v>
      </c>
      <c r="K24" s="42">
        <f>K23/360</f>
        <v>2.833333333333333E-4</v>
      </c>
    </row>
    <row r="25" spans="2:25" ht="13.2" x14ac:dyDescent="0.25">
      <c r="B25" s="26">
        <f>COVAR(GrupoMexico!C:C,BIMBO!C:C)</f>
        <v>-2.121120214634788E-2</v>
      </c>
      <c r="C25" s="30">
        <f>COVAR(GrupoMexico!C:C,GrupoCarso!C:C)</f>
        <v>-4.1566038708396312E-4</v>
      </c>
      <c r="D25" s="24">
        <f>_xlfn.VAR.S(GrupoMexico!C:C)</f>
        <v>4.4911725334296167E-2</v>
      </c>
      <c r="E25" s="34">
        <f>D26</f>
        <v>-2.4086594712951119E-3</v>
      </c>
      <c r="F25" s="35">
        <f>D27</f>
        <v>2.7324245810641853E-2</v>
      </c>
      <c r="G25" s="18">
        <v>1</v>
      </c>
      <c r="H25" s="45">
        <v>0.14147763891713691</v>
      </c>
      <c r="J25" s="18" t="s">
        <v>37</v>
      </c>
      <c r="K25" s="44">
        <v>8.8999999999999996E-2</v>
      </c>
    </row>
    <row r="26" spans="2:25" ht="13.2" x14ac:dyDescent="0.25">
      <c r="B26" s="27">
        <f>COVAR(FEMSA!C:C,BIMBO!C:C)</f>
        <v>1.2239955085721968E-2</v>
      </c>
      <c r="C26" s="31">
        <f>COVAR(FEMSA!C:C,GrupoCarso!C:C)</f>
        <v>1.0088729008863023E-2</v>
      </c>
      <c r="D26" s="34">
        <f>COVAR(FEMSA!C:C,GrupoMexico!C:C)</f>
        <v>-2.4086594712951119E-3</v>
      </c>
      <c r="E26" s="24">
        <f>_xlfn.VAR.S(FEMSA!C:C)</f>
        <v>7.223628359835684E-3</v>
      </c>
      <c r="F26" s="36">
        <f>E27</f>
        <v>8.1772883154333162E-3</v>
      </c>
      <c r="G26" s="18">
        <v>1</v>
      </c>
      <c r="H26" s="45">
        <v>0.18632398526645294</v>
      </c>
      <c r="J26" s="18" t="s">
        <v>38</v>
      </c>
      <c r="K26" s="46">
        <f>(1+K25)^(1/365)-1</f>
        <v>2.3361589750847678E-4</v>
      </c>
      <c r="P26" s="47" t="s">
        <v>23</v>
      </c>
      <c r="Q26" s="47" t="s">
        <v>24</v>
      </c>
      <c r="R26" s="47" t="s">
        <v>25</v>
      </c>
      <c r="S26" s="47" t="s">
        <v>26</v>
      </c>
      <c r="T26" s="47" t="s">
        <v>27</v>
      </c>
      <c r="U26" s="48"/>
      <c r="V26" s="48"/>
      <c r="W26" s="48"/>
    </row>
    <row r="27" spans="2:25" ht="13.2" x14ac:dyDescent="0.25">
      <c r="B27" s="28">
        <f>COVAR(ASUR!C:C,BIMBO!C:C)</f>
        <v>3.6198172445730536E-2</v>
      </c>
      <c r="C27" s="32">
        <f>COVAR(ASUR!C:C,GrupoCarso!C:C)</f>
        <v>6.7816784637555097E-2</v>
      </c>
      <c r="D27" s="35">
        <f>COVAR(ASUR!C:C,GrupoMexico!C:C)</f>
        <v>2.7324245810641853E-2</v>
      </c>
      <c r="E27" s="36">
        <f>COVAR(ASUR!C:C,FEMSA!C:C)</f>
        <v>8.1772883154333162E-3</v>
      </c>
      <c r="F27" s="24">
        <f>_xlfn.VAR.S(ASUR!C:C)</f>
        <v>0.12032069235919751</v>
      </c>
      <c r="G27" s="18">
        <v>1</v>
      </c>
      <c r="H27" s="45">
        <v>0.18571236715572184</v>
      </c>
      <c r="J27" s="49" t="s">
        <v>39</v>
      </c>
      <c r="P27" s="48">
        <f t="array" ref="P27:V27">TRANSPOSE(MMULT($B$41:$H$47,B51:B57))</f>
        <v>1.8530798644136759E-2</v>
      </c>
      <c r="Q27" s="48">
        <v>3.5625912816414917E-2</v>
      </c>
      <c r="R27" s="48">
        <v>0.218585310055045</v>
      </c>
      <c r="S27" s="48">
        <v>0.81445636314965064</v>
      </c>
      <c r="T27" s="48">
        <v>-8.7198384665247139E-2</v>
      </c>
      <c r="U27" s="48">
        <v>-4.5435547629091577E-3</v>
      </c>
      <c r="V27" s="48">
        <v>-3.6842692722182102E-3</v>
      </c>
      <c r="W27" s="48">
        <f t="shared" ref="W27:W44" si="20">SUM(P27:T27)</f>
        <v>1.0000000000000002</v>
      </c>
    </row>
    <row r="28" spans="2:25" ht="13.2" x14ac:dyDescent="0.25"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0</v>
      </c>
      <c r="H28" s="18">
        <v>0</v>
      </c>
      <c r="P28" s="48">
        <f t="array" ref="P28:V28">TRANSPOSE(MMULT($B$41:$H$47,C51:C57))</f>
        <v>1.1379001050470183E-2</v>
      </c>
      <c r="Q28" s="48">
        <v>4.0418148794777231E-2</v>
      </c>
      <c r="R28" s="48">
        <v>0.21246509743774622</v>
      </c>
      <c r="S28" s="48">
        <v>0.82233959521203159</v>
      </c>
      <c r="T28" s="48">
        <v>-8.6601842495025547E-2</v>
      </c>
      <c r="U28" s="48">
        <v>-3.8944620622164833E-3</v>
      </c>
      <c r="V28" s="48">
        <v>-7.3685385444364204E-3</v>
      </c>
      <c r="W28" s="48">
        <f t="shared" si="20"/>
        <v>0.99999999999999967</v>
      </c>
    </row>
    <row r="29" spans="2:25" ht="13.2" x14ac:dyDescent="0.25">
      <c r="B29" s="42">
        <f t="array" ref="B29:F29">TRANSPOSE(K3:K7)</f>
        <v>0.12041975809020136</v>
      </c>
      <c r="C29" s="42">
        <v>0.23729508299679938</v>
      </c>
      <c r="D29" s="45">
        <v>0.14147763891713691</v>
      </c>
      <c r="E29" s="45">
        <v>0.18632398526645294</v>
      </c>
      <c r="F29" s="45">
        <v>0.18571236715572184</v>
      </c>
      <c r="G29" s="18">
        <v>0</v>
      </c>
      <c r="H29" s="18">
        <v>0</v>
      </c>
      <c r="P29" s="48">
        <f t="array" ref="P29:V29">TRANSPOSE(MMULT($B$41:$H$47,D51:D57))</f>
        <v>4.2272034568038297E-3</v>
      </c>
      <c r="Q29" s="48">
        <v>4.5210384773139656E-2</v>
      </c>
      <c r="R29" s="48">
        <v>0.20634488482044766</v>
      </c>
      <c r="S29" s="48">
        <v>0.83022282727441277</v>
      </c>
      <c r="T29" s="48">
        <v>-8.6005300324803968E-2</v>
      </c>
      <c r="U29" s="48">
        <v>-3.2453693615238088E-3</v>
      </c>
      <c r="V29" s="48">
        <v>-1.1052807816654631E-2</v>
      </c>
      <c r="W29" s="48">
        <f t="shared" si="20"/>
        <v>0.99999999999999978</v>
      </c>
    </row>
    <row r="30" spans="2:25" ht="13.2" x14ac:dyDescent="0.25">
      <c r="P30" s="50">
        <f t="array" ref="P30:V30">TRANSPOSE(MMULT($B$41:$H$47,E51:E57))</f>
        <v>-2.9245941368625239E-3</v>
      </c>
      <c r="Q30" s="48">
        <v>5.000262075150208E-2</v>
      </c>
      <c r="R30" s="48">
        <v>0.20022467220314888</v>
      </c>
      <c r="S30" s="48">
        <v>0.83810605933679394</v>
      </c>
      <c r="T30" s="48">
        <v>-8.540875815458239E-2</v>
      </c>
      <c r="U30" s="48">
        <v>-2.5962766608311344E-3</v>
      </c>
      <c r="V30" s="48">
        <v>-1.4737077088872952E-2</v>
      </c>
      <c r="W30" s="48">
        <f t="shared" si="20"/>
        <v>1</v>
      </c>
    </row>
    <row r="31" spans="2:25" ht="13.2" x14ac:dyDescent="0.25">
      <c r="B31" s="69" t="s">
        <v>40</v>
      </c>
      <c r="C31" s="66"/>
      <c r="D31" s="66"/>
      <c r="E31" s="66"/>
      <c r="F31" s="66"/>
      <c r="H31" s="51" t="s">
        <v>41</v>
      </c>
      <c r="J31" s="3" t="s">
        <v>42</v>
      </c>
      <c r="L31" s="52" t="s">
        <v>43</v>
      </c>
      <c r="P31" s="50">
        <f t="array" ref="P31:V31">TRANSPOSE(MMULT($B$41:$H$47,F51:F57))</f>
        <v>-1.0076391730528877E-2</v>
      </c>
      <c r="Q31" s="48">
        <v>5.4794856729864505E-2</v>
      </c>
      <c r="R31" s="48">
        <v>0.19410445958585032</v>
      </c>
      <c r="S31" s="48">
        <v>0.84598929139917489</v>
      </c>
      <c r="T31" s="48">
        <v>-8.4812215984360811E-2</v>
      </c>
      <c r="U31" s="48">
        <v>-1.9471839601384738E-3</v>
      </c>
      <c r="V31" s="48">
        <v>-1.8421346361091162E-2</v>
      </c>
      <c r="W31" s="48">
        <f t="shared" si="20"/>
        <v>1.0000000000000002</v>
      </c>
    </row>
    <row r="32" spans="2:25" ht="13.2" x14ac:dyDescent="0.25">
      <c r="B32" s="53">
        <f t="array" ref="B32:F36">MINVERSE(B23:F27)</f>
        <v>21.814634331428948</v>
      </c>
      <c r="C32" s="53">
        <v>1.9865673145810068</v>
      </c>
      <c r="D32" s="53">
        <v>14.731751385796427</v>
      </c>
      <c r="E32" s="53">
        <v>-24.203870789087031</v>
      </c>
      <c r="F32" s="53">
        <v>-9.3831280993220592</v>
      </c>
      <c r="H32" s="5">
        <f>K3-$K$23</f>
        <v>1.8419758090201369E-2</v>
      </c>
      <c r="J32" s="3">
        <f t="array" ref="J32:J36">MMULT(B32:F36,H32:H36)</f>
        <v>-1.5742828695881328</v>
      </c>
      <c r="L32" s="3">
        <f t="shared" ref="L32:L36" si="21">J32/$J$37</f>
        <v>-0.1102015580418591</v>
      </c>
      <c r="P32" s="50">
        <f t="array" ref="P32:V32">TRANSPOSE(MMULT($B$41:$H$47,G51:G57))</f>
        <v>-1.7228189324195453E-2</v>
      </c>
      <c r="Q32" s="48">
        <v>5.958709270822693E-2</v>
      </c>
      <c r="R32" s="48">
        <v>0.18798424696855154</v>
      </c>
      <c r="S32" s="48">
        <v>0.85387252346155607</v>
      </c>
      <c r="T32" s="48">
        <v>-8.4215673814139233E-2</v>
      </c>
      <c r="U32" s="48">
        <v>-1.2980912594457994E-3</v>
      </c>
      <c r="V32" s="48">
        <v>-2.2105615633309372E-2</v>
      </c>
      <c r="W32" s="48">
        <f t="shared" si="20"/>
        <v>0.99999999999999989</v>
      </c>
    </row>
    <row r="33" spans="2:33" ht="13.2" x14ac:dyDescent="0.25">
      <c r="B33" s="53">
        <v>1.9865673145810039</v>
      </c>
      <c r="C33" s="53">
        <v>39.684425438906295</v>
      </c>
      <c r="D33" s="53">
        <v>14.859005530019994</v>
      </c>
      <c r="E33" s="53">
        <v>-26.020959855147385</v>
      </c>
      <c r="F33" s="53">
        <v>-24.571089231118279</v>
      </c>
      <c r="H33" s="5">
        <f t="shared" ref="H33:H36" si="22">K4-$K$23</f>
        <v>0.13529508299679938</v>
      </c>
      <c r="J33" s="3">
        <v>1.7412030992076883</v>
      </c>
      <c r="L33" s="3">
        <f t="shared" si="21"/>
        <v>0.12188616042693899</v>
      </c>
      <c r="P33" s="48">
        <f t="array" ref="P33:V33">TRANSPOSE(MMULT($B$41:$H$47,H51:H57))</f>
        <v>-2.4379986917861807E-2</v>
      </c>
      <c r="Q33" s="48">
        <v>6.4379328686589354E-2</v>
      </c>
      <c r="R33" s="48">
        <v>0.18186403435125298</v>
      </c>
      <c r="S33" s="48">
        <v>0.86175575552393702</v>
      </c>
      <c r="T33" s="48">
        <v>-8.3619131643917655E-2</v>
      </c>
      <c r="U33" s="48">
        <v>-6.4899855875312495E-4</v>
      </c>
      <c r="V33" s="48">
        <v>-2.5789884905527583E-2</v>
      </c>
      <c r="W33" s="48">
        <f t="shared" si="20"/>
        <v>1</v>
      </c>
    </row>
    <row r="34" spans="2:33" ht="13.2" x14ac:dyDescent="0.25">
      <c r="B34" s="53">
        <v>14.731751385796425</v>
      </c>
      <c r="C34" s="53">
        <v>14.859005530019996</v>
      </c>
      <c r="D34" s="53">
        <v>42.369082647325477</v>
      </c>
      <c r="E34" s="53">
        <v>-6.7134574071695816</v>
      </c>
      <c r="F34" s="53">
        <v>-21.972594700260771</v>
      </c>
      <c r="H34" s="5">
        <f t="shared" si="22"/>
        <v>3.9477638917136917E-2</v>
      </c>
      <c r="J34" s="3">
        <v>1.5488536308055372</v>
      </c>
      <c r="L34" s="3">
        <f t="shared" si="21"/>
        <v>0.10842148294366938</v>
      </c>
      <c r="P34" s="48">
        <f t="array" ref="P34:V34">TRANSPOSE(MMULT($B$41:$H$47,I51:I57))</f>
        <v>-3.153178451152816E-2</v>
      </c>
      <c r="Q34" s="48">
        <v>6.9171564664951779E-2</v>
      </c>
      <c r="R34" s="48">
        <v>0.1757438217339542</v>
      </c>
      <c r="S34" s="48">
        <v>0.86963898758631819</v>
      </c>
      <c r="T34" s="48">
        <v>-8.3022589473696062E-2</v>
      </c>
      <c r="U34" s="48">
        <v>9.4141939549485798E-8</v>
      </c>
      <c r="V34" s="48">
        <v>-2.9474154177745904E-2</v>
      </c>
      <c r="W34" s="48">
        <f t="shared" si="20"/>
        <v>1</v>
      </c>
      <c r="AB34" s="3" t="s">
        <v>44</v>
      </c>
    </row>
    <row r="35" spans="2:33" ht="13.2" x14ac:dyDescent="0.25">
      <c r="B35" s="53">
        <v>-24.203870789087027</v>
      </c>
      <c r="C35" s="53">
        <v>-26.020959855147385</v>
      </c>
      <c r="D35" s="53">
        <v>-6.7134574071695772</v>
      </c>
      <c r="E35" s="53">
        <v>202.56220304977501</v>
      </c>
      <c r="F35" s="53">
        <v>9.7059310466367901</v>
      </c>
      <c r="H35" s="5">
        <f t="shared" si="22"/>
        <v>8.4323985266452947E-2</v>
      </c>
      <c r="J35" s="3">
        <v>13.661989873427812</v>
      </c>
      <c r="L35" s="3">
        <f t="shared" si="21"/>
        <v>0.95635454027250988</v>
      </c>
      <c r="P35" s="48">
        <f t="array" ref="P35:V35">TRANSPOSE(MMULT($B$41:$H$47,J51:J57))</f>
        <v>-3.8683582105194514E-2</v>
      </c>
      <c r="Q35" s="48">
        <v>7.3963800643314204E-2</v>
      </c>
      <c r="R35" s="48">
        <v>0.16962360911665564</v>
      </c>
      <c r="S35" s="48">
        <v>0.87752221964869936</v>
      </c>
      <c r="T35" s="48">
        <v>-8.2426047303474484E-2</v>
      </c>
      <c r="U35" s="48">
        <v>6.4918684263221005E-4</v>
      </c>
      <c r="V35" s="48">
        <v>-3.3158423449964114E-2</v>
      </c>
      <c r="W35" s="48">
        <f t="shared" si="20"/>
        <v>1.0000000000000002</v>
      </c>
    </row>
    <row r="36" spans="2:33" ht="13.2" x14ac:dyDescent="0.25">
      <c r="B36" s="53">
        <v>-9.3831280993220592</v>
      </c>
      <c r="C36" s="53">
        <v>-24.571089231118279</v>
      </c>
      <c r="D36" s="53">
        <v>-21.972594700260771</v>
      </c>
      <c r="E36" s="53">
        <v>9.7059310466367936</v>
      </c>
      <c r="F36" s="53">
        <v>29.313334794789309</v>
      </c>
      <c r="H36" s="5">
        <f t="shared" si="22"/>
        <v>8.3712367155721848E-2</v>
      </c>
      <c r="J36" s="3">
        <v>-1.0922772347404779</v>
      </c>
      <c r="L36" s="3">
        <f t="shared" si="21"/>
        <v>-7.6460625601259172E-2</v>
      </c>
      <c r="P36" s="48">
        <f t="array" ref="P36:V36">TRANSPOSE(MMULT($B$41:$H$47,K51:K57))</f>
        <v>-4.583537969886109E-2</v>
      </c>
      <c r="Q36" s="48">
        <v>7.8756036621676628E-2</v>
      </c>
      <c r="R36" s="48">
        <v>0.16350339649935686</v>
      </c>
      <c r="S36" s="48">
        <v>0.88540545171108032</v>
      </c>
      <c r="T36" s="48">
        <v>-8.1829505133252906E-2</v>
      </c>
      <c r="U36" s="48">
        <v>1.2982795433248845E-3</v>
      </c>
      <c r="V36" s="48">
        <v>-3.6842692722182324E-2</v>
      </c>
      <c r="W36" s="48">
        <f t="shared" si="20"/>
        <v>0.99999999999999978</v>
      </c>
    </row>
    <row r="37" spans="2:33" ht="13.2" x14ac:dyDescent="0.25">
      <c r="J37" s="54">
        <f>SUM(J32:J36)</f>
        <v>14.285486499112427</v>
      </c>
      <c r="P37" s="50">
        <f t="array" ref="P37:V37">TRANSPOSE(MMULT($B$41:$H$47,L51:L57))</f>
        <v>-5.2987177292527443E-2</v>
      </c>
      <c r="Q37" s="48">
        <v>8.3548272600039053E-2</v>
      </c>
      <c r="R37" s="48">
        <v>0.1573831838820583</v>
      </c>
      <c r="S37" s="48">
        <v>0.89328868377346149</v>
      </c>
      <c r="T37" s="48">
        <v>-8.1232962963031327E-2</v>
      </c>
      <c r="U37" s="48">
        <v>1.9473722440175589E-3</v>
      </c>
      <c r="V37" s="48">
        <v>-4.0526961994400534E-2</v>
      </c>
      <c r="W37" s="48">
        <f t="shared" si="20"/>
        <v>1.0000000000000002</v>
      </c>
    </row>
    <row r="38" spans="2:33" ht="13.2" x14ac:dyDescent="0.25">
      <c r="P38" s="50">
        <f t="array" ref="P38:V38">TRANSPOSE(MMULT($B$41:$H$47,M51:M57))</f>
        <v>-6.0138974886193797E-2</v>
      </c>
      <c r="Q38" s="48">
        <v>8.8340508578401478E-2</v>
      </c>
      <c r="R38" s="48">
        <v>0.15126297126475952</v>
      </c>
      <c r="S38" s="48">
        <v>0.90117191583584244</v>
      </c>
      <c r="T38" s="48">
        <v>-8.0636420792809749E-2</v>
      </c>
      <c r="U38" s="48">
        <v>2.5964649447102334E-3</v>
      </c>
      <c r="V38" s="48">
        <v>-4.4211231266618856E-2</v>
      </c>
      <c r="W38" s="48">
        <f t="shared" si="20"/>
        <v>0.99999999999999989</v>
      </c>
    </row>
    <row r="39" spans="2:33" ht="13.2" x14ac:dyDescent="0.25">
      <c r="P39" s="50">
        <f t="array" ref="P39:V39">TRANSPOSE(MMULT($B$41:$H$47,N51:N57))</f>
        <v>-6.729077247986015E-2</v>
      </c>
      <c r="Q39" s="48">
        <v>9.3132744556763902E-2</v>
      </c>
      <c r="R39" s="48">
        <v>0.14514275864746096</v>
      </c>
      <c r="S39" s="48">
        <v>0.90905514789822361</v>
      </c>
      <c r="T39" s="48">
        <v>-8.003987862258817E-2</v>
      </c>
      <c r="U39" s="48">
        <v>3.2455576454028939E-3</v>
      </c>
      <c r="V39" s="48">
        <v>-4.7895500538837066E-2</v>
      </c>
      <c r="W39" s="48">
        <f t="shared" si="20"/>
        <v>1</v>
      </c>
    </row>
    <row r="40" spans="2:33" ht="13.2" x14ac:dyDescent="0.25">
      <c r="B40" s="70" t="s">
        <v>45</v>
      </c>
      <c r="C40" s="66"/>
      <c r="D40" s="66"/>
      <c r="E40" s="66"/>
      <c r="F40" s="66"/>
      <c r="G40" s="66"/>
      <c r="H40" s="66"/>
      <c r="J40" s="13" t="s">
        <v>46</v>
      </c>
      <c r="L40" s="13" t="s">
        <v>47</v>
      </c>
      <c r="P40" s="50">
        <f t="array" ref="P40:V40">TRANSPOSE(MMULT($B$41:$H$47,O51:O57))</f>
        <v>-7.4442570073526726E-2</v>
      </c>
      <c r="Q40" s="48">
        <v>9.7924980535126327E-2</v>
      </c>
      <c r="R40" s="48">
        <v>0.13902254603016218</v>
      </c>
      <c r="S40" s="48">
        <v>0.91693837996060479</v>
      </c>
      <c r="T40" s="48">
        <v>-7.9443336452366578E-2</v>
      </c>
      <c r="U40" s="48">
        <v>3.8946503460955684E-3</v>
      </c>
      <c r="V40" s="48">
        <v>-5.1579769811055276E-2</v>
      </c>
      <c r="W40" s="48">
        <f t="shared" si="20"/>
        <v>1</v>
      </c>
      <c r="AF40" s="3"/>
      <c r="AG40" s="3"/>
    </row>
    <row r="41" spans="2:33" ht="13.2" x14ac:dyDescent="0.25">
      <c r="B41" s="24">
        <f t="array" ref="B41:H47">MINVERSE(B23:H29)</f>
        <v>7.6603140249011741</v>
      </c>
      <c r="C41" s="25">
        <v>11.2333959001895</v>
      </c>
      <c r="D41" s="26">
        <v>1.6163889033326804</v>
      </c>
      <c r="E41" s="27">
        <v>-12.731238168716992</v>
      </c>
      <c r="F41" s="28">
        <v>-7.7788606597063747</v>
      </c>
      <c r="G41" s="18">
        <v>1.2987911974670243</v>
      </c>
      <c r="H41" s="45">
        <v>-7.2262018887289603</v>
      </c>
      <c r="J41" s="3">
        <v>0</v>
      </c>
      <c r="L41" s="3">
        <f t="array" ref="L41:L47">MMULT(B41:H47,J41:J47)</f>
        <v>1.2992697535189475</v>
      </c>
      <c r="P41" s="50">
        <f t="array" ref="P41:V41">TRANSPOSE(MMULT($B$41:$H$47,P51:P57))</f>
        <v>-8.159436766719308E-2</v>
      </c>
      <c r="Q41" s="48">
        <v>0.10271721651348875</v>
      </c>
      <c r="R41" s="48">
        <v>0.13290233341286362</v>
      </c>
      <c r="S41" s="48">
        <v>0.92482161202298574</v>
      </c>
      <c r="T41" s="48">
        <v>-7.8846794282145E-2</v>
      </c>
      <c r="U41" s="48">
        <v>4.5437430467882428E-3</v>
      </c>
      <c r="V41" s="48">
        <v>-5.5264039083273486E-2</v>
      </c>
      <c r="W41" s="48">
        <f t="shared" si="20"/>
        <v>0.99999999999999989</v>
      </c>
    </row>
    <row r="42" spans="2:33" ht="13.2" x14ac:dyDescent="0.25">
      <c r="B42" s="25">
        <v>11.233395900189501</v>
      </c>
      <c r="C42" s="24">
        <v>33.203086523331066</v>
      </c>
      <c r="D42" s="30">
        <v>21.568273915563619</v>
      </c>
      <c r="E42" s="31">
        <v>-41.170976657293238</v>
      </c>
      <c r="F42" s="32">
        <v>-24.833779681790947</v>
      </c>
      <c r="G42" s="18">
        <v>-0.82224371570118404</v>
      </c>
      <c r="H42" s="45">
        <v>4.8420923864994743</v>
      </c>
      <c r="J42" s="3">
        <v>0</v>
      </c>
      <c r="L42" s="3">
        <v>-0.82256438382687602</v>
      </c>
      <c r="P42" s="50">
        <f t="array" ref="P42:V42">TRANSPOSE(MMULT($B$41:$H$47,Q51:Q57))</f>
        <v>-8.8746165260859433E-2</v>
      </c>
      <c r="Q42" s="48">
        <v>0.10750945249185118</v>
      </c>
      <c r="R42" s="48">
        <v>0.12678212079556483</v>
      </c>
      <c r="S42" s="48">
        <v>0.93270484408536691</v>
      </c>
      <c r="T42" s="48">
        <v>-7.8250252111923421E-2</v>
      </c>
      <c r="U42" s="48">
        <v>5.1928357474809034E-3</v>
      </c>
      <c r="V42" s="48">
        <v>-5.8948308355491807E-2</v>
      </c>
      <c r="W42" s="48">
        <f t="shared" si="20"/>
        <v>1</v>
      </c>
    </row>
    <row r="43" spans="2:33" ht="13.2" x14ac:dyDescent="0.25">
      <c r="B43" s="26">
        <v>1.6163889033326948</v>
      </c>
      <c r="C43" s="30">
        <v>21.568273915563612</v>
      </c>
      <c r="D43" s="24">
        <v>22.372714584336165</v>
      </c>
      <c r="E43" s="34">
        <v>-28.38527163234</v>
      </c>
      <c r="F43" s="35">
        <v>-17.172105770892468</v>
      </c>
      <c r="G43" s="18">
        <v>1.3141792140607615</v>
      </c>
      <c r="H43" s="45">
        <v>-6.1838847360155569</v>
      </c>
      <c r="J43" s="3">
        <v>0</v>
      </c>
      <c r="L43" s="3">
        <v>1.3145887425392602</v>
      </c>
      <c r="P43" s="50">
        <f t="array" ref="P43:V43">TRANSPOSE(MMULT($B$41:$H$47,R51:R57))</f>
        <v>-9.5897962854525787E-2</v>
      </c>
      <c r="Q43" s="48">
        <v>0.11230168847021349</v>
      </c>
      <c r="R43" s="48">
        <v>0.12066190817826628</v>
      </c>
      <c r="S43" s="48">
        <v>0.94058807614774786</v>
      </c>
      <c r="T43" s="48">
        <v>-7.7653709941701843E-2</v>
      </c>
      <c r="U43" s="48">
        <v>5.8419284481735917E-3</v>
      </c>
      <c r="V43" s="48">
        <v>-6.2632577627710018E-2</v>
      </c>
      <c r="W43" s="48">
        <f t="shared" si="20"/>
        <v>1</v>
      </c>
    </row>
    <row r="44" spans="2:33" ht="13.2" x14ac:dyDescent="0.25">
      <c r="B44" s="27">
        <v>-12.731238168716983</v>
      </c>
      <c r="C44" s="31">
        <v>-41.170976657293224</v>
      </c>
      <c r="D44" s="34">
        <v>-28.385271632339997</v>
      </c>
      <c r="E44" s="24">
        <v>60.234083754831403</v>
      </c>
      <c r="F44" s="36">
        <v>22.053402703518806</v>
      </c>
      <c r="G44" s="18">
        <v>-0.5967398699673665</v>
      </c>
      <c r="H44" s="45">
        <v>7.965245894111364</v>
      </c>
      <c r="J44" s="3">
        <v>0</v>
      </c>
      <c r="L44" s="3">
        <v>-0.59726736929362101</v>
      </c>
      <c r="P44" s="50">
        <f t="array" ref="P44:V44">TRANSPOSE(MMULT($B$41:$H$47,S51:S57))</f>
        <v>-0.10304976044819236</v>
      </c>
      <c r="Q44" s="48">
        <v>0.11709392444857591</v>
      </c>
      <c r="R44" s="48">
        <v>0.11454169556096749</v>
      </c>
      <c r="S44" s="48">
        <v>0.94847130821012904</v>
      </c>
      <c r="T44" s="48">
        <v>-7.7057167771480264E-2</v>
      </c>
      <c r="U44" s="48">
        <v>6.4910211488662523E-3</v>
      </c>
      <c r="V44" s="48">
        <v>-6.6316846899928228E-2</v>
      </c>
      <c r="W44" s="48">
        <f t="shared" si="20"/>
        <v>0.99999999999999989</v>
      </c>
    </row>
    <row r="45" spans="2:33" ht="13.2" x14ac:dyDescent="0.25">
      <c r="B45" s="28">
        <v>-7.7788606597063872</v>
      </c>
      <c r="C45" s="32">
        <v>-24.833779681790951</v>
      </c>
      <c r="D45" s="35">
        <v>-17.172105770892472</v>
      </c>
      <c r="E45" s="36">
        <v>22.05340270351882</v>
      </c>
      <c r="F45" s="24">
        <v>27.731343408870984</v>
      </c>
      <c r="G45" s="18">
        <v>-0.19398682585923538</v>
      </c>
      <c r="H45" s="45">
        <v>0.60274834413367928</v>
      </c>
      <c r="J45" s="3">
        <v>0</v>
      </c>
      <c r="L45" s="3">
        <v>-0.19402674293771083</v>
      </c>
    </row>
    <row r="46" spans="2:33" ht="13.2" x14ac:dyDescent="0.25">
      <c r="B46" s="18">
        <v>1.298791197467025</v>
      </c>
      <c r="C46" s="18">
        <v>-0.82224371570118293</v>
      </c>
      <c r="D46" s="18">
        <v>1.3141792140607631</v>
      </c>
      <c r="E46" s="18">
        <v>-0.59673986996736805</v>
      </c>
      <c r="F46" s="18">
        <v>-0.19398682585923693</v>
      </c>
      <c r="G46" s="18">
        <v>-0.12073919215032071</v>
      </c>
      <c r="H46" s="18">
        <v>0.65584558822797512</v>
      </c>
      <c r="J46" s="3">
        <v>1</v>
      </c>
      <c r="L46" s="3">
        <v>-0.12078262559989858</v>
      </c>
    </row>
    <row r="47" spans="2:33" ht="13.2" x14ac:dyDescent="0.25">
      <c r="B47" s="45">
        <v>-7.2262018887289639</v>
      </c>
      <c r="C47" s="45">
        <v>4.8420923864994707</v>
      </c>
      <c r="D47" s="45">
        <v>-6.1838847360155604</v>
      </c>
      <c r="E47" s="45">
        <v>7.9652458941113675</v>
      </c>
      <c r="F47" s="45">
        <v>0.60274834413368472</v>
      </c>
      <c r="G47" s="18">
        <v>0.65584558822797501</v>
      </c>
      <c r="H47" s="18">
        <v>-3.7225988606091036</v>
      </c>
      <c r="J47" s="55">
        <v>-6.6225115114706745E-5</v>
      </c>
      <c r="L47" s="3">
        <v>0.6560921177660447</v>
      </c>
    </row>
    <row r="48" spans="2:33" ht="13.2" x14ac:dyDescent="0.25">
      <c r="L48" s="3">
        <f>SUM(L41:L45)</f>
        <v>0.99999999999999967</v>
      </c>
    </row>
    <row r="50" spans="2:19" ht="13.2" x14ac:dyDescent="0.25">
      <c r="B50" s="40" t="s">
        <v>46</v>
      </c>
      <c r="C50" s="40" t="s">
        <v>46</v>
      </c>
      <c r="D50" s="40" t="s">
        <v>46</v>
      </c>
      <c r="E50" s="40" t="s">
        <v>46</v>
      </c>
      <c r="F50" s="40" t="s">
        <v>46</v>
      </c>
      <c r="G50" s="40" t="s">
        <v>46</v>
      </c>
      <c r="H50" s="40" t="s">
        <v>46</v>
      </c>
      <c r="I50" s="40" t="s">
        <v>46</v>
      </c>
      <c r="J50" s="40" t="s">
        <v>46</v>
      </c>
      <c r="K50" s="40" t="s">
        <v>46</v>
      </c>
      <c r="L50" s="40" t="s">
        <v>46</v>
      </c>
      <c r="M50" s="40" t="s">
        <v>46</v>
      </c>
      <c r="N50" s="40" t="s">
        <v>46</v>
      </c>
      <c r="O50" s="40" t="s">
        <v>46</v>
      </c>
      <c r="P50" s="40" t="s">
        <v>46</v>
      </c>
      <c r="Q50" s="40" t="s">
        <v>46</v>
      </c>
      <c r="R50" s="40" t="s">
        <v>46</v>
      </c>
      <c r="S50" s="40" t="s">
        <v>46</v>
      </c>
    </row>
    <row r="51" spans="2:19" ht="13.2" x14ac:dyDescent="0.25"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2:19" ht="13.2" x14ac:dyDescent="0.25"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2:19" ht="13.2" x14ac:dyDescent="0.25"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2:19" ht="13.2" x14ac:dyDescent="0.25"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2:19" ht="13.2" x14ac:dyDescent="0.25"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spans="2:19" ht="13.2" x14ac:dyDescent="0.25"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</row>
    <row r="57" spans="2:19" ht="13.2" x14ac:dyDescent="0.25">
      <c r="B57" s="55">
        <f t="array" ref="B57:S57">TRANSPOSE(Y4:Y21)</f>
        <v>0.17716919877643728</v>
      </c>
      <c r="C57" s="55">
        <v>0.17815890231694054</v>
      </c>
      <c r="D57" s="55">
        <v>0.1791486058574438</v>
      </c>
      <c r="E57" s="55">
        <v>0.18013830939794706</v>
      </c>
      <c r="F57" s="55">
        <v>0.18112801293845032</v>
      </c>
      <c r="G57" s="55">
        <v>0.18211771647895358</v>
      </c>
      <c r="H57" s="55">
        <v>0.18310742001945685</v>
      </c>
      <c r="I57" s="55">
        <v>0.18409712355996011</v>
      </c>
      <c r="J57" s="55">
        <v>0.18508682710046337</v>
      </c>
      <c r="K57" s="55">
        <v>0.18607653064096663</v>
      </c>
      <c r="L57" s="55">
        <v>0.18706623418146989</v>
      </c>
      <c r="M57" s="55">
        <v>0.18805593772197315</v>
      </c>
      <c r="N57" s="55">
        <v>0.18904564126247642</v>
      </c>
      <c r="O57" s="55">
        <v>0.19003534480297968</v>
      </c>
      <c r="P57" s="55">
        <v>0.19102504834348294</v>
      </c>
      <c r="Q57" s="55">
        <v>0.1920147518839862</v>
      </c>
      <c r="R57" s="55">
        <v>0.19300445542448946</v>
      </c>
      <c r="S57" s="55">
        <v>0.19399415896499272</v>
      </c>
    </row>
  </sheetData>
  <mergeCells count="5">
    <mergeCell ref="B2:F2"/>
    <mergeCell ref="B12:G12"/>
    <mergeCell ref="B22:H22"/>
    <mergeCell ref="B31:F31"/>
    <mergeCell ref="B40:H40"/>
  </mergeCells>
  <hyperlinks>
    <hyperlink ref="J27" r:id="rId1" location="simulator" xr:uid="{00000000-0004-0000-05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4:Q22"/>
  <sheetViews>
    <sheetView topLeftCell="F1" workbookViewId="0">
      <selection activeCell="J19" sqref="J19"/>
    </sheetView>
  </sheetViews>
  <sheetFormatPr baseColWidth="10" defaultColWidth="12.6640625" defaultRowHeight="15.75" customHeight="1" x14ac:dyDescent="0.25"/>
  <cols>
    <col min="2" max="2" width="13.6640625" bestFit="1" customWidth="1"/>
    <col min="4" max="4" width="13.6640625" bestFit="1" customWidth="1"/>
    <col min="5" max="5" width="32.33203125" bestFit="1" customWidth="1"/>
    <col min="6" max="6" width="13.6640625" bestFit="1" customWidth="1"/>
    <col min="7" max="7" width="14.33203125" bestFit="1" customWidth="1"/>
    <col min="8" max="9" width="13.6640625" bestFit="1" customWidth="1"/>
    <col min="10" max="10" width="14.33203125" bestFit="1" customWidth="1"/>
    <col min="11" max="11" width="13.6640625" bestFit="1" customWidth="1"/>
    <col min="12" max="12" width="14.88671875" bestFit="1" customWidth="1"/>
    <col min="13" max="13" width="11.6640625" bestFit="1" customWidth="1"/>
    <col min="14" max="14" width="14.33203125" bestFit="1" customWidth="1"/>
    <col min="15" max="15" width="13.6640625" bestFit="1" customWidth="1"/>
    <col min="17" max="17" width="16.33203125" bestFit="1" customWidth="1"/>
  </cols>
  <sheetData>
    <row r="4" spans="1:17" ht="15.75" customHeight="1" x14ac:dyDescent="0.25">
      <c r="E4" s="3" t="s">
        <v>48</v>
      </c>
      <c r="I4" s="12"/>
      <c r="J4" s="12"/>
      <c r="K4" s="12"/>
      <c r="L4" s="12" t="s">
        <v>49</v>
      </c>
      <c r="M4" s="12"/>
      <c r="N4" s="12"/>
      <c r="O4" s="12"/>
    </row>
    <row r="5" spans="1:17" ht="13.2" x14ac:dyDescent="0.25">
      <c r="B5" s="3" t="s">
        <v>50</v>
      </c>
      <c r="C5" s="3" t="s">
        <v>51</v>
      </c>
      <c r="D5" s="3" t="s">
        <v>52</v>
      </c>
      <c r="E5" s="3" t="s">
        <v>53</v>
      </c>
      <c r="F5" s="3" t="s">
        <v>23</v>
      </c>
      <c r="G5" s="3" t="s">
        <v>24</v>
      </c>
      <c r="H5" s="3" t="s">
        <v>25</v>
      </c>
      <c r="I5" s="12" t="s">
        <v>26</v>
      </c>
      <c r="J5" s="12" t="s">
        <v>27</v>
      </c>
      <c r="K5" s="12" t="s">
        <v>23</v>
      </c>
      <c r="L5" s="12" t="s">
        <v>24</v>
      </c>
      <c r="M5" s="12" t="s">
        <v>25</v>
      </c>
      <c r="N5" s="12" t="s">
        <v>26</v>
      </c>
      <c r="O5" s="12" t="s">
        <v>27</v>
      </c>
      <c r="P5" s="3" t="s">
        <v>54</v>
      </c>
      <c r="Q5" s="56" t="s">
        <v>55</v>
      </c>
    </row>
    <row r="6" spans="1:17" ht="13.2" x14ac:dyDescent="0.25">
      <c r="A6" s="3" t="s">
        <v>56</v>
      </c>
      <c r="B6" s="57">
        <v>50000000</v>
      </c>
      <c r="C6" s="3">
        <v>0.6</v>
      </c>
      <c r="D6" s="57">
        <f t="shared" ref="D6:D9" si="0">C6*B6</f>
        <v>30000000</v>
      </c>
      <c r="E6" s="57">
        <f t="shared" ref="E6:E9" si="1">B6-D6</f>
        <v>20000000</v>
      </c>
      <c r="F6" s="57">
        <f>Calculos!Q3*E6</f>
        <v>513651.92475605558</v>
      </c>
      <c r="G6" s="57">
        <f>Calculos!R3*E6</f>
        <v>616673.53676106362</v>
      </c>
      <c r="H6" s="58">
        <f>Calculos!S3*E6</f>
        <v>4494110.4534468856</v>
      </c>
      <c r="I6" s="58">
        <f>Calculos!T3*E6</f>
        <v>16131462.621745383</v>
      </c>
      <c r="J6" s="59">
        <f>Calculos!U3*E6</f>
        <v>-1755898.5367093883</v>
      </c>
      <c r="K6" s="59">
        <f>Calculos!$Q$22*D6</f>
        <v>-3306046.7412557732</v>
      </c>
      <c r="L6" s="59">
        <f>Calculos!$R$22*D6</f>
        <v>3656584.8128081695</v>
      </c>
      <c r="M6" s="59">
        <f>Calculos!$S$22*D6</f>
        <v>3252644.4883100814</v>
      </c>
      <c r="N6" s="59">
        <f>Calculos!$T$22*D6</f>
        <v>28690636.208175298</v>
      </c>
      <c r="O6" s="59">
        <f>Calculos!$U$22*D6</f>
        <v>-2293818.7680377751</v>
      </c>
      <c r="P6" s="3">
        <f>C6*Calculos!X3+(1-C6)*Calculos!K24</f>
        <v>0.10582103047489373</v>
      </c>
      <c r="Q6" s="60">
        <f>P6-Calculos!K24</f>
        <v>0.1055376971415604</v>
      </c>
    </row>
    <row r="7" spans="1:17" ht="13.2" x14ac:dyDescent="0.25">
      <c r="A7" s="3" t="s">
        <v>57</v>
      </c>
      <c r="B7" s="57">
        <v>500000</v>
      </c>
      <c r="C7" s="3">
        <v>0.5</v>
      </c>
      <c r="D7" s="57">
        <f t="shared" si="0"/>
        <v>250000</v>
      </c>
      <c r="E7" s="57">
        <f t="shared" si="1"/>
        <v>250000</v>
      </c>
      <c r="F7" s="57">
        <f>Calculos!Q4*E7</f>
        <v>4632.6996610341894</v>
      </c>
      <c r="G7" s="57">
        <f>Calculos!R4*E7</f>
        <v>8906.4782041037288</v>
      </c>
      <c r="H7" s="58">
        <f>Calculos!S4*E7</f>
        <v>54646.327513761251</v>
      </c>
      <c r="I7" s="58">
        <f>Calculos!T4*E7</f>
        <v>203614.09078741266</v>
      </c>
      <c r="J7" s="59">
        <f>Calculos!U4*E7</f>
        <v>-21799.596166311785</v>
      </c>
      <c r="K7" s="59">
        <f>Calculos!$Q$22*D7</f>
        <v>-27550.389510464775</v>
      </c>
      <c r="L7" s="59">
        <f>Calculos!$R$22*D7</f>
        <v>30471.540106734748</v>
      </c>
      <c r="M7" s="59">
        <f>Calculos!$S$22*D7</f>
        <v>27105.370735917346</v>
      </c>
      <c r="N7" s="59">
        <f>Calculos!$T$22*D7</f>
        <v>239088.63506812748</v>
      </c>
      <c r="O7" s="59">
        <f>Calculos!$U$22*D7</f>
        <v>-19115.156400314794</v>
      </c>
      <c r="P7" s="3">
        <f>C7*Calculos!X4+(1-C7)*Calculos!K25</f>
        <v>0.13308459938821865</v>
      </c>
      <c r="Q7" s="61">
        <f>P7-Calculos!K25</f>
        <v>4.4084599388218654E-2</v>
      </c>
    </row>
    <row r="8" spans="1:17" ht="13.2" x14ac:dyDescent="0.25">
      <c r="A8" s="3" t="s">
        <v>58</v>
      </c>
      <c r="B8" s="57">
        <v>700000</v>
      </c>
      <c r="C8" s="3">
        <v>0.75</v>
      </c>
      <c r="D8" s="57">
        <f t="shared" si="0"/>
        <v>525000</v>
      </c>
      <c r="E8" s="57">
        <f t="shared" si="1"/>
        <v>175000</v>
      </c>
      <c r="F8" s="57">
        <f>Calculos!Q5*E8</f>
        <v>1991.3251838322822</v>
      </c>
      <c r="G8" s="57">
        <f>Calculos!R5*E8</f>
        <v>7073.1760390860154</v>
      </c>
      <c r="H8" s="58">
        <f>Calculos!S5*E8</f>
        <v>37181.392051605588</v>
      </c>
      <c r="I8" s="58">
        <f>Calculos!T5*E8</f>
        <v>143909.42916210552</v>
      </c>
      <c r="J8" s="59">
        <f>Calculos!U5*E8</f>
        <v>-15155.322436629471</v>
      </c>
      <c r="K8" s="59">
        <f>Calculos!$Q$22*D8</f>
        <v>-57855.81797197603</v>
      </c>
      <c r="L8" s="59">
        <f>Calculos!$R$22*D8</f>
        <v>63990.234224142972</v>
      </c>
      <c r="M8" s="59">
        <f>Calculos!$S$22*D8</f>
        <v>56921.278545426423</v>
      </c>
      <c r="N8" s="59">
        <f>Calculos!$T$22*D8</f>
        <v>502086.13364306767</v>
      </c>
      <c r="O8" s="59">
        <f>Calculos!$U$22*D8</f>
        <v>-40141.828440661062</v>
      </c>
      <c r="P8" s="3">
        <f>C8*Calculos!X5+(1-C8)*Calculos!K26</f>
        <v>0.13367758071208247</v>
      </c>
      <c r="Q8" s="62">
        <f>P8-Calculos!K26</f>
        <v>0.13344396481457399</v>
      </c>
    </row>
    <row r="9" spans="1:17" ht="13.2" x14ac:dyDescent="0.25">
      <c r="A9" s="3" t="s">
        <v>59</v>
      </c>
      <c r="B9" s="57">
        <v>100000</v>
      </c>
      <c r="C9" s="3">
        <v>1.5</v>
      </c>
      <c r="D9" s="57">
        <f t="shared" si="0"/>
        <v>150000</v>
      </c>
      <c r="E9" s="57">
        <f t="shared" si="1"/>
        <v>-50000</v>
      </c>
      <c r="F9" s="57">
        <f>Calculos!Q6*E9</f>
        <v>-211.3601728401915</v>
      </c>
      <c r="G9" s="57">
        <f>Calculos!R6*E9</f>
        <v>-2260.5192386569829</v>
      </c>
      <c r="H9" s="58">
        <f>Calculos!S6*E9</f>
        <v>-10317.244241022383</v>
      </c>
      <c r="I9" s="58">
        <f>Calculos!T6*E9</f>
        <v>-41511.141363720635</v>
      </c>
      <c r="J9" s="59">
        <f>Calculos!U6*E9</f>
        <v>4300.2650162401987</v>
      </c>
      <c r="K9" s="59">
        <f>Calculos!$Q$22*D9</f>
        <v>-16530.233706278865</v>
      </c>
      <c r="L9" s="59">
        <f>Calculos!$R$22*D9</f>
        <v>18282.92406404085</v>
      </c>
      <c r="M9" s="59">
        <f>Calculos!$S$22*D9</f>
        <v>16263.222441550406</v>
      </c>
      <c r="N9" s="59">
        <f>Calculos!$T$22*D9</f>
        <v>143453.18104087649</v>
      </c>
      <c r="O9" s="59">
        <f>Calculos!$U$22*D9</f>
        <v>-11469.093840188876</v>
      </c>
      <c r="P9" s="3">
        <f>C9*Calculos!X6+(1-C9)*Calculos!K27</f>
        <v>0.26872290878616562</v>
      </c>
      <c r="Q9" s="56">
        <f>P9-Calculos!K27</f>
        <v>0.26872290878616562</v>
      </c>
    </row>
    <row r="12" spans="1:17" ht="13.2" x14ac:dyDescent="0.25">
      <c r="E12" s="3" t="s">
        <v>48</v>
      </c>
      <c r="I12" s="12"/>
      <c r="J12" s="12"/>
      <c r="K12" s="12"/>
      <c r="L12" s="12" t="s">
        <v>49</v>
      </c>
      <c r="M12" s="12"/>
      <c r="N12" s="12"/>
      <c r="O12" s="12"/>
    </row>
    <row r="13" spans="1:17" ht="13.2" x14ac:dyDescent="0.25">
      <c r="B13" s="3" t="s">
        <v>50</v>
      </c>
      <c r="C13" s="3" t="s">
        <v>51</v>
      </c>
      <c r="D13" s="3" t="s">
        <v>52</v>
      </c>
      <c r="E13" s="3" t="s">
        <v>53</v>
      </c>
      <c r="F13" s="3" t="s">
        <v>23</v>
      </c>
      <c r="G13" s="3" t="s">
        <v>24</v>
      </c>
      <c r="H13" s="3" t="s">
        <v>25</v>
      </c>
      <c r="I13" s="12" t="s">
        <v>26</v>
      </c>
      <c r="J13" s="12" t="s">
        <v>27</v>
      </c>
      <c r="K13" s="12" t="s">
        <v>60</v>
      </c>
      <c r="L13" s="12" t="s">
        <v>24</v>
      </c>
      <c r="M13" s="12" t="s">
        <v>25</v>
      </c>
      <c r="N13" s="12" t="s">
        <v>26</v>
      </c>
      <c r="O13" s="12" t="s">
        <v>27</v>
      </c>
      <c r="P13" s="3" t="s">
        <v>54</v>
      </c>
      <c r="Q13" s="3" t="s">
        <v>55</v>
      </c>
    </row>
    <row r="14" spans="1:17" ht="13.2" x14ac:dyDescent="0.25">
      <c r="A14" s="3" t="s">
        <v>56</v>
      </c>
      <c r="B14" s="57">
        <v>50000000</v>
      </c>
      <c r="C14" s="3">
        <v>0.4</v>
      </c>
      <c r="D14" s="57">
        <f t="shared" ref="D14:D17" si="2">C14*B14</f>
        <v>20000000</v>
      </c>
      <c r="E14" s="57">
        <f t="shared" ref="E14:E17" si="3">B14-D14</f>
        <v>30000000</v>
      </c>
      <c r="F14" s="57">
        <f>Calculos!Q11*E14</f>
        <v>-945953.53534584481</v>
      </c>
      <c r="G14" s="57">
        <f>Calculos!R11*E14</f>
        <v>2075146.9399485535</v>
      </c>
      <c r="H14" s="58">
        <f>Calculos!S11*E14</f>
        <v>5272314.6520186262</v>
      </c>
      <c r="I14" s="58">
        <f>Calculos!T11*E14</f>
        <v>26089169.627589546</v>
      </c>
      <c r="J14" s="59">
        <f>Calculos!U11*E14</f>
        <v>-2490677.6842108821</v>
      </c>
      <c r="K14" s="59">
        <f>Calculos!$Q$22*D14</f>
        <v>-2204031.1608371823</v>
      </c>
      <c r="L14" s="59">
        <f>Calculos!$R$22*D14</f>
        <v>2437723.20853878</v>
      </c>
      <c r="M14" s="59">
        <f>Calculos!$S$22*D14</f>
        <v>2168429.6588733876</v>
      </c>
      <c r="N14" s="59">
        <f>Calculos!$T$22*D14</f>
        <v>19127090.805450197</v>
      </c>
      <c r="O14" s="59">
        <f>Calculos!$U$22*D14</f>
        <v>-1529212.5120251835</v>
      </c>
      <c r="P14" s="3">
        <f>C14*Calculos!X11+(1-C14)*Calculos!K32</f>
        <v>7.3638849423984035E-2</v>
      </c>
      <c r="Q14" s="3">
        <f>P14-Calculos!K32</f>
        <v>7.3638849423984035E-2</v>
      </c>
    </row>
    <row r="15" spans="1:17" ht="13.2" x14ac:dyDescent="0.25">
      <c r="A15" s="3" t="s">
        <v>57</v>
      </c>
      <c r="B15" s="57">
        <v>500000</v>
      </c>
      <c r="C15" s="3">
        <v>0.6</v>
      </c>
      <c r="D15" s="57">
        <f t="shared" si="2"/>
        <v>300000</v>
      </c>
      <c r="E15" s="57">
        <f t="shared" si="3"/>
        <v>200000</v>
      </c>
      <c r="F15" s="57">
        <f>Calculos!Q12*E15</f>
        <v>-7736.7164210389028</v>
      </c>
      <c r="G15" s="57">
        <f>Calculos!R12*E15</f>
        <v>14792.760128662841</v>
      </c>
      <c r="H15" s="58">
        <f>Calculos!S12*E15</f>
        <v>33924.721823331129</v>
      </c>
      <c r="I15" s="58">
        <f>Calculos!T12*E15</f>
        <v>175504.44392973988</v>
      </c>
      <c r="J15" s="59">
        <f>Calculos!U12*E15</f>
        <v>-16485.209460694896</v>
      </c>
      <c r="K15" s="59">
        <f>Calculos!$Q$22*D15</f>
        <v>-33060.467412557729</v>
      </c>
      <c r="L15" s="59">
        <f>Calculos!$R$22*D15</f>
        <v>36565.8481280817</v>
      </c>
      <c r="M15" s="59">
        <f>Calculos!$S$22*D15</f>
        <v>32526.444883100812</v>
      </c>
      <c r="N15" s="59">
        <f>Calculos!$T$22*D15</f>
        <v>286906.36208175297</v>
      </c>
      <c r="O15" s="59">
        <f>Calculos!$U$22*D15</f>
        <v>-22938.187680377752</v>
      </c>
      <c r="P15" s="3">
        <f>C15*Calculos!X12+(1-C15)*Calculos!K33</f>
        <v>0.11105209626027802</v>
      </c>
      <c r="Q15" s="3">
        <f>P15-Calculos!K33</f>
        <v>0.11105209626027802</v>
      </c>
    </row>
    <row r="16" spans="1:17" ht="13.2" x14ac:dyDescent="0.25">
      <c r="A16" s="3" t="s">
        <v>58</v>
      </c>
      <c r="B16" s="57">
        <v>700000</v>
      </c>
      <c r="C16" s="3">
        <v>1.2</v>
      </c>
      <c r="D16" s="57">
        <f t="shared" si="2"/>
        <v>840000</v>
      </c>
      <c r="E16" s="57">
        <f t="shared" si="3"/>
        <v>-140000</v>
      </c>
      <c r="F16" s="57">
        <f>Calculos!Q13*E16</f>
        <v>6416.9531578405522</v>
      </c>
      <c r="G16" s="57">
        <f>Calculos!R13*E16</f>
        <v>-11025.845127034729</v>
      </c>
      <c r="H16" s="58">
        <f>Calculos!S13*E16</f>
        <v>-22890.47550990996</v>
      </c>
      <c r="I16" s="58">
        <f>Calculos!T13*E16</f>
        <v>-123956.76323955125</v>
      </c>
      <c r="J16" s="59">
        <f>Calculos!U13*E16</f>
        <v>11456.130718655406</v>
      </c>
      <c r="K16" s="59">
        <f>Calculos!$Q$22*D16</f>
        <v>-92569.308755161648</v>
      </c>
      <c r="L16" s="59">
        <f>Calculos!$R$22*D16</f>
        <v>102384.37475862875</v>
      </c>
      <c r="M16" s="59">
        <f>Calculos!$S$22*D16</f>
        <v>91074.045672682274</v>
      </c>
      <c r="N16" s="59">
        <f>Calculos!$T$22*D16</f>
        <v>803337.81382890826</v>
      </c>
      <c r="O16" s="59">
        <f>Calculos!$U$22*D16</f>
        <v>-64226.925505057705</v>
      </c>
      <c r="P16" s="3">
        <f>C16*Calculos!X13+(1-C16)*Calculos!K34</f>
        <v>0.2232918367691599</v>
      </c>
      <c r="Q16" s="3">
        <f>P16-Calculos!K34</f>
        <v>0.2232918367691599</v>
      </c>
    </row>
    <row r="17" spans="1:17" ht="13.2" x14ac:dyDescent="0.25">
      <c r="A17" s="3" t="s">
        <v>59</v>
      </c>
      <c r="B17" s="57">
        <v>100000</v>
      </c>
      <c r="C17" s="3">
        <v>0.9</v>
      </c>
      <c r="D17" s="57">
        <f t="shared" si="2"/>
        <v>90000</v>
      </c>
      <c r="E17" s="57">
        <f t="shared" si="3"/>
        <v>10000</v>
      </c>
      <c r="F17" s="57">
        <f>Calculos!Q14*E17</f>
        <v>-529.8717729252744</v>
      </c>
      <c r="G17" s="57">
        <f>Calculos!R14*E17</f>
        <v>835.48272600039058</v>
      </c>
      <c r="H17" s="58">
        <f>Calculos!S14*E17</f>
        <v>1573.831838820583</v>
      </c>
      <c r="I17" s="58">
        <f>Calculos!T14*E17</f>
        <v>8932.8868377346153</v>
      </c>
      <c r="J17" s="59">
        <f>Calculos!U14*E17</f>
        <v>-812.32962963031332</v>
      </c>
      <c r="K17" s="59">
        <f>Calculos!$Q$22*D17</f>
        <v>-9918.1402237673192</v>
      </c>
      <c r="L17" s="59">
        <f>Calculos!$R$22*D17</f>
        <v>10969.754438424508</v>
      </c>
      <c r="M17" s="59">
        <f>Calculos!$S$22*D17</f>
        <v>9757.9334649302436</v>
      </c>
      <c r="N17" s="59">
        <f>Calculos!$T$22*D17</f>
        <v>86071.908624525895</v>
      </c>
      <c r="O17" s="59">
        <f>Calculos!$U$22*D17</f>
        <v>-6881.4563041133251</v>
      </c>
      <c r="P17" s="3">
        <f>C17*Calculos!X14+(1-C17)*Calculos!K35</f>
        <v>0.1683596107633229</v>
      </c>
      <c r="Q17" s="3">
        <f>P17-Calculos!K35</f>
        <v>0.1683596107633229</v>
      </c>
    </row>
    <row r="19" spans="1:17" ht="13.2" x14ac:dyDescent="0.25">
      <c r="F19" s="57">
        <f t="shared" ref="F19:O19" si="4">F6-F14</f>
        <v>1459605.4601019004</v>
      </c>
      <c r="G19" s="57">
        <f t="shared" si="4"/>
        <v>-1458473.4031874898</v>
      </c>
      <c r="H19" s="57">
        <f t="shared" si="4"/>
        <v>-778204.19857174065</v>
      </c>
      <c r="I19" s="57">
        <f t="shared" si="4"/>
        <v>-9957707.0058441628</v>
      </c>
      <c r="J19" s="57">
        <f t="shared" si="4"/>
        <v>734779.1475014938</v>
      </c>
      <c r="K19" s="57">
        <f t="shared" si="4"/>
        <v>-1102015.5804185909</v>
      </c>
      <c r="L19" s="57">
        <f t="shared" si="4"/>
        <v>1218861.6042693895</v>
      </c>
      <c r="M19" s="57">
        <f t="shared" si="4"/>
        <v>1084214.8294366938</v>
      </c>
      <c r="N19" s="57">
        <f t="shared" si="4"/>
        <v>9563545.4027251005</v>
      </c>
      <c r="O19" s="57">
        <f t="shared" si="4"/>
        <v>-764606.25601259153</v>
      </c>
    </row>
    <row r="20" spans="1:17" ht="13.2" x14ac:dyDescent="0.25">
      <c r="F20" s="57">
        <f t="shared" ref="F20:O20" si="5">F7-F15</f>
        <v>12369.416082073092</v>
      </c>
      <c r="G20" s="57">
        <f t="shared" si="5"/>
        <v>-5886.2819245591127</v>
      </c>
      <c r="H20" s="57">
        <f t="shared" si="5"/>
        <v>20721.605690430122</v>
      </c>
      <c r="I20" s="57">
        <f t="shared" si="5"/>
        <v>28109.646857672778</v>
      </c>
      <c r="J20" s="57">
        <f t="shared" si="5"/>
        <v>-5314.3867056168892</v>
      </c>
      <c r="K20" s="57">
        <f t="shared" si="5"/>
        <v>5510.0779020929549</v>
      </c>
      <c r="L20" s="57">
        <f t="shared" si="5"/>
        <v>-6094.3080213469511</v>
      </c>
      <c r="M20" s="57">
        <f t="shared" si="5"/>
        <v>-5421.0741471834663</v>
      </c>
      <c r="N20" s="57">
        <f t="shared" si="5"/>
        <v>-47817.727013625496</v>
      </c>
      <c r="O20" s="57">
        <f t="shared" si="5"/>
        <v>3823.0312800629581</v>
      </c>
    </row>
    <row r="21" spans="1:17" ht="13.2" x14ac:dyDescent="0.25">
      <c r="F21" s="57">
        <f t="shared" ref="F21:O21" si="6">F8-F16</f>
        <v>-4425.62797400827</v>
      </c>
      <c r="G21" s="57">
        <f t="shared" si="6"/>
        <v>18099.021166120743</v>
      </c>
      <c r="H21" s="57">
        <f t="shared" si="6"/>
        <v>60071.867561515552</v>
      </c>
      <c r="I21" s="57">
        <f t="shared" si="6"/>
        <v>267866.19240165676</v>
      </c>
      <c r="J21" s="57">
        <f t="shared" si="6"/>
        <v>-26611.453155284878</v>
      </c>
      <c r="K21" s="57">
        <f t="shared" si="6"/>
        <v>34713.490783185618</v>
      </c>
      <c r="L21" s="57">
        <f t="shared" si="6"/>
        <v>-38394.140534485778</v>
      </c>
      <c r="M21" s="57">
        <f t="shared" si="6"/>
        <v>-34152.767127255851</v>
      </c>
      <c r="N21" s="57">
        <f t="shared" si="6"/>
        <v>-301251.68018584058</v>
      </c>
      <c r="O21" s="57">
        <f t="shared" si="6"/>
        <v>24085.097064396643</v>
      </c>
    </row>
    <row r="22" spans="1:17" ht="13.2" x14ac:dyDescent="0.25">
      <c r="F22" s="57">
        <f t="shared" ref="F22:O22" si="7">F9-F17</f>
        <v>318.51160008508293</v>
      </c>
      <c r="G22" s="57">
        <f t="shared" si="7"/>
        <v>-3096.0019646573737</v>
      </c>
      <c r="H22" s="57">
        <f t="shared" si="7"/>
        <v>-11891.076079842966</v>
      </c>
      <c r="I22" s="57">
        <f t="shared" si="7"/>
        <v>-50444.02820145525</v>
      </c>
      <c r="J22" s="57">
        <f t="shared" si="7"/>
        <v>5112.5946458705121</v>
      </c>
      <c r="K22" s="57">
        <f t="shared" si="7"/>
        <v>-6612.0934825115455</v>
      </c>
      <c r="L22" s="57">
        <f t="shared" si="7"/>
        <v>7313.1696256163414</v>
      </c>
      <c r="M22" s="57">
        <f t="shared" si="7"/>
        <v>6505.2889766201624</v>
      </c>
      <c r="N22" s="57">
        <f t="shared" si="7"/>
        <v>57381.272416350592</v>
      </c>
      <c r="O22" s="57">
        <f t="shared" si="7"/>
        <v>-4587.637536075551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670C34-093C-476C-8928-F75BCF0A8D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adj_close</vt:lpstr>
      <vt:lpstr>BIMBO</vt:lpstr>
      <vt:lpstr>GrupoCarso</vt:lpstr>
      <vt:lpstr>GrupoMexico</vt:lpstr>
      <vt:lpstr>FEMSA</vt:lpstr>
      <vt:lpstr>ASUR</vt:lpstr>
      <vt:lpstr>Calculos</vt:lpstr>
      <vt:lpstr>Hoja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Salmoran</dc:creator>
  <cp:lastModifiedBy>Jonathan Salmoran</cp:lastModifiedBy>
  <dcterms:created xsi:type="dcterms:W3CDTF">2025-11-20T05:09:26Z</dcterms:created>
  <dcterms:modified xsi:type="dcterms:W3CDTF">2025-11-23T06:47:58Z</dcterms:modified>
</cp:coreProperties>
</file>